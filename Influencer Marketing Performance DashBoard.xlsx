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Ashish sakpal\Downloads\"/>
    </mc:Choice>
  </mc:AlternateContent>
  <xr:revisionPtr revIDLastSave="0" documentId="13_ncr:1_{00107128-2AD7-40E9-AF4F-259AEE98D754}" xr6:coauthVersionLast="47" xr6:coauthVersionMax="47" xr10:uidLastSave="{00000000-0000-0000-0000-000000000000}"/>
  <bookViews>
    <workbookView xWindow="-108" yWindow="-108" windowWidth="23256" windowHeight="12456" activeTab="3" xr2:uid="{15CAD116-5743-4CA3-B7A2-4924565C9045}"/>
  </bookViews>
  <sheets>
    <sheet name="Raw_Data" sheetId="1" r:id="rId1"/>
    <sheet name="Clean_Data" sheetId="4" r:id="rId2"/>
    <sheet name="Pivot_Tables" sheetId="2" r:id="rId3"/>
    <sheet name="Dashboard" sheetId="3" r:id="rId4"/>
  </sheets>
  <definedNames>
    <definedName name="Slicer_Category">#N/A</definedName>
    <definedName name="Slicer_Influencer_Name">#N/A</definedName>
    <definedName name="Slicer_Platform">#N/A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 i="3" l="1"/>
  <c r="K4" i="3"/>
  <c r="I4" i="3"/>
  <c r="G4" i="3"/>
  <c r="E4" i="3"/>
  <c r="C4" i="3"/>
  <c r="A4" i="3"/>
  <c r="V2" i="4" l="1"/>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N1001" i="4"/>
  <c r="K1001" i="4"/>
  <c r="N1000" i="4"/>
  <c r="K1000" i="4"/>
  <c r="N999" i="4"/>
  <c r="K999" i="4"/>
  <c r="N998" i="4"/>
  <c r="K998" i="4"/>
  <c r="N997" i="4"/>
  <c r="K997" i="4"/>
  <c r="N996" i="4"/>
  <c r="K996" i="4"/>
  <c r="N995" i="4"/>
  <c r="K995" i="4"/>
  <c r="N994" i="4"/>
  <c r="K994" i="4"/>
  <c r="N993" i="4"/>
  <c r="K993" i="4"/>
  <c r="N992" i="4"/>
  <c r="K992" i="4"/>
  <c r="N991" i="4"/>
  <c r="K991" i="4"/>
  <c r="N990" i="4"/>
  <c r="K990" i="4"/>
  <c r="N989" i="4"/>
  <c r="K989" i="4"/>
  <c r="N988" i="4"/>
  <c r="K988" i="4"/>
  <c r="N987" i="4"/>
  <c r="K987" i="4"/>
  <c r="N986" i="4"/>
  <c r="K986" i="4"/>
  <c r="N985" i="4"/>
  <c r="K985" i="4"/>
  <c r="N984" i="4"/>
  <c r="K984" i="4"/>
  <c r="N983" i="4"/>
  <c r="K983" i="4"/>
  <c r="N982" i="4"/>
  <c r="K982" i="4"/>
  <c r="N981" i="4"/>
  <c r="K981" i="4"/>
  <c r="N980" i="4"/>
  <c r="K980" i="4"/>
  <c r="N979" i="4"/>
  <c r="K979" i="4"/>
  <c r="N978" i="4"/>
  <c r="K978" i="4"/>
  <c r="N977" i="4"/>
  <c r="K977" i="4"/>
  <c r="N976" i="4"/>
  <c r="K976" i="4"/>
  <c r="N975" i="4"/>
  <c r="K975" i="4"/>
  <c r="N974" i="4"/>
  <c r="K974" i="4"/>
  <c r="N973" i="4"/>
  <c r="K973" i="4"/>
  <c r="N972" i="4"/>
  <c r="K972" i="4"/>
  <c r="N971" i="4"/>
  <c r="K971" i="4"/>
  <c r="N970" i="4"/>
  <c r="K970" i="4"/>
  <c r="N969" i="4"/>
  <c r="K969" i="4"/>
  <c r="N968" i="4"/>
  <c r="K968" i="4"/>
  <c r="N967" i="4"/>
  <c r="K967" i="4"/>
  <c r="N966" i="4"/>
  <c r="K966" i="4"/>
  <c r="N965" i="4"/>
  <c r="K965" i="4"/>
  <c r="N964" i="4"/>
  <c r="K964" i="4"/>
  <c r="N963" i="4"/>
  <c r="K963" i="4"/>
  <c r="N962" i="4"/>
  <c r="K962" i="4"/>
  <c r="N961" i="4"/>
  <c r="K961" i="4"/>
  <c r="N960" i="4"/>
  <c r="K960" i="4"/>
  <c r="N959" i="4"/>
  <c r="K959" i="4"/>
  <c r="N958" i="4"/>
  <c r="K958" i="4"/>
  <c r="N957" i="4"/>
  <c r="K957" i="4"/>
  <c r="N956" i="4"/>
  <c r="K956" i="4"/>
  <c r="N955" i="4"/>
  <c r="K955" i="4"/>
  <c r="N954" i="4"/>
  <c r="K954" i="4"/>
  <c r="N953" i="4"/>
  <c r="K953" i="4"/>
  <c r="N952" i="4"/>
  <c r="K952" i="4"/>
  <c r="N951" i="4"/>
  <c r="K951" i="4"/>
  <c r="N950" i="4"/>
  <c r="K950" i="4"/>
  <c r="N949" i="4"/>
  <c r="K949" i="4"/>
  <c r="N948" i="4"/>
  <c r="K948" i="4"/>
  <c r="N947" i="4"/>
  <c r="K947" i="4"/>
  <c r="N946" i="4"/>
  <c r="K946" i="4"/>
  <c r="N945" i="4"/>
  <c r="K945" i="4"/>
  <c r="N944" i="4"/>
  <c r="K944" i="4"/>
  <c r="N943" i="4"/>
  <c r="K943" i="4"/>
  <c r="N942" i="4"/>
  <c r="K942" i="4"/>
  <c r="N941" i="4"/>
  <c r="K941" i="4"/>
  <c r="N940" i="4"/>
  <c r="K940" i="4"/>
  <c r="N939" i="4"/>
  <c r="K939" i="4"/>
  <c r="N938" i="4"/>
  <c r="K938" i="4"/>
  <c r="N937" i="4"/>
  <c r="K937" i="4"/>
  <c r="N936" i="4"/>
  <c r="K936" i="4"/>
  <c r="N935" i="4"/>
  <c r="K935" i="4"/>
  <c r="N934" i="4"/>
  <c r="K934" i="4"/>
  <c r="N933" i="4"/>
  <c r="K933" i="4"/>
  <c r="N932" i="4"/>
  <c r="K932" i="4"/>
  <c r="N931" i="4"/>
  <c r="K931" i="4"/>
  <c r="N930" i="4"/>
  <c r="K930" i="4"/>
  <c r="N929" i="4"/>
  <c r="K929" i="4"/>
  <c r="N928" i="4"/>
  <c r="K928" i="4"/>
  <c r="N927" i="4"/>
  <c r="K927" i="4"/>
  <c r="N926" i="4"/>
  <c r="K926" i="4"/>
  <c r="N925" i="4"/>
  <c r="K925" i="4"/>
  <c r="N924" i="4"/>
  <c r="K924" i="4"/>
  <c r="N923" i="4"/>
  <c r="K923" i="4"/>
  <c r="N922" i="4"/>
  <c r="K922" i="4"/>
  <c r="N921" i="4"/>
  <c r="K921" i="4"/>
  <c r="N920" i="4"/>
  <c r="K920" i="4"/>
  <c r="N919" i="4"/>
  <c r="K919" i="4"/>
  <c r="N918" i="4"/>
  <c r="K918" i="4"/>
  <c r="N917" i="4"/>
  <c r="K917" i="4"/>
  <c r="N916" i="4"/>
  <c r="K916" i="4"/>
  <c r="N915" i="4"/>
  <c r="K915" i="4"/>
  <c r="N914" i="4"/>
  <c r="K914" i="4"/>
  <c r="N913" i="4"/>
  <c r="K913" i="4"/>
  <c r="N912" i="4"/>
  <c r="K912" i="4"/>
  <c r="N911" i="4"/>
  <c r="K911" i="4"/>
  <c r="N910" i="4"/>
  <c r="K910" i="4"/>
  <c r="N909" i="4"/>
  <c r="K909" i="4"/>
  <c r="N908" i="4"/>
  <c r="K908" i="4"/>
  <c r="N907" i="4"/>
  <c r="K907" i="4"/>
  <c r="N906" i="4"/>
  <c r="K906" i="4"/>
  <c r="N905" i="4"/>
  <c r="K905" i="4"/>
  <c r="N904" i="4"/>
  <c r="K904" i="4"/>
  <c r="N903" i="4"/>
  <c r="K903" i="4"/>
  <c r="N902" i="4"/>
  <c r="K902" i="4"/>
  <c r="N901" i="4"/>
  <c r="K901" i="4"/>
  <c r="N900" i="4"/>
  <c r="K900" i="4"/>
  <c r="N899" i="4"/>
  <c r="K899" i="4"/>
  <c r="N898" i="4"/>
  <c r="K898" i="4"/>
  <c r="N897" i="4"/>
  <c r="K897" i="4"/>
  <c r="N896" i="4"/>
  <c r="K896" i="4"/>
  <c r="N895" i="4"/>
  <c r="K895" i="4"/>
  <c r="N894" i="4"/>
  <c r="K894" i="4"/>
  <c r="N893" i="4"/>
  <c r="K893" i="4"/>
  <c r="N892" i="4"/>
  <c r="K892" i="4"/>
  <c r="N891" i="4"/>
  <c r="K891" i="4"/>
  <c r="N890" i="4"/>
  <c r="K890" i="4"/>
  <c r="N889" i="4"/>
  <c r="K889" i="4"/>
  <c r="N888" i="4"/>
  <c r="K888" i="4"/>
  <c r="N887" i="4"/>
  <c r="K887" i="4"/>
  <c r="N886" i="4"/>
  <c r="K886" i="4"/>
  <c r="N885" i="4"/>
  <c r="K885" i="4"/>
  <c r="N884" i="4"/>
  <c r="K884" i="4"/>
  <c r="N883" i="4"/>
  <c r="K883" i="4"/>
  <c r="N882" i="4"/>
  <c r="K882" i="4"/>
  <c r="N881" i="4"/>
  <c r="K881" i="4"/>
  <c r="N880" i="4"/>
  <c r="K880" i="4"/>
  <c r="N879" i="4"/>
  <c r="K879" i="4"/>
  <c r="N878" i="4"/>
  <c r="K878" i="4"/>
  <c r="N877" i="4"/>
  <c r="K877" i="4"/>
  <c r="N876" i="4"/>
  <c r="K876" i="4"/>
  <c r="N875" i="4"/>
  <c r="K875" i="4"/>
  <c r="N874" i="4"/>
  <c r="K874" i="4"/>
  <c r="N873" i="4"/>
  <c r="K873" i="4"/>
  <c r="N872" i="4"/>
  <c r="K872" i="4"/>
  <c r="N871" i="4"/>
  <c r="K871" i="4"/>
  <c r="N870" i="4"/>
  <c r="K870" i="4"/>
  <c r="N869" i="4"/>
  <c r="K869" i="4"/>
  <c r="N868" i="4"/>
  <c r="K868" i="4"/>
  <c r="N867" i="4"/>
  <c r="K867" i="4"/>
  <c r="N866" i="4"/>
  <c r="K866" i="4"/>
  <c r="N865" i="4"/>
  <c r="K865" i="4"/>
  <c r="N864" i="4"/>
  <c r="K864" i="4"/>
  <c r="N863" i="4"/>
  <c r="K863" i="4"/>
  <c r="N862" i="4"/>
  <c r="K862" i="4"/>
  <c r="N861" i="4"/>
  <c r="K861" i="4"/>
  <c r="N860" i="4"/>
  <c r="K860" i="4"/>
  <c r="N859" i="4"/>
  <c r="K859" i="4"/>
  <c r="N858" i="4"/>
  <c r="K858" i="4"/>
  <c r="N857" i="4"/>
  <c r="K857" i="4"/>
  <c r="N856" i="4"/>
  <c r="K856" i="4"/>
  <c r="N855" i="4"/>
  <c r="K855" i="4"/>
  <c r="N854" i="4"/>
  <c r="K854" i="4"/>
  <c r="N853" i="4"/>
  <c r="K853" i="4"/>
  <c r="N852" i="4"/>
  <c r="K852" i="4"/>
  <c r="N851" i="4"/>
  <c r="K851" i="4"/>
  <c r="N850" i="4"/>
  <c r="K850" i="4"/>
  <c r="N849" i="4"/>
  <c r="K849" i="4"/>
  <c r="N848" i="4"/>
  <c r="K848" i="4"/>
  <c r="N847" i="4"/>
  <c r="K847" i="4"/>
  <c r="N846" i="4"/>
  <c r="K846" i="4"/>
  <c r="N845" i="4"/>
  <c r="K845" i="4"/>
  <c r="N844" i="4"/>
  <c r="K844" i="4"/>
  <c r="N843" i="4"/>
  <c r="K843" i="4"/>
  <c r="N842" i="4"/>
  <c r="K842" i="4"/>
  <c r="N841" i="4"/>
  <c r="K841" i="4"/>
  <c r="N840" i="4"/>
  <c r="K840" i="4"/>
  <c r="N839" i="4"/>
  <c r="K839" i="4"/>
  <c r="N838" i="4"/>
  <c r="K838" i="4"/>
  <c r="N837" i="4"/>
  <c r="K837" i="4"/>
  <c r="N836" i="4"/>
  <c r="K836" i="4"/>
  <c r="N835" i="4"/>
  <c r="K835" i="4"/>
  <c r="N834" i="4"/>
  <c r="K834" i="4"/>
  <c r="N833" i="4"/>
  <c r="K833" i="4"/>
  <c r="N832" i="4"/>
  <c r="K832" i="4"/>
  <c r="N831" i="4"/>
  <c r="K831" i="4"/>
  <c r="N830" i="4"/>
  <c r="K830" i="4"/>
  <c r="N829" i="4"/>
  <c r="K829" i="4"/>
  <c r="N828" i="4"/>
  <c r="K828" i="4"/>
  <c r="N827" i="4"/>
  <c r="K827" i="4"/>
  <c r="N826" i="4"/>
  <c r="K826" i="4"/>
  <c r="N825" i="4"/>
  <c r="K825" i="4"/>
  <c r="N824" i="4"/>
  <c r="K824" i="4"/>
  <c r="N823" i="4"/>
  <c r="K823" i="4"/>
  <c r="N822" i="4"/>
  <c r="K822" i="4"/>
  <c r="N821" i="4"/>
  <c r="K821" i="4"/>
  <c r="N820" i="4"/>
  <c r="K820" i="4"/>
  <c r="N819" i="4"/>
  <c r="K819" i="4"/>
  <c r="N818" i="4"/>
  <c r="K818" i="4"/>
  <c r="N817" i="4"/>
  <c r="K817" i="4"/>
  <c r="N816" i="4"/>
  <c r="K816" i="4"/>
  <c r="N815" i="4"/>
  <c r="K815" i="4"/>
  <c r="N814" i="4"/>
  <c r="K814" i="4"/>
  <c r="N813" i="4"/>
  <c r="K813" i="4"/>
  <c r="N812" i="4"/>
  <c r="K812" i="4"/>
  <c r="N811" i="4"/>
  <c r="K811" i="4"/>
  <c r="N810" i="4"/>
  <c r="K810" i="4"/>
  <c r="N809" i="4"/>
  <c r="K809" i="4"/>
  <c r="N808" i="4"/>
  <c r="K808" i="4"/>
  <c r="N807" i="4"/>
  <c r="K807" i="4"/>
  <c r="N806" i="4"/>
  <c r="K806" i="4"/>
  <c r="N805" i="4"/>
  <c r="K805" i="4"/>
  <c r="N804" i="4"/>
  <c r="K804" i="4"/>
  <c r="N803" i="4"/>
  <c r="K803" i="4"/>
  <c r="N802" i="4"/>
  <c r="K802" i="4"/>
  <c r="N801" i="4"/>
  <c r="K801" i="4"/>
  <c r="N800" i="4"/>
  <c r="K800" i="4"/>
  <c r="N799" i="4"/>
  <c r="K799" i="4"/>
  <c r="N798" i="4"/>
  <c r="K798" i="4"/>
  <c r="N797" i="4"/>
  <c r="K797" i="4"/>
  <c r="N796" i="4"/>
  <c r="K796" i="4"/>
  <c r="N795" i="4"/>
  <c r="K795" i="4"/>
  <c r="N794" i="4"/>
  <c r="K794" i="4"/>
  <c r="N793" i="4"/>
  <c r="K793" i="4"/>
  <c r="N792" i="4"/>
  <c r="K792" i="4"/>
  <c r="N791" i="4"/>
  <c r="K791" i="4"/>
  <c r="N790" i="4"/>
  <c r="K790" i="4"/>
  <c r="N789" i="4"/>
  <c r="K789" i="4"/>
  <c r="N788" i="4"/>
  <c r="K788" i="4"/>
  <c r="N787" i="4"/>
  <c r="K787" i="4"/>
  <c r="N786" i="4"/>
  <c r="K786" i="4"/>
  <c r="N785" i="4"/>
  <c r="K785" i="4"/>
  <c r="N784" i="4"/>
  <c r="K784" i="4"/>
  <c r="N783" i="4"/>
  <c r="K783" i="4"/>
  <c r="N782" i="4"/>
  <c r="K782" i="4"/>
  <c r="N781" i="4"/>
  <c r="K781" i="4"/>
  <c r="N780" i="4"/>
  <c r="K780" i="4"/>
  <c r="N779" i="4"/>
  <c r="K779" i="4"/>
  <c r="N778" i="4"/>
  <c r="K778" i="4"/>
  <c r="N777" i="4"/>
  <c r="K777" i="4"/>
  <c r="N776" i="4"/>
  <c r="K776" i="4"/>
  <c r="N775" i="4"/>
  <c r="K775" i="4"/>
  <c r="N774" i="4"/>
  <c r="K774" i="4"/>
  <c r="N773" i="4"/>
  <c r="K773" i="4"/>
  <c r="N772" i="4"/>
  <c r="K772" i="4"/>
  <c r="N771" i="4"/>
  <c r="K771" i="4"/>
  <c r="N770" i="4"/>
  <c r="K770" i="4"/>
  <c r="N769" i="4"/>
  <c r="K769" i="4"/>
  <c r="N768" i="4"/>
  <c r="K768" i="4"/>
  <c r="N767" i="4"/>
  <c r="K767" i="4"/>
  <c r="N766" i="4"/>
  <c r="K766" i="4"/>
  <c r="N765" i="4"/>
  <c r="K765" i="4"/>
  <c r="N764" i="4"/>
  <c r="K764" i="4"/>
  <c r="N763" i="4"/>
  <c r="K763" i="4"/>
  <c r="N762" i="4"/>
  <c r="K762" i="4"/>
  <c r="N761" i="4"/>
  <c r="K761" i="4"/>
  <c r="N760" i="4"/>
  <c r="K760" i="4"/>
  <c r="N759" i="4"/>
  <c r="K759" i="4"/>
  <c r="N758" i="4"/>
  <c r="K758" i="4"/>
  <c r="N757" i="4"/>
  <c r="K757" i="4"/>
  <c r="N756" i="4"/>
  <c r="K756" i="4"/>
  <c r="N755" i="4"/>
  <c r="K755" i="4"/>
  <c r="N754" i="4"/>
  <c r="K754" i="4"/>
  <c r="N753" i="4"/>
  <c r="K753" i="4"/>
  <c r="N752" i="4"/>
  <c r="K752" i="4"/>
  <c r="N751" i="4"/>
  <c r="K751" i="4"/>
  <c r="N750" i="4"/>
  <c r="K750" i="4"/>
  <c r="N749" i="4"/>
  <c r="K749" i="4"/>
  <c r="N748" i="4"/>
  <c r="K748" i="4"/>
  <c r="N747" i="4"/>
  <c r="K747" i="4"/>
  <c r="N746" i="4"/>
  <c r="K746" i="4"/>
  <c r="N745" i="4"/>
  <c r="K745" i="4"/>
  <c r="N744" i="4"/>
  <c r="K744" i="4"/>
  <c r="N743" i="4"/>
  <c r="K743" i="4"/>
  <c r="N742" i="4"/>
  <c r="K742" i="4"/>
  <c r="N741" i="4"/>
  <c r="K741" i="4"/>
  <c r="N740" i="4"/>
  <c r="K740" i="4"/>
  <c r="N739" i="4"/>
  <c r="K739" i="4"/>
  <c r="N738" i="4"/>
  <c r="K738" i="4"/>
  <c r="N737" i="4"/>
  <c r="K737" i="4"/>
  <c r="N736" i="4"/>
  <c r="K736" i="4"/>
  <c r="N735" i="4"/>
  <c r="K735" i="4"/>
  <c r="N734" i="4"/>
  <c r="K734" i="4"/>
  <c r="N733" i="4"/>
  <c r="K733" i="4"/>
  <c r="N732" i="4"/>
  <c r="K732" i="4"/>
  <c r="N731" i="4"/>
  <c r="K731" i="4"/>
  <c r="N730" i="4"/>
  <c r="K730" i="4"/>
  <c r="N729" i="4"/>
  <c r="K729" i="4"/>
  <c r="N728" i="4"/>
  <c r="K728" i="4"/>
  <c r="N727" i="4"/>
  <c r="K727" i="4"/>
  <c r="N726" i="4"/>
  <c r="K726" i="4"/>
  <c r="N725" i="4"/>
  <c r="K725" i="4"/>
  <c r="N724" i="4"/>
  <c r="K724" i="4"/>
  <c r="N723" i="4"/>
  <c r="K723" i="4"/>
  <c r="N722" i="4"/>
  <c r="K722" i="4"/>
  <c r="N721" i="4"/>
  <c r="K721" i="4"/>
  <c r="N720" i="4"/>
  <c r="K720" i="4"/>
  <c r="N719" i="4"/>
  <c r="K719" i="4"/>
  <c r="N718" i="4"/>
  <c r="K718" i="4"/>
  <c r="N717" i="4"/>
  <c r="K717" i="4"/>
  <c r="N716" i="4"/>
  <c r="K716" i="4"/>
  <c r="N715" i="4"/>
  <c r="K715" i="4"/>
  <c r="N714" i="4"/>
  <c r="K714" i="4"/>
  <c r="N713" i="4"/>
  <c r="K713" i="4"/>
  <c r="N712" i="4"/>
  <c r="K712" i="4"/>
  <c r="N711" i="4"/>
  <c r="K711" i="4"/>
  <c r="N710" i="4"/>
  <c r="K710" i="4"/>
  <c r="N709" i="4"/>
  <c r="K709" i="4"/>
  <c r="N708" i="4"/>
  <c r="K708" i="4"/>
  <c r="N707" i="4"/>
  <c r="K707" i="4"/>
  <c r="N706" i="4"/>
  <c r="K706" i="4"/>
  <c r="N705" i="4"/>
  <c r="K705" i="4"/>
  <c r="N704" i="4"/>
  <c r="K704" i="4"/>
  <c r="N703" i="4"/>
  <c r="K703" i="4"/>
  <c r="N702" i="4"/>
  <c r="K702" i="4"/>
  <c r="N701" i="4"/>
  <c r="K701" i="4"/>
  <c r="N700" i="4"/>
  <c r="K700" i="4"/>
  <c r="N699" i="4"/>
  <c r="K699" i="4"/>
  <c r="N698" i="4"/>
  <c r="K698" i="4"/>
  <c r="N697" i="4"/>
  <c r="K697" i="4"/>
  <c r="N696" i="4"/>
  <c r="K696" i="4"/>
  <c r="N695" i="4"/>
  <c r="K695" i="4"/>
  <c r="N694" i="4"/>
  <c r="K694" i="4"/>
  <c r="N693" i="4"/>
  <c r="K693" i="4"/>
  <c r="N692" i="4"/>
  <c r="K692" i="4"/>
  <c r="N691" i="4"/>
  <c r="K691" i="4"/>
  <c r="N690" i="4"/>
  <c r="K690" i="4"/>
  <c r="N689" i="4"/>
  <c r="K689" i="4"/>
  <c r="N688" i="4"/>
  <c r="K688" i="4"/>
  <c r="N687" i="4"/>
  <c r="K687" i="4"/>
  <c r="N686" i="4"/>
  <c r="K686" i="4"/>
  <c r="N685" i="4"/>
  <c r="K685" i="4"/>
  <c r="N684" i="4"/>
  <c r="K684" i="4"/>
  <c r="N683" i="4"/>
  <c r="K683" i="4"/>
  <c r="N682" i="4"/>
  <c r="K682" i="4"/>
  <c r="N681" i="4"/>
  <c r="K681" i="4"/>
  <c r="N680" i="4"/>
  <c r="K680" i="4"/>
  <c r="N679" i="4"/>
  <c r="K679" i="4"/>
  <c r="N678" i="4"/>
  <c r="K678" i="4"/>
  <c r="N677" i="4"/>
  <c r="K677" i="4"/>
  <c r="N676" i="4"/>
  <c r="K676" i="4"/>
  <c r="N675" i="4"/>
  <c r="K675" i="4"/>
  <c r="N674" i="4"/>
  <c r="K674" i="4"/>
  <c r="N673" i="4"/>
  <c r="K673" i="4"/>
  <c r="N672" i="4"/>
  <c r="K672" i="4"/>
  <c r="N671" i="4"/>
  <c r="K671" i="4"/>
  <c r="N670" i="4"/>
  <c r="K670" i="4"/>
  <c r="N669" i="4"/>
  <c r="K669" i="4"/>
  <c r="N668" i="4"/>
  <c r="K668" i="4"/>
  <c r="N667" i="4"/>
  <c r="K667" i="4"/>
  <c r="N666" i="4"/>
  <c r="K666" i="4"/>
  <c r="N665" i="4"/>
  <c r="K665" i="4"/>
  <c r="N664" i="4"/>
  <c r="K664" i="4"/>
  <c r="N663" i="4"/>
  <c r="K663" i="4"/>
  <c r="N662" i="4"/>
  <c r="K662" i="4"/>
  <c r="N661" i="4"/>
  <c r="K661" i="4"/>
  <c r="N660" i="4"/>
  <c r="K660" i="4"/>
  <c r="N659" i="4"/>
  <c r="K659" i="4"/>
  <c r="N658" i="4"/>
  <c r="K658" i="4"/>
  <c r="N657" i="4"/>
  <c r="K657" i="4"/>
  <c r="N656" i="4"/>
  <c r="K656" i="4"/>
  <c r="N655" i="4"/>
  <c r="K655" i="4"/>
  <c r="N654" i="4"/>
  <c r="K654" i="4"/>
  <c r="N653" i="4"/>
  <c r="K653" i="4"/>
  <c r="N652" i="4"/>
  <c r="K652" i="4"/>
  <c r="N651" i="4"/>
  <c r="K651" i="4"/>
  <c r="N650" i="4"/>
  <c r="K650" i="4"/>
  <c r="N649" i="4"/>
  <c r="K649" i="4"/>
  <c r="N648" i="4"/>
  <c r="K648" i="4"/>
  <c r="N647" i="4"/>
  <c r="K647" i="4"/>
  <c r="N646" i="4"/>
  <c r="K646" i="4"/>
  <c r="N645" i="4"/>
  <c r="K645" i="4"/>
  <c r="N644" i="4"/>
  <c r="K644" i="4"/>
  <c r="N643" i="4"/>
  <c r="K643" i="4"/>
  <c r="N642" i="4"/>
  <c r="K642" i="4"/>
  <c r="N641" i="4"/>
  <c r="K641" i="4"/>
  <c r="N640" i="4"/>
  <c r="K640" i="4"/>
  <c r="N639" i="4"/>
  <c r="K639" i="4"/>
  <c r="N638" i="4"/>
  <c r="K638" i="4"/>
  <c r="N637" i="4"/>
  <c r="K637" i="4"/>
  <c r="N636" i="4"/>
  <c r="K636" i="4"/>
  <c r="N635" i="4"/>
  <c r="K635" i="4"/>
  <c r="N634" i="4"/>
  <c r="K634" i="4"/>
  <c r="N633" i="4"/>
  <c r="K633" i="4"/>
  <c r="N632" i="4"/>
  <c r="K632" i="4"/>
  <c r="N631" i="4"/>
  <c r="K631" i="4"/>
  <c r="N630" i="4"/>
  <c r="K630" i="4"/>
  <c r="N629" i="4"/>
  <c r="K629" i="4"/>
  <c r="N628" i="4"/>
  <c r="K628" i="4"/>
  <c r="N627" i="4"/>
  <c r="K627" i="4"/>
  <c r="N626" i="4"/>
  <c r="K626" i="4"/>
  <c r="N625" i="4"/>
  <c r="K625" i="4"/>
  <c r="N624" i="4"/>
  <c r="K624" i="4"/>
  <c r="N623" i="4"/>
  <c r="K623" i="4"/>
  <c r="N622" i="4"/>
  <c r="K622" i="4"/>
  <c r="N621" i="4"/>
  <c r="K621" i="4"/>
  <c r="N620" i="4"/>
  <c r="K620" i="4"/>
  <c r="N619" i="4"/>
  <c r="K619" i="4"/>
  <c r="N618" i="4"/>
  <c r="K618" i="4"/>
  <c r="N617" i="4"/>
  <c r="K617" i="4"/>
  <c r="N616" i="4"/>
  <c r="K616" i="4"/>
  <c r="N615" i="4"/>
  <c r="K615" i="4"/>
  <c r="N614" i="4"/>
  <c r="K614" i="4"/>
  <c r="N613" i="4"/>
  <c r="K613" i="4"/>
  <c r="N612" i="4"/>
  <c r="K612" i="4"/>
  <c r="N611" i="4"/>
  <c r="K611" i="4"/>
  <c r="N610" i="4"/>
  <c r="K610" i="4"/>
  <c r="N609" i="4"/>
  <c r="K609" i="4"/>
  <c r="N608" i="4"/>
  <c r="K608" i="4"/>
  <c r="N607" i="4"/>
  <c r="K607" i="4"/>
  <c r="N606" i="4"/>
  <c r="K606" i="4"/>
  <c r="N605" i="4"/>
  <c r="K605" i="4"/>
  <c r="N604" i="4"/>
  <c r="K604" i="4"/>
  <c r="N603" i="4"/>
  <c r="K603" i="4"/>
  <c r="N602" i="4"/>
  <c r="K602" i="4"/>
  <c r="N601" i="4"/>
  <c r="K601" i="4"/>
  <c r="N600" i="4"/>
  <c r="K600" i="4"/>
  <c r="N599" i="4"/>
  <c r="K599" i="4"/>
  <c r="N598" i="4"/>
  <c r="K598" i="4"/>
  <c r="N597" i="4"/>
  <c r="K597" i="4"/>
  <c r="N596" i="4"/>
  <c r="K596" i="4"/>
  <c r="N595" i="4"/>
  <c r="K595" i="4"/>
  <c r="N594" i="4"/>
  <c r="K594" i="4"/>
  <c r="N593" i="4"/>
  <c r="K593" i="4"/>
  <c r="N592" i="4"/>
  <c r="K592" i="4"/>
  <c r="N591" i="4"/>
  <c r="K591" i="4"/>
  <c r="N590" i="4"/>
  <c r="K590" i="4"/>
  <c r="N589" i="4"/>
  <c r="K589" i="4"/>
  <c r="N588" i="4"/>
  <c r="K588" i="4"/>
  <c r="N587" i="4"/>
  <c r="K587" i="4"/>
  <c r="N586" i="4"/>
  <c r="K586" i="4"/>
  <c r="N585" i="4"/>
  <c r="K585" i="4"/>
  <c r="N584" i="4"/>
  <c r="K584" i="4"/>
  <c r="N583" i="4"/>
  <c r="K583" i="4"/>
  <c r="N582" i="4"/>
  <c r="K582" i="4"/>
  <c r="N581" i="4"/>
  <c r="K581" i="4"/>
  <c r="N580" i="4"/>
  <c r="K580" i="4"/>
  <c r="N579" i="4"/>
  <c r="K579" i="4"/>
  <c r="N578" i="4"/>
  <c r="K578" i="4"/>
  <c r="N577" i="4"/>
  <c r="K577" i="4"/>
  <c r="N576" i="4"/>
  <c r="K576" i="4"/>
  <c r="N575" i="4"/>
  <c r="K575" i="4"/>
  <c r="N574" i="4"/>
  <c r="K574" i="4"/>
  <c r="N573" i="4"/>
  <c r="K573" i="4"/>
  <c r="N572" i="4"/>
  <c r="K572" i="4"/>
  <c r="N571" i="4"/>
  <c r="K571" i="4"/>
  <c r="N570" i="4"/>
  <c r="K570" i="4"/>
  <c r="N569" i="4"/>
  <c r="K569" i="4"/>
  <c r="N568" i="4"/>
  <c r="K568" i="4"/>
  <c r="N567" i="4"/>
  <c r="K567" i="4"/>
  <c r="N566" i="4"/>
  <c r="K566" i="4"/>
  <c r="N565" i="4"/>
  <c r="K565" i="4"/>
  <c r="N564" i="4"/>
  <c r="K564" i="4"/>
  <c r="N563" i="4"/>
  <c r="K563" i="4"/>
  <c r="N562" i="4"/>
  <c r="K562" i="4"/>
  <c r="N561" i="4"/>
  <c r="K561" i="4"/>
  <c r="N560" i="4"/>
  <c r="K560" i="4"/>
  <c r="N559" i="4"/>
  <c r="K559" i="4"/>
  <c r="N558" i="4"/>
  <c r="K558" i="4"/>
  <c r="N557" i="4"/>
  <c r="K557" i="4"/>
  <c r="N556" i="4"/>
  <c r="K556" i="4"/>
  <c r="N555" i="4"/>
  <c r="K555" i="4"/>
  <c r="N554" i="4"/>
  <c r="K554" i="4"/>
  <c r="N553" i="4"/>
  <c r="K553" i="4"/>
  <c r="N552" i="4"/>
  <c r="K552" i="4"/>
  <c r="N551" i="4"/>
  <c r="K551" i="4"/>
  <c r="N550" i="4"/>
  <c r="K550" i="4"/>
  <c r="N549" i="4"/>
  <c r="K549" i="4"/>
  <c r="N548" i="4"/>
  <c r="K548" i="4"/>
  <c r="N547" i="4"/>
  <c r="K547" i="4"/>
  <c r="N546" i="4"/>
  <c r="K546" i="4"/>
  <c r="N545" i="4"/>
  <c r="K545" i="4"/>
  <c r="N544" i="4"/>
  <c r="K544" i="4"/>
  <c r="N543" i="4"/>
  <c r="K543" i="4"/>
  <c r="N542" i="4"/>
  <c r="K542" i="4"/>
  <c r="N541" i="4"/>
  <c r="K541" i="4"/>
  <c r="N540" i="4"/>
  <c r="K540" i="4"/>
  <c r="N539" i="4"/>
  <c r="K539" i="4"/>
  <c r="N538" i="4"/>
  <c r="K538" i="4"/>
  <c r="N537" i="4"/>
  <c r="K537" i="4"/>
  <c r="N536" i="4"/>
  <c r="K536" i="4"/>
  <c r="N535" i="4"/>
  <c r="K535" i="4"/>
  <c r="N534" i="4"/>
  <c r="K534" i="4"/>
  <c r="N533" i="4"/>
  <c r="K533" i="4"/>
  <c r="N532" i="4"/>
  <c r="K532" i="4"/>
  <c r="N531" i="4"/>
  <c r="K531" i="4"/>
  <c r="N530" i="4"/>
  <c r="K530" i="4"/>
  <c r="N529" i="4"/>
  <c r="K529" i="4"/>
  <c r="N528" i="4"/>
  <c r="K528" i="4"/>
  <c r="N527" i="4"/>
  <c r="K527" i="4"/>
  <c r="N526" i="4"/>
  <c r="K526" i="4"/>
  <c r="N525" i="4"/>
  <c r="K525" i="4"/>
  <c r="N524" i="4"/>
  <c r="K524" i="4"/>
  <c r="N523" i="4"/>
  <c r="K523" i="4"/>
  <c r="N522" i="4"/>
  <c r="K522" i="4"/>
  <c r="N521" i="4"/>
  <c r="K521" i="4"/>
  <c r="N520" i="4"/>
  <c r="K520" i="4"/>
  <c r="N519" i="4"/>
  <c r="K519" i="4"/>
  <c r="N518" i="4"/>
  <c r="K518" i="4"/>
  <c r="N517" i="4"/>
  <c r="K517" i="4"/>
  <c r="N516" i="4"/>
  <c r="K516" i="4"/>
  <c r="N515" i="4"/>
  <c r="K515" i="4"/>
  <c r="N514" i="4"/>
  <c r="K514" i="4"/>
  <c r="N513" i="4"/>
  <c r="K513" i="4"/>
  <c r="N512" i="4"/>
  <c r="K512" i="4"/>
  <c r="N511" i="4"/>
  <c r="K511" i="4"/>
  <c r="N510" i="4"/>
  <c r="K510" i="4"/>
  <c r="N509" i="4"/>
  <c r="K509" i="4"/>
  <c r="N508" i="4"/>
  <c r="K508" i="4"/>
  <c r="N507" i="4"/>
  <c r="K507" i="4"/>
  <c r="N506" i="4"/>
  <c r="K506" i="4"/>
  <c r="N505" i="4"/>
  <c r="K505" i="4"/>
  <c r="N504" i="4"/>
  <c r="K504" i="4"/>
  <c r="N503" i="4"/>
  <c r="K503" i="4"/>
  <c r="N502" i="4"/>
  <c r="K502" i="4"/>
  <c r="N501" i="4"/>
  <c r="K501" i="4"/>
  <c r="N500" i="4"/>
  <c r="K500" i="4"/>
  <c r="N499" i="4"/>
  <c r="K499" i="4"/>
  <c r="N498" i="4"/>
  <c r="K498" i="4"/>
  <c r="N497" i="4"/>
  <c r="K497" i="4"/>
  <c r="N496" i="4"/>
  <c r="K496" i="4"/>
  <c r="N495" i="4"/>
  <c r="K495" i="4"/>
  <c r="N494" i="4"/>
  <c r="K494" i="4"/>
  <c r="N493" i="4"/>
  <c r="K493" i="4"/>
  <c r="N492" i="4"/>
  <c r="K492" i="4"/>
  <c r="N491" i="4"/>
  <c r="K491" i="4"/>
  <c r="N490" i="4"/>
  <c r="K490" i="4"/>
  <c r="N489" i="4"/>
  <c r="K489" i="4"/>
  <c r="N488" i="4"/>
  <c r="K488" i="4"/>
  <c r="N487" i="4"/>
  <c r="K487" i="4"/>
  <c r="N486" i="4"/>
  <c r="K486" i="4"/>
  <c r="N485" i="4"/>
  <c r="K485" i="4"/>
  <c r="N484" i="4"/>
  <c r="K484" i="4"/>
  <c r="N483" i="4"/>
  <c r="K483" i="4"/>
  <c r="N482" i="4"/>
  <c r="K482" i="4"/>
  <c r="N481" i="4"/>
  <c r="K481" i="4"/>
  <c r="N480" i="4"/>
  <c r="K480" i="4"/>
  <c r="N479" i="4"/>
  <c r="K479" i="4"/>
  <c r="N478" i="4"/>
  <c r="K478" i="4"/>
  <c r="N477" i="4"/>
  <c r="K477" i="4"/>
  <c r="N476" i="4"/>
  <c r="K476" i="4"/>
  <c r="N475" i="4"/>
  <c r="K475" i="4"/>
  <c r="N474" i="4"/>
  <c r="K474" i="4"/>
  <c r="N473" i="4"/>
  <c r="K473" i="4"/>
  <c r="N472" i="4"/>
  <c r="K472" i="4"/>
  <c r="N471" i="4"/>
  <c r="K471" i="4"/>
  <c r="N470" i="4"/>
  <c r="K470" i="4"/>
  <c r="N469" i="4"/>
  <c r="K469" i="4"/>
  <c r="N468" i="4"/>
  <c r="K468" i="4"/>
  <c r="N467" i="4"/>
  <c r="K467" i="4"/>
  <c r="N466" i="4"/>
  <c r="K466" i="4"/>
  <c r="N465" i="4"/>
  <c r="K465" i="4"/>
  <c r="N464" i="4"/>
  <c r="K464" i="4"/>
  <c r="N463" i="4"/>
  <c r="K463" i="4"/>
  <c r="N462" i="4"/>
  <c r="K462" i="4"/>
  <c r="N461" i="4"/>
  <c r="K461" i="4"/>
  <c r="N460" i="4"/>
  <c r="K460" i="4"/>
  <c r="N459" i="4"/>
  <c r="K459" i="4"/>
  <c r="N458" i="4"/>
  <c r="K458" i="4"/>
  <c r="N457" i="4"/>
  <c r="K457" i="4"/>
  <c r="N456" i="4"/>
  <c r="K456" i="4"/>
  <c r="N455" i="4"/>
  <c r="K455" i="4"/>
  <c r="N454" i="4"/>
  <c r="K454" i="4"/>
  <c r="N453" i="4"/>
  <c r="K453" i="4"/>
  <c r="N452" i="4"/>
  <c r="K452" i="4"/>
  <c r="N451" i="4"/>
  <c r="K451" i="4"/>
  <c r="N450" i="4"/>
  <c r="K450" i="4"/>
  <c r="N449" i="4"/>
  <c r="K449" i="4"/>
  <c r="N448" i="4"/>
  <c r="K448" i="4"/>
  <c r="N447" i="4"/>
  <c r="K447" i="4"/>
  <c r="N446" i="4"/>
  <c r="K446" i="4"/>
  <c r="N445" i="4"/>
  <c r="K445" i="4"/>
  <c r="N444" i="4"/>
  <c r="K444" i="4"/>
  <c r="N443" i="4"/>
  <c r="K443" i="4"/>
  <c r="N442" i="4"/>
  <c r="K442" i="4"/>
  <c r="N441" i="4"/>
  <c r="K441" i="4"/>
  <c r="N440" i="4"/>
  <c r="K440" i="4"/>
  <c r="N439" i="4"/>
  <c r="K439" i="4"/>
  <c r="N438" i="4"/>
  <c r="K438" i="4"/>
  <c r="N437" i="4"/>
  <c r="K437" i="4"/>
  <c r="N436" i="4"/>
  <c r="K436" i="4"/>
  <c r="N435" i="4"/>
  <c r="K435" i="4"/>
  <c r="N434" i="4"/>
  <c r="K434" i="4"/>
  <c r="N433" i="4"/>
  <c r="K433" i="4"/>
  <c r="N432" i="4"/>
  <c r="K432" i="4"/>
  <c r="N431" i="4"/>
  <c r="K431" i="4"/>
  <c r="N430" i="4"/>
  <c r="K430" i="4"/>
  <c r="N429" i="4"/>
  <c r="K429" i="4"/>
  <c r="N428" i="4"/>
  <c r="K428" i="4"/>
  <c r="N427" i="4"/>
  <c r="K427" i="4"/>
  <c r="N426" i="4"/>
  <c r="K426" i="4"/>
  <c r="N425" i="4"/>
  <c r="K425" i="4"/>
  <c r="N424" i="4"/>
  <c r="K424" i="4"/>
  <c r="N423" i="4"/>
  <c r="K423" i="4"/>
  <c r="N422" i="4"/>
  <c r="K422" i="4"/>
  <c r="N421" i="4"/>
  <c r="K421" i="4"/>
  <c r="N420" i="4"/>
  <c r="K420" i="4"/>
  <c r="N419" i="4"/>
  <c r="K419" i="4"/>
  <c r="N418" i="4"/>
  <c r="K418" i="4"/>
  <c r="N417" i="4"/>
  <c r="K417" i="4"/>
  <c r="N416" i="4"/>
  <c r="K416" i="4"/>
  <c r="N415" i="4"/>
  <c r="K415" i="4"/>
  <c r="N414" i="4"/>
  <c r="K414" i="4"/>
  <c r="N413" i="4"/>
  <c r="K413" i="4"/>
  <c r="N412" i="4"/>
  <c r="K412" i="4"/>
  <c r="N411" i="4"/>
  <c r="K411" i="4"/>
  <c r="N410" i="4"/>
  <c r="K410" i="4"/>
  <c r="N409" i="4"/>
  <c r="K409" i="4"/>
  <c r="N408" i="4"/>
  <c r="K408" i="4"/>
  <c r="N407" i="4"/>
  <c r="K407" i="4"/>
  <c r="N406" i="4"/>
  <c r="K406" i="4"/>
  <c r="N405" i="4"/>
  <c r="K405" i="4"/>
  <c r="N404" i="4"/>
  <c r="K404" i="4"/>
  <c r="N403" i="4"/>
  <c r="K403" i="4"/>
  <c r="N402" i="4"/>
  <c r="K402" i="4"/>
  <c r="N401" i="4"/>
  <c r="K401" i="4"/>
  <c r="N400" i="4"/>
  <c r="K400" i="4"/>
  <c r="N399" i="4"/>
  <c r="K399" i="4"/>
  <c r="N398" i="4"/>
  <c r="K398" i="4"/>
  <c r="N397" i="4"/>
  <c r="K397" i="4"/>
  <c r="N396" i="4"/>
  <c r="K396" i="4"/>
  <c r="N395" i="4"/>
  <c r="K395" i="4"/>
  <c r="N394" i="4"/>
  <c r="K394" i="4"/>
  <c r="N393" i="4"/>
  <c r="K393" i="4"/>
  <c r="N392" i="4"/>
  <c r="K392" i="4"/>
  <c r="N391" i="4"/>
  <c r="K391" i="4"/>
  <c r="N390" i="4"/>
  <c r="K390" i="4"/>
  <c r="N389" i="4"/>
  <c r="K389" i="4"/>
  <c r="N388" i="4"/>
  <c r="K388" i="4"/>
  <c r="N387" i="4"/>
  <c r="K387" i="4"/>
  <c r="N386" i="4"/>
  <c r="K386" i="4"/>
  <c r="N385" i="4"/>
  <c r="K385" i="4"/>
  <c r="N384" i="4"/>
  <c r="K384" i="4"/>
  <c r="N383" i="4"/>
  <c r="K383" i="4"/>
  <c r="N382" i="4"/>
  <c r="K382" i="4"/>
  <c r="N381" i="4"/>
  <c r="K381" i="4"/>
  <c r="N380" i="4"/>
  <c r="K380" i="4"/>
  <c r="N379" i="4"/>
  <c r="K379" i="4"/>
  <c r="N378" i="4"/>
  <c r="K378" i="4"/>
  <c r="N377" i="4"/>
  <c r="K377" i="4"/>
  <c r="N376" i="4"/>
  <c r="K376" i="4"/>
  <c r="N375" i="4"/>
  <c r="K375" i="4"/>
  <c r="N374" i="4"/>
  <c r="K374" i="4"/>
  <c r="N373" i="4"/>
  <c r="K373" i="4"/>
  <c r="N372" i="4"/>
  <c r="K372" i="4"/>
  <c r="N371" i="4"/>
  <c r="K371" i="4"/>
  <c r="N370" i="4"/>
  <c r="K370" i="4"/>
  <c r="N369" i="4"/>
  <c r="K369" i="4"/>
  <c r="N368" i="4"/>
  <c r="K368" i="4"/>
  <c r="N367" i="4"/>
  <c r="K367" i="4"/>
  <c r="N366" i="4"/>
  <c r="K366" i="4"/>
  <c r="N365" i="4"/>
  <c r="K365" i="4"/>
  <c r="N364" i="4"/>
  <c r="K364" i="4"/>
  <c r="N363" i="4"/>
  <c r="K363" i="4"/>
  <c r="N362" i="4"/>
  <c r="K362" i="4"/>
  <c r="N361" i="4"/>
  <c r="K361" i="4"/>
  <c r="N360" i="4"/>
  <c r="K360" i="4"/>
  <c r="N359" i="4"/>
  <c r="K359" i="4"/>
  <c r="N358" i="4"/>
  <c r="K358" i="4"/>
  <c r="N357" i="4"/>
  <c r="K357" i="4"/>
  <c r="N356" i="4"/>
  <c r="K356" i="4"/>
  <c r="N355" i="4"/>
  <c r="K355" i="4"/>
  <c r="N354" i="4"/>
  <c r="K354" i="4"/>
  <c r="N353" i="4"/>
  <c r="K353" i="4"/>
  <c r="N352" i="4"/>
  <c r="K352" i="4"/>
  <c r="N351" i="4"/>
  <c r="K351" i="4"/>
  <c r="N350" i="4"/>
  <c r="K350" i="4"/>
  <c r="N349" i="4"/>
  <c r="K349" i="4"/>
  <c r="N348" i="4"/>
  <c r="K348" i="4"/>
  <c r="N347" i="4"/>
  <c r="K347" i="4"/>
  <c r="N346" i="4"/>
  <c r="K346" i="4"/>
  <c r="N345" i="4"/>
  <c r="K345" i="4"/>
  <c r="N344" i="4"/>
  <c r="K344" i="4"/>
  <c r="N343" i="4"/>
  <c r="K343" i="4"/>
  <c r="N342" i="4"/>
  <c r="K342" i="4"/>
  <c r="N341" i="4"/>
  <c r="K341" i="4"/>
  <c r="N340" i="4"/>
  <c r="K340" i="4"/>
  <c r="N339" i="4"/>
  <c r="K339" i="4"/>
  <c r="N338" i="4"/>
  <c r="K338" i="4"/>
  <c r="N337" i="4"/>
  <c r="K337" i="4"/>
  <c r="N336" i="4"/>
  <c r="K336" i="4"/>
  <c r="N335" i="4"/>
  <c r="K335" i="4"/>
  <c r="N334" i="4"/>
  <c r="K334" i="4"/>
  <c r="N333" i="4"/>
  <c r="K333" i="4"/>
  <c r="N332" i="4"/>
  <c r="K332" i="4"/>
  <c r="N331" i="4"/>
  <c r="K331" i="4"/>
  <c r="N330" i="4"/>
  <c r="K330" i="4"/>
  <c r="N329" i="4"/>
  <c r="K329" i="4"/>
  <c r="N328" i="4"/>
  <c r="K328" i="4"/>
  <c r="N327" i="4"/>
  <c r="K327" i="4"/>
  <c r="N326" i="4"/>
  <c r="K326" i="4"/>
  <c r="N325" i="4"/>
  <c r="K325" i="4"/>
  <c r="N324" i="4"/>
  <c r="K324" i="4"/>
  <c r="N323" i="4"/>
  <c r="K323" i="4"/>
  <c r="N322" i="4"/>
  <c r="K322" i="4"/>
  <c r="N321" i="4"/>
  <c r="K321" i="4"/>
  <c r="N320" i="4"/>
  <c r="K320" i="4"/>
  <c r="N319" i="4"/>
  <c r="K319" i="4"/>
  <c r="N318" i="4"/>
  <c r="K318" i="4"/>
  <c r="N317" i="4"/>
  <c r="K317" i="4"/>
  <c r="N316" i="4"/>
  <c r="K316" i="4"/>
  <c r="N315" i="4"/>
  <c r="K315" i="4"/>
  <c r="N314" i="4"/>
  <c r="K314" i="4"/>
  <c r="N313" i="4"/>
  <c r="K313" i="4"/>
  <c r="N312" i="4"/>
  <c r="K312" i="4"/>
  <c r="N311" i="4"/>
  <c r="K311" i="4"/>
  <c r="N310" i="4"/>
  <c r="K310" i="4"/>
  <c r="N309" i="4"/>
  <c r="K309" i="4"/>
  <c r="N308" i="4"/>
  <c r="K308" i="4"/>
  <c r="N307" i="4"/>
  <c r="K307" i="4"/>
  <c r="N306" i="4"/>
  <c r="K306" i="4"/>
  <c r="N305" i="4"/>
  <c r="K305" i="4"/>
  <c r="N304" i="4"/>
  <c r="K304" i="4"/>
  <c r="N303" i="4"/>
  <c r="K303" i="4"/>
  <c r="N302" i="4"/>
  <c r="K302" i="4"/>
  <c r="N301" i="4"/>
  <c r="K301" i="4"/>
  <c r="N300" i="4"/>
  <c r="K300" i="4"/>
  <c r="N299" i="4"/>
  <c r="K299" i="4"/>
  <c r="N298" i="4"/>
  <c r="K298" i="4"/>
  <c r="N297" i="4"/>
  <c r="K297" i="4"/>
  <c r="N296" i="4"/>
  <c r="K296" i="4"/>
  <c r="N295" i="4"/>
  <c r="K295" i="4"/>
  <c r="N294" i="4"/>
  <c r="K294" i="4"/>
  <c r="N293" i="4"/>
  <c r="K293" i="4"/>
  <c r="N292" i="4"/>
  <c r="K292" i="4"/>
  <c r="N291" i="4"/>
  <c r="K291" i="4"/>
  <c r="N290" i="4"/>
  <c r="K290" i="4"/>
  <c r="N289" i="4"/>
  <c r="K289" i="4"/>
  <c r="N288" i="4"/>
  <c r="K288" i="4"/>
  <c r="N287" i="4"/>
  <c r="K287" i="4"/>
  <c r="N286" i="4"/>
  <c r="K286" i="4"/>
  <c r="N285" i="4"/>
  <c r="K285" i="4"/>
  <c r="N284" i="4"/>
  <c r="K284" i="4"/>
  <c r="N283" i="4"/>
  <c r="K283" i="4"/>
  <c r="N282" i="4"/>
  <c r="K282" i="4"/>
  <c r="N281" i="4"/>
  <c r="K281" i="4"/>
  <c r="N280" i="4"/>
  <c r="K280" i="4"/>
  <c r="N279" i="4"/>
  <c r="K279" i="4"/>
  <c r="N278" i="4"/>
  <c r="K278" i="4"/>
  <c r="N277" i="4"/>
  <c r="K277" i="4"/>
  <c r="N276" i="4"/>
  <c r="K276" i="4"/>
  <c r="N275" i="4"/>
  <c r="K275" i="4"/>
  <c r="N274" i="4"/>
  <c r="K274" i="4"/>
  <c r="N273" i="4"/>
  <c r="K273" i="4"/>
  <c r="N272" i="4"/>
  <c r="K272" i="4"/>
  <c r="N271" i="4"/>
  <c r="K271" i="4"/>
  <c r="N270" i="4"/>
  <c r="K270" i="4"/>
  <c r="N269" i="4"/>
  <c r="K269" i="4"/>
  <c r="N268" i="4"/>
  <c r="K268" i="4"/>
  <c r="N267" i="4"/>
  <c r="K267" i="4"/>
  <c r="N266" i="4"/>
  <c r="K266" i="4"/>
  <c r="N265" i="4"/>
  <c r="K265" i="4"/>
  <c r="N264" i="4"/>
  <c r="K264" i="4"/>
  <c r="N263" i="4"/>
  <c r="K263" i="4"/>
  <c r="N262" i="4"/>
  <c r="K262" i="4"/>
  <c r="N261" i="4"/>
  <c r="K261" i="4"/>
  <c r="N260" i="4"/>
  <c r="K260" i="4"/>
  <c r="N259" i="4"/>
  <c r="K259" i="4"/>
  <c r="N258" i="4"/>
  <c r="K258" i="4"/>
  <c r="N257" i="4"/>
  <c r="K257" i="4"/>
  <c r="N256" i="4"/>
  <c r="K256" i="4"/>
  <c r="N255" i="4"/>
  <c r="K255" i="4"/>
  <c r="N254" i="4"/>
  <c r="K254" i="4"/>
  <c r="N253" i="4"/>
  <c r="K253" i="4"/>
  <c r="N252" i="4"/>
  <c r="K252" i="4"/>
  <c r="N251" i="4"/>
  <c r="K251" i="4"/>
  <c r="N250" i="4"/>
  <c r="K250" i="4"/>
  <c r="N249" i="4"/>
  <c r="K249" i="4"/>
  <c r="N248" i="4"/>
  <c r="K248" i="4"/>
  <c r="N247" i="4"/>
  <c r="K247" i="4"/>
  <c r="N246" i="4"/>
  <c r="K246" i="4"/>
  <c r="N245" i="4"/>
  <c r="K245" i="4"/>
  <c r="N244" i="4"/>
  <c r="K244" i="4"/>
  <c r="N243" i="4"/>
  <c r="K243" i="4"/>
  <c r="N242" i="4"/>
  <c r="K242" i="4"/>
  <c r="N241" i="4"/>
  <c r="K241" i="4"/>
  <c r="N240" i="4"/>
  <c r="K240" i="4"/>
  <c r="N239" i="4"/>
  <c r="K239" i="4"/>
  <c r="N238" i="4"/>
  <c r="K238" i="4"/>
  <c r="N237" i="4"/>
  <c r="K237" i="4"/>
  <c r="N236" i="4"/>
  <c r="K236" i="4"/>
  <c r="N235" i="4"/>
  <c r="K235" i="4"/>
  <c r="N234" i="4"/>
  <c r="K234" i="4"/>
  <c r="N233" i="4"/>
  <c r="K233" i="4"/>
  <c r="N232" i="4"/>
  <c r="K232" i="4"/>
  <c r="N231" i="4"/>
  <c r="K231" i="4"/>
  <c r="N230" i="4"/>
  <c r="K230" i="4"/>
  <c r="N229" i="4"/>
  <c r="K229" i="4"/>
  <c r="N228" i="4"/>
  <c r="K228" i="4"/>
  <c r="N227" i="4"/>
  <c r="K227" i="4"/>
  <c r="N226" i="4"/>
  <c r="K226" i="4"/>
  <c r="N225" i="4"/>
  <c r="K225" i="4"/>
  <c r="N224" i="4"/>
  <c r="K224" i="4"/>
  <c r="N223" i="4"/>
  <c r="K223" i="4"/>
  <c r="N222" i="4"/>
  <c r="K222" i="4"/>
  <c r="N221" i="4"/>
  <c r="K221" i="4"/>
  <c r="N220" i="4"/>
  <c r="K220" i="4"/>
  <c r="N219" i="4"/>
  <c r="K219" i="4"/>
  <c r="N218" i="4"/>
  <c r="K218" i="4"/>
  <c r="N217" i="4"/>
  <c r="K217" i="4"/>
  <c r="N216" i="4"/>
  <c r="K216" i="4"/>
  <c r="N215" i="4"/>
  <c r="K215" i="4"/>
  <c r="N214" i="4"/>
  <c r="K214" i="4"/>
  <c r="N213" i="4"/>
  <c r="K213" i="4"/>
  <c r="N212" i="4"/>
  <c r="K212" i="4"/>
  <c r="N211" i="4"/>
  <c r="K211" i="4"/>
  <c r="N210" i="4"/>
  <c r="K210" i="4"/>
  <c r="N209" i="4"/>
  <c r="K209" i="4"/>
  <c r="N208" i="4"/>
  <c r="K208" i="4"/>
  <c r="N207" i="4"/>
  <c r="K207" i="4"/>
  <c r="N206" i="4"/>
  <c r="K206" i="4"/>
  <c r="N205" i="4"/>
  <c r="K205" i="4"/>
  <c r="N204" i="4"/>
  <c r="K204" i="4"/>
  <c r="N203" i="4"/>
  <c r="K203" i="4"/>
  <c r="N202" i="4"/>
  <c r="K202" i="4"/>
  <c r="N201" i="4"/>
  <c r="K201" i="4"/>
  <c r="N200" i="4"/>
  <c r="K200" i="4"/>
  <c r="N199" i="4"/>
  <c r="K199" i="4"/>
  <c r="N198" i="4"/>
  <c r="K198" i="4"/>
  <c r="N197" i="4"/>
  <c r="K197" i="4"/>
  <c r="N196" i="4"/>
  <c r="K196" i="4"/>
  <c r="N195" i="4"/>
  <c r="K195" i="4"/>
  <c r="N194" i="4"/>
  <c r="K194" i="4"/>
  <c r="N193" i="4"/>
  <c r="K193" i="4"/>
  <c r="N192" i="4"/>
  <c r="K192" i="4"/>
  <c r="N191" i="4"/>
  <c r="K191" i="4"/>
  <c r="N190" i="4"/>
  <c r="K190" i="4"/>
  <c r="N189" i="4"/>
  <c r="K189" i="4"/>
  <c r="N188" i="4"/>
  <c r="K188" i="4"/>
  <c r="N187" i="4"/>
  <c r="K187" i="4"/>
  <c r="N186" i="4"/>
  <c r="K186" i="4"/>
  <c r="N185" i="4"/>
  <c r="K185" i="4"/>
  <c r="N184" i="4"/>
  <c r="K184" i="4"/>
  <c r="N183" i="4"/>
  <c r="K183" i="4"/>
  <c r="N182" i="4"/>
  <c r="K182" i="4"/>
  <c r="N181" i="4"/>
  <c r="K181" i="4"/>
  <c r="N180" i="4"/>
  <c r="K180" i="4"/>
  <c r="N179" i="4"/>
  <c r="K179" i="4"/>
  <c r="N178" i="4"/>
  <c r="K178" i="4"/>
  <c r="N177" i="4"/>
  <c r="K177" i="4"/>
  <c r="N176" i="4"/>
  <c r="K176" i="4"/>
  <c r="N175" i="4"/>
  <c r="K175" i="4"/>
  <c r="N174" i="4"/>
  <c r="K174" i="4"/>
  <c r="N173" i="4"/>
  <c r="K173" i="4"/>
  <c r="N172" i="4"/>
  <c r="K172" i="4"/>
  <c r="N171" i="4"/>
  <c r="K171" i="4"/>
  <c r="N170" i="4"/>
  <c r="K170" i="4"/>
  <c r="N169" i="4"/>
  <c r="K169" i="4"/>
  <c r="N168" i="4"/>
  <c r="K168" i="4"/>
  <c r="N167" i="4"/>
  <c r="K167" i="4"/>
  <c r="N166" i="4"/>
  <c r="K166" i="4"/>
  <c r="N165" i="4"/>
  <c r="K165" i="4"/>
  <c r="N164" i="4"/>
  <c r="K164" i="4"/>
  <c r="N163" i="4"/>
  <c r="K163" i="4"/>
  <c r="N162" i="4"/>
  <c r="K162" i="4"/>
  <c r="N161" i="4"/>
  <c r="K161" i="4"/>
  <c r="N160" i="4"/>
  <c r="K160" i="4"/>
  <c r="N159" i="4"/>
  <c r="K159" i="4"/>
  <c r="N158" i="4"/>
  <c r="K158" i="4"/>
  <c r="N157" i="4"/>
  <c r="K157" i="4"/>
  <c r="N156" i="4"/>
  <c r="K156" i="4"/>
  <c r="N155" i="4"/>
  <c r="K155" i="4"/>
  <c r="N154" i="4"/>
  <c r="K154" i="4"/>
  <c r="N153" i="4"/>
  <c r="K153" i="4"/>
  <c r="N152" i="4"/>
  <c r="K152" i="4"/>
  <c r="N151" i="4"/>
  <c r="K151" i="4"/>
  <c r="N150" i="4"/>
  <c r="K150" i="4"/>
  <c r="N149" i="4"/>
  <c r="K149" i="4"/>
  <c r="N148" i="4"/>
  <c r="K148" i="4"/>
  <c r="N147" i="4"/>
  <c r="K147" i="4"/>
  <c r="N146" i="4"/>
  <c r="K146" i="4"/>
  <c r="N145" i="4"/>
  <c r="K145" i="4"/>
  <c r="N144" i="4"/>
  <c r="K144" i="4"/>
  <c r="N143" i="4"/>
  <c r="K143" i="4"/>
  <c r="N142" i="4"/>
  <c r="K142" i="4"/>
  <c r="N141" i="4"/>
  <c r="K141" i="4"/>
  <c r="N140" i="4"/>
  <c r="K140" i="4"/>
  <c r="N139" i="4"/>
  <c r="K139" i="4"/>
  <c r="N138" i="4"/>
  <c r="K138" i="4"/>
  <c r="N137" i="4"/>
  <c r="K137" i="4"/>
  <c r="N136" i="4"/>
  <c r="K136" i="4"/>
  <c r="N135" i="4"/>
  <c r="K135" i="4"/>
  <c r="N134" i="4"/>
  <c r="K134" i="4"/>
  <c r="N133" i="4"/>
  <c r="K133" i="4"/>
  <c r="N132" i="4"/>
  <c r="K132" i="4"/>
  <c r="N131" i="4"/>
  <c r="K131" i="4"/>
  <c r="N130" i="4"/>
  <c r="K130" i="4"/>
  <c r="N129" i="4"/>
  <c r="K129" i="4"/>
  <c r="N128" i="4"/>
  <c r="K128" i="4"/>
  <c r="N127" i="4"/>
  <c r="K127" i="4"/>
  <c r="N126" i="4"/>
  <c r="K126" i="4"/>
  <c r="N125" i="4"/>
  <c r="K125" i="4"/>
  <c r="N124" i="4"/>
  <c r="K124" i="4"/>
  <c r="N123" i="4"/>
  <c r="K123" i="4"/>
  <c r="N122" i="4"/>
  <c r="K122" i="4"/>
  <c r="N121" i="4"/>
  <c r="K121" i="4"/>
  <c r="N120" i="4"/>
  <c r="K120" i="4"/>
  <c r="N119" i="4"/>
  <c r="K119" i="4"/>
  <c r="N118" i="4"/>
  <c r="K118" i="4"/>
  <c r="N117" i="4"/>
  <c r="K117" i="4"/>
  <c r="N116" i="4"/>
  <c r="K116" i="4"/>
  <c r="N115" i="4"/>
  <c r="K115" i="4"/>
  <c r="N114" i="4"/>
  <c r="K114" i="4"/>
  <c r="N113" i="4"/>
  <c r="K113" i="4"/>
  <c r="N112" i="4"/>
  <c r="K112" i="4"/>
  <c r="N111" i="4"/>
  <c r="K111" i="4"/>
  <c r="N110" i="4"/>
  <c r="K110" i="4"/>
  <c r="N109" i="4"/>
  <c r="K109" i="4"/>
  <c r="N108" i="4"/>
  <c r="K108" i="4"/>
  <c r="N107" i="4"/>
  <c r="K107" i="4"/>
  <c r="N106" i="4"/>
  <c r="K106" i="4"/>
  <c r="N105" i="4"/>
  <c r="K105" i="4"/>
  <c r="N104" i="4"/>
  <c r="K104" i="4"/>
  <c r="N103" i="4"/>
  <c r="K103" i="4"/>
  <c r="N102" i="4"/>
  <c r="K102" i="4"/>
  <c r="N101" i="4"/>
  <c r="K101" i="4"/>
  <c r="N100" i="4"/>
  <c r="K100" i="4"/>
  <c r="N99" i="4"/>
  <c r="K99" i="4"/>
  <c r="N98" i="4"/>
  <c r="K98" i="4"/>
  <c r="N97" i="4"/>
  <c r="K97" i="4"/>
  <c r="N96" i="4"/>
  <c r="K96" i="4"/>
  <c r="N95" i="4"/>
  <c r="K95" i="4"/>
  <c r="N94" i="4"/>
  <c r="K94" i="4"/>
  <c r="N93" i="4"/>
  <c r="K93" i="4"/>
  <c r="N92" i="4"/>
  <c r="K92" i="4"/>
  <c r="N91" i="4"/>
  <c r="K91" i="4"/>
  <c r="N90" i="4"/>
  <c r="K90" i="4"/>
  <c r="N89" i="4"/>
  <c r="K89" i="4"/>
  <c r="N88" i="4"/>
  <c r="K88" i="4"/>
  <c r="N87" i="4"/>
  <c r="K87" i="4"/>
  <c r="N86" i="4"/>
  <c r="K86" i="4"/>
  <c r="N85" i="4"/>
  <c r="K85" i="4"/>
  <c r="N84" i="4"/>
  <c r="K84" i="4"/>
  <c r="N83" i="4"/>
  <c r="K83" i="4"/>
  <c r="N82" i="4"/>
  <c r="K82" i="4"/>
  <c r="N81" i="4"/>
  <c r="K81" i="4"/>
  <c r="N80" i="4"/>
  <c r="K80" i="4"/>
  <c r="N79" i="4"/>
  <c r="K79" i="4"/>
  <c r="N78" i="4"/>
  <c r="K78" i="4"/>
  <c r="N77" i="4"/>
  <c r="K77" i="4"/>
  <c r="N76" i="4"/>
  <c r="K76" i="4"/>
  <c r="N75" i="4"/>
  <c r="K75" i="4"/>
  <c r="N74" i="4"/>
  <c r="K74" i="4"/>
  <c r="N73" i="4"/>
  <c r="K73" i="4"/>
  <c r="N72" i="4"/>
  <c r="K72" i="4"/>
  <c r="N71" i="4"/>
  <c r="K71" i="4"/>
  <c r="N70" i="4"/>
  <c r="K70" i="4"/>
  <c r="N69" i="4"/>
  <c r="K69" i="4"/>
  <c r="N68" i="4"/>
  <c r="K68" i="4"/>
  <c r="N67" i="4"/>
  <c r="K67" i="4"/>
  <c r="N66" i="4"/>
  <c r="K66" i="4"/>
  <c r="N65" i="4"/>
  <c r="K65" i="4"/>
  <c r="N64" i="4"/>
  <c r="K64" i="4"/>
  <c r="N63" i="4"/>
  <c r="K63" i="4"/>
  <c r="N62" i="4"/>
  <c r="K62" i="4"/>
  <c r="N61" i="4"/>
  <c r="K61" i="4"/>
  <c r="N60" i="4"/>
  <c r="K60" i="4"/>
  <c r="N59" i="4"/>
  <c r="K59" i="4"/>
  <c r="N58" i="4"/>
  <c r="K58" i="4"/>
  <c r="N57" i="4"/>
  <c r="K57" i="4"/>
  <c r="N56" i="4"/>
  <c r="K56" i="4"/>
  <c r="N55" i="4"/>
  <c r="K55" i="4"/>
  <c r="N54" i="4"/>
  <c r="K54" i="4"/>
  <c r="N53" i="4"/>
  <c r="K53" i="4"/>
  <c r="N52" i="4"/>
  <c r="K52" i="4"/>
  <c r="N51" i="4"/>
  <c r="K51" i="4"/>
  <c r="N50" i="4"/>
  <c r="K50" i="4"/>
  <c r="N49" i="4"/>
  <c r="K49" i="4"/>
  <c r="N48" i="4"/>
  <c r="K48" i="4"/>
  <c r="N47" i="4"/>
  <c r="K47" i="4"/>
  <c r="N46" i="4"/>
  <c r="K46" i="4"/>
  <c r="N45" i="4"/>
  <c r="K45" i="4"/>
  <c r="N44" i="4"/>
  <c r="K44" i="4"/>
  <c r="N43" i="4"/>
  <c r="K43" i="4"/>
  <c r="N42" i="4"/>
  <c r="K42" i="4"/>
  <c r="N41" i="4"/>
  <c r="K41" i="4"/>
  <c r="N40" i="4"/>
  <c r="K40" i="4"/>
  <c r="N39" i="4"/>
  <c r="K39" i="4"/>
  <c r="N38" i="4"/>
  <c r="K38" i="4"/>
  <c r="N37" i="4"/>
  <c r="K37" i="4"/>
  <c r="N36" i="4"/>
  <c r="K36" i="4"/>
  <c r="N35" i="4"/>
  <c r="K35" i="4"/>
  <c r="N34" i="4"/>
  <c r="K34" i="4"/>
  <c r="N33" i="4"/>
  <c r="K33" i="4"/>
  <c r="N32" i="4"/>
  <c r="K32" i="4"/>
  <c r="N31" i="4"/>
  <c r="K31" i="4"/>
  <c r="N30" i="4"/>
  <c r="K30" i="4"/>
  <c r="N29" i="4"/>
  <c r="K29" i="4"/>
  <c r="N28" i="4"/>
  <c r="K28" i="4"/>
  <c r="N27" i="4"/>
  <c r="K27" i="4"/>
  <c r="N26" i="4"/>
  <c r="K26" i="4"/>
  <c r="N25" i="4"/>
  <c r="K25" i="4"/>
  <c r="N24" i="4"/>
  <c r="K24" i="4"/>
  <c r="N23" i="4"/>
  <c r="K23" i="4"/>
  <c r="N22" i="4"/>
  <c r="K22" i="4"/>
  <c r="N21" i="4"/>
  <c r="K21" i="4"/>
  <c r="N20" i="4"/>
  <c r="K20" i="4"/>
  <c r="N19" i="4"/>
  <c r="K19" i="4"/>
  <c r="N18" i="4"/>
  <c r="K18" i="4"/>
  <c r="N17" i="4"/>
  <c r="K17" i="4"/>
  <c r="N16" i="4"/>
  <c r="K16" i="4"/>
  <c r="N15" i="4"/>
  <c r="K15" i="4"/>
  <c r="N14" i="4"/>
  <c r="K14" i="4"/>
  <c r="N13" i="4"/>
  <c r="K13" i="4"/>
  <c r="N12" i="4"/>
  <c r="K12" i="4"/>
  <c r="N11" i="4"/>
  <c r="K11" i="4"/>
  <c r="N10" i="4"/>
  <c r="K10" i="4"/>
  <c r="N9" i="4"/>
  <c r="K9" i="4"/>
  <c r="N8" i="4"/>
  <c r="K8" i="4"/>
  <c r="N7" i="4"/>
  <c r="K7" i="4"/>
  <c r="N6" i="4"/>
  <c r="K6" i="4"/>
  <c r="N5" i="4"/>
  <c r="K5" i="4"/>
  <c r="N4" i="4"/>
  <c r="K4" i="4"/>
  <c r="N3" i="4"/>
  <c r="K3" i="4"/>
  <c r="N2" i="4"/>
  <c r="K2" i="4"/>
  <c r="N1001" i="1"/>
  <c r="K1001" i="1"/>
  <c r="N1000" i="1"/>
  <c r="K1000" i="1"/>
  <c r="N999" i="1"/>
  <c r="K999" i="1"/>
  <c r="N998" i="1"/>
  <c r="K998" i="1"/>
  <c r="N997" i="1"/>
  <c r="K997" i="1"/>
  <c r="N996" i="1"/>
  <c r="K996" i="1"/>
  <c r="N995" i="1"/>
  <c r="K995" i="1"/>
  <c r="N994" i="1"/>
  <c r="K994" i="1"/>
  <c r="N993" i="1"/>
  <c r="K993" i="1"/>
  <c r="N992" i="1"/>
  <c r="K992" i="1"/>
  <c r="N991" i="1"/>
  <c r="K991" i="1"/>
  <c r="N990" i="1"/>
  <c r="K990" i="1"/>
  <c r="N989" i="1"/>
  <c r="K989" i="1"/>
  <c r="N988" i="1"/>
  <c r="K988" i="1"/>
  <c r="N987" i="1"/>
  <c r="K987" i="1"/>
  <c r="N986" i="1"/>
  <c r="K986" i="1"/>
  <c r="N985" i="1"/>
  <c r="K985" i="1"/>
  <c r="N984" i="1"/>
  <c r="K984" i="1"/>
  <c r="N983" i="1"/>
  <c r="K983" i="1"/>
  <c r="N982" i="1"/>
  <c r="K982" i="1"/>
  <c r="N981" i="1"/>
  <c r="K981" i="1"/>
  <c r="N980" i="1"/>
  <c r="K980" i="1"/>
  <c r="N979" i="1"/>
  <c r="K979" i="1"/>
  <c r="N978" i="1"/>
  <c r="K978" i="1"/>
  <c r="N977" i="1"/>
  <c r="K977" i="1"/>
  <c r="N976" i="1"/>
  <c r="K976" i="1"/>
  <c r="N975" i="1"/>
  <c r="K975" i="1"/>
  <c r="N974" i="1"/>
  <c r="K974" i="1"/>
  <c r="N973" i="1"/>
  <c r="K973" i="1"/>
  <c r="N972" i="1"/>
  <c r="K972" i="1"/>
  <c r="N971" i="1"/>
  <c r="K971" i="1"/>
  <c r="N970" i="1"/>
  <c r="K970" i="1"/>
  <c r="N969" i="1"/>
  <c r="K969" i="1"/>
  <c r="N968" i="1"/>
  <c r="K968" i="1"/>
  <c r="N967" i="1"/>
  <c r="K967" i="1"/>
  <c r="N966" i="1"/>
  <c r="K966" i="1"/>
  <c r="N965" i="1"/>
  <c r="K965" i="1"/>
  <c r="N964" i="1"/>
  <c r="K964" i="1"/>
  <c r="N963" i="1"/>
  <c r="K963" i="1"/>
  <c r="N962" i="1"/>
  <c r="K962" i="1"/>
  <c r="N961" i="1"/>
  <c r="K961" i="1"/>
  <c r="N960" i="1"/>
  <c r="K960" i="1"/>
  <c r="N959" i="1"/>
  <c r="K959" i="1"/>
  <c r="N958" i="1"/>
  <c r="K958" i="1"/>
  <c r="N957" i="1"/>
  <c r="K957" i="1"/>
  <c r="N956" i="1"/>
  <c r="K956" i="1"/>
  <c r="N955" i="1"/>
  <c r="K955" i="1"/>
  <c r="N954" i="1"/>
  <c r="K954" i="1"/>
  <c r="N953" i="1"/>
  <c r="K953" i="1"/>
  <c r="N952" i="1"/>
  <c r="K952" i="1"/>
  <c r="N951" i="1"/>
  <c r="K951" i="1"/>
  <c r="N950" i="1"/>
  <c r="K950" i="1"/>
  <c r="N949" i="1"/>
  <c r="K949" i="1"/>
  <c r="N948" i="1"/>
  <c r="K948" i="1"/>
  <c r="N947" i="1"/>
  <c r="K947" i="1"/>
  <c r="N946" i="1"/>
  <c r="K946" i="1"/>
  <c r="N945" i="1"/>
  <c r="K945" i="1"/>
  <c r="N944" i="1"/>
  <c r="K944" i="1"/>
  <c r="N943" i="1"/>
  <c r="K943" i="1"/>
  <c r="N942" i="1"/>
  <c r="K942" i="1"/>
  <c r="N941" i="1"/>
  <c r="K941" i="1"/>
  <c r="N940" i="1"/>
  <c r="K940" i="1"/>
  <c r="N939" i="1"/>
  <c r="K939" i="1"/>
  <c r="N938" i="1"/>
  <c r="K938" i="1"/>
  <c r="N937" i="1"/>
  <c r="K937" i="1"/>
  <c r="N936" i="1"/>
  <c r="K936" i="1"/>
  <c r="N935" i="1"/>
  <c r="K935" i="1"/>
  <c r="N934" i="1"/>
  <c r="K934" i="1"/>
  <c r="N933" i="1"/>
  <c r="K933" i="1"/>
  <c r="N932" i="1"/>
  <c r="K932" i="1"/>
  <c r="N931" i="1"/>
  <c r="K931" i="1"/>
  <c r="N930" i="1"/>
  <c r="K930" i="1"/>
  <c r="N929" i="1"/>
  <c r="K929" i="1"/>
  <c r="N928" i="1"/>
  <c r="K928" i="1"/>
  <c r="N927" i="1"/>
  <c r="K927" i="1"/>
  <c r="N926" i="1"/>
  <c r="K926" i="1"/>
  <c r="N925" i="1"/>
  <c r="K925" i="1"/>
  <c r="N924" i="1"/>
  <c r="K924" i="1"/>
  <c r="N923" i="1"/>
  <c r="K923" i="1"/>
  <c r="N922" i="1"/>
  <c r="K922" i="1"/>
  <c r="N921" i="1"/>
  <c r="K921" i="1"/>
  <c r="N920" i="1"/>
  <c r="K920" i="1"/>
  <c r="N919" i="1"/>
  <c r="K919" i="1"/>
  <c r="N918" i="1"/>
  <c r="K918" i="1"/>
  <c r="N917" i="1"/>
  <c r="K917" i="1"/>
  <c r="N916" i="1"/>
  <c r="K916" i="1"/>
  <c r="N915" i="1"/>
  <c r="K915" i="1"/>
  <c r="N914" i="1"/>
  <c r="K914" i="1"/>
  <c r="N913" i="1"/>
  <c r="K913" i="1"/>
  <c r="N912" i="1"/>
  <c r="K912" i="1"/>
  <c r="N911" i="1"/>
  <c r="K911" i="1"/>
  <c r="N910" i="1"/>
  <c r="K910" i="1"/>
  <c r="N909" i="1"/>
  <c r="K909" i="1"/>
  <c r="N908" i="1"/>
  <c r="K908" i="1"/>
  <c r="N907" i="1"/>
  <c r="K907" i="1"/>
  <c r="N906" i="1"/>
  <c r="K906" i="1"/>
  <c r="N905" i="1"/>
  <c r="K905" i="1"/>
  <c r="N904" i="1"/>
  <c r="K904" i="1"/>
  <c r="N903" i="1"/>
  <c r="K903" i="1"/>
  <c r="N902" i="1"/>
  <c r="K902" i="1"/>
  <c r="N901" i="1"/>
  <c r="K901" i="1"/>
  <c r="N900" i="1"/>
  <c r="K900" i="1"/>
  <c r="N899" i="1"/>
  <c r="K899" i="1"/>
  <c r="N898" i="1"/>
  <c r="K898" i="1"/>
  <c r="N897" i="1"/>
  <c r="K897" i="1"/>
  <c r="N896" i="1"/>
  <c r="K896" i="1"/>
  <c r="N895" i="1"/>
  <c r="K895" i="1"/>
  <c r="N894" i="1"/>
  <c r="K894" i="1"/>
  <c r="N893" i="1"/>
  <c r="K893" i="1"/>
  <c r="N892" i="1"/>
  <c r="K892" i="1"/>
  <c r="N891" i="1"/>
  <c r="K891" i="1"/>
  <c r="N890" i="1"/>
  <c r="K890" i="1"/>
  <c r="N889" i="1"/>
  <c r="K889" i="1"/>
  <c r="N888" i="1"/>
  <c r="K888" i="1"/>
  <c r="N887" i="1"/>
  <c r="K887" i="1"/>
  <c r="N886" i="1"/>
  <c r="K886" i="1"/>
  <c r="N885" i="1"/>
  <c r="K885" i="1"/>
  <c r="N884" i="1"/>
  <c r="K884" i="1"/>
  <c r="N883" i="1"/>
  <c r="K883" i="1"/>
  <c r="N882" i="1"/>
  <c r="K882" i="1"/>
  <c r="N881" i="1"/>
  <c r="K881" i="1"/>
  <c r="N880" i="1"/>
  <c r="K880" i="1"/>
  <c r="N879" i="1"/>
  <c r="K879" i="1"/>
  <c r="N878" i="1"/>
  <c r="K878" i="1"/>
  <c r="N877" i="1"/>
  <c r="K877" i="1"/>
  <c r="N876" i="1"/>
  <c r="K876" i="1"/>
  <c r="N875" i="1"/>
  <c r="K875" i="1"/>
  <c r="N874" i="1"/>
  <c r="K874" i="1"/>
  <c r="N873" i="1"/>
  <c r="K873" i="1"/>
  <c r="N872" i="1"/>
  <c r="K872" i="1"/>
  <c r="N871" i="1"/>
  <c r="K871" i="1"/>
  <c r="N870" i="1"/>
  <c r="K870" i="1"/>
  <c r="N869" i="1"/>
  <c r="K869" i="1"/>
  <c r="N868" i="1"/>
  <c r="K868" i="1"/>
  <c r="N867" i="1"/>
  <c r="K867" i="1"/>
  <c r="N866" i="1"/>
  <c r="K866" i="1"/>
  <c r="N865" i="1"/>
  <c r="K865" i="1"/>
  <c r="N864" i="1"/>
  <c r="K864" i="1"/>
  <c r="N863" i="1"/>
  <c r="K863" i="1"/>
  <c r="N862" i="1"/>
  <c r="K862" i="1"/>
  <c r="N861" i="1"/>
  <c r="K861" i="1"/>
  <c r="N860" i="1"/>
  <c r="K860" i="1"/>
  <c r="N859" i="1"/>
  <c r="K859" i="1"/>
  <c r="N858" i="1"/>
  <c r="K858" i="1"/>
  <c r="N857" i="1"/>
  <c r="K857" i="1"/>
  <c r="N856" i="1"/>
  <c r="K856" i="1"/>
  <c r="N855" i="1"/>
  <c r="K855" i="1"/>
  <c r="N854" i="1"/>
  <c r="K854" i="1"/>
  <c r="N853" i="1"/>
  <c r="K853" i="1"/>
  <c r="N852" i="1"/>
  <c r="K852" i="1"/>
  <c r="N851" i="1"/>
  <c r="K851" i="1"/>
  <c r="N850" i="1"/>
  <c r="K850" i="1"/>
  <c r="N849" i="1"/>
  <c r="K849" i="1"/>
  <c r="N848" i="1"/>
  <c r="K848" i="1"/>
  <c r="N847" i="1"/>
  <c r="K847" i="1"/>
  <c r="N846" i="1"/>
  <c r="K846" i="1"/>
  <c r="N845" i="1"/>
  <c r="K845" i="1"/>
  <c r="N844" i="1"/>
  <c r="K844" i="1"/>
  <c r="N843" i="1"/>
  <c r="K843" i="1"/>
  <c r="N842" i="1"/>
  <c r="K842" i="1"/>
  <c r="N841" i="1"/>
  <c r="K841" i="1"/>
  <c r="N840" i="1"/>
  <c r="K840" i="1"/>
  <c r="N839" i="1"/>
  <c r="K839" i="1"/>
  <c r="N838" i="1"/>
  <c r="K838" i="1"/>
  <c r="N837" i="1"/>
  <c r="K837" i="1"/>
  <c r="N836" i="1"/>
  <c r="K836" i="1"/>
  <c r="N835" i="1"/>
  <c r="K835" i="1"/>
  <c r="N834" i="1"/>
  <c r="K834" i="1"/>
  <c r="N833" i="1"/>
  <c r="K833" i="1"/>
  <c r="N832" i="1"/>
  <c r="K832" i="1"/>
  <c r="N831" i="1"/>
  <c r="K831" i="1"/>
  <c r="N830" i="1"/>
  <c r="K830" i="1"/>
  <c r="N829" i="1"/>
  <c r="K829" i="1"/>
  <c r="N828" i="1"/>
  <c r="K828" i="1"/>
  <c r="N827" i="1"/>
  <c r="K827" i="1"/>
  <c r="N826" i="1"/>
  <c r="K826" i="1"/>
  <c r="N825" i="1"/>
  <c r="K825" i="1"/>
  <c r="N824" i="1"/>
  <c r="K824" i="1"/>
  <c r="N823" i="1"/>
  <c r="K823" i="1"/>
  <c r="N822" i="1"/>
  <c r="K822" i="1"/>
  <c r="N821" i="1"/>
  <c r="K821" i="1"/>
  <c r="N820" i="1"/>
  <c r="K820" i="1"/>
  <c r="N819" i="1"/>
  <c r="K819" i="1"/>
  <c r="N818" i="1"/>
  <c r="K818" i="1"/>
  <c r="N817" i="1"/>
  <c r="K817" i="1"/>
  <c r="N816" i="1"/>
  <c r="K816" i="1"/>
  <c r="N815" i="1"/>
  <c r="K815" i="1"/>
  <c r="N814" i="1"/>
  <c r="K814" i="1"/>
  <c r="N813" i="1"/>
  <c r="K813" i="1"/>
  <c r="N812" i="1"/>
  <c r="K812" i="1"/>
  <c r="N811" i="1"/>
  <c r="K811" i="1"/>
  <c r="N810" i="1"/>
  <c r="K810" i="1"/>
  <c r="N809" i="1"/>
  <c r="K809" i="1"/>
  <c r="N808" i="1"/>
  <c r="K808" i="1"/>
  <c r="N807" i="1"/>
  <c r="K807" i="1"/>
  <c r="N806" i="1"/>
  <c r="K806" i="1"/>
  <c r="N805" i="1"/>
  <c r="K805" i="1"/>
  <c r="N804" i="1"/>
  <c r="K804" i="1"/>
  <c r="N803" i="1"/>
  <c r="K803" i="1"/>
  <c r="N802" i="1"/>
  <c r="K802" i="1"/>
  <c r="N801" i="1"/>
  <c r="K801" i="1"/>
  <c r="N800" i="1"/>
  <c r="K800" i="1"/>
  <c r="N799" i="1"/>
  <c r="K799" i="1"/>
  <c r="N798" i="1"/>
  <c r="K798" i="1"/>
  <c r="N797" i="1"/>
  <c r="K797" i="1"/>
  <c r="N796" i="1"/>
  <c r="K796" i="1"/>
  <c r="N795" i="1"/>
  <c r="K795" i="1"/>
  <c r="N794" i="1"/>
  <c r="K794" i="1"/>
  <c r="N793" i="1"/>
  <c r="K793" i="1"/>
  <c r="N792" i="1"/>
  <c r="K792" i="1"/>
  <c r="N791" i="1"/>
  <c r="K791" i="1"/>
  <c r="N790" i="1"/>
  <c r="K790" i="1"/>
  <c r="N789" i="1"/>
  <c r="K789" i="1"/>
  <c r="N788" i="1"/>
  <c r="K788" i="1"/>
  <c r="N787" i="1"/>
  <c r="K787" i="1"/>
  <c r="N786" i="1"/>
  <c r="K786" i="1"/>
  <c r="N785" i="1"/>
  <c r="K785" i="1"/>
  <c r="N784" i="1"/>
  <c r="K784" i="1"/>
  <c r="N783" i="1"/>
  <c r="K783" i="1"/>
  <c r="N782" i="1"/>
  <c r="K782" i="1"/>
  <c r="N781" i="1"/>
  <c r="K781" i="1"/>
  <c r="N780" i="1"/>
  <c r="K780" i="1"/>
  <c r="N779" i="1"/>
  <c r="K779" i="1"/>
  <c r="N778" i="1"/>
  <c r="K778" i="1"/>
  <c r="N777" i="1"/>
  <c r="K777" i="1"/>
  <c r="N776" i="1"/>
  <c r="K776" i="1"/>
  <c r="N775" i="1"/>
  <c r="K775" i="1"/>
  <c r="N774" i="1"/>
  <c r="K774" i="1"/>
  <c r="N773" i="1"/>
  <c r="K773" i="1"/>
  <c r="N772" i="1"/>
  <c r="K772" i="1"/>
  <c r="N771" i="1"/>
  <c r="K771" i="1"/>
  <c r="N770" i="1"/>
  <c r="K770" i="1"/>
  <c r="N769" i="1"/>
  <c r="K769" i="1"/>
  <c r="N768" i="1"/>
  <c r="K768" i="1"/>
  <c r="N767" i="1"/>
  <c r="K767" i="1"/>
  <c r="N766" i="1"/>
  <c r="K766" i="1"/>
  <c r="N765" i="1"/>
  <c r="K765" i="1"/>
  <c r="N764" i="1"/>
  <c r="K764" i="1"/>
  <c r="N763" i="1"/>
  <c r="K763" i="1"/>
  <c r="N762" i="1"/>
  <c r="K762" i="1"/>
  <c r="N761" i="1"/>
  <c r="K761" i="1"/>
  <c r="N760" i="1"/>
  <c r="K760" i="1"/>
  <c r="N759" i="1"/>
  <c r="K759" i="1"/>
  <c r="N758" i="1"/>
  <c r="K758" i="1"/>
  <c r="N757" i="1"/>
  <c r="K757" i="1"/>
  <c r="N756" i="1"/>
  <c r="K756" i="1"/>
  <c r="N755" i="1"/>
  <c r="K755" i="1"/>
  <c r="N754" i="1"/>
  <c r="K754" i="1"/>
  <c r="N753" i="1"/>
  <c r="K753" i="1"/>
  <c r="N752" i="1"/>
  <c r="K752" i="1"/>
  <c r="N751" i="1"/>
  <c r="K751" i="1"/>
  <c r="N750" i="1"/>
  <c r="K750" i="1"/>
  <c r="N749" i="1"/>
  <c r="K749" i="1"/>
  <c r="N748" i="1"/>
  <c r="K748" i="1"/>
  <c r="N747" i="1"/>
  <c r="K747" i="1"/>
  <c r="N746" i="1"/>
  <c r="K746" i="1"/>
  <c r="N745" i="1"/>
  <c r="K745" i="1"/>
  <c r="N744" i="1"/>
  <c r="K744" i="1"/>
  <c r="N743" i="1"/>
  <c r="K743" i="1"/>
  <c r="N742" i="1"/>
  <c r="K742" i="1"/>
  <c r="N741" i="1"/>
  <c r="K741" i="1"/>
  <c r="N740" i="1"/>
  <c r="K740" i="1"/>
  <c r="N739" i="1"/>
  <c r="K739" i="1"/>
  <c r="N738" i="1"/>
  <c r="K738" i="1"/>
  <c r="N737" i="1"/>
  <c r="K737" i="1"/>
  <c r="N736" i="1"/>
  <c r="K736" i="1"/>
  <c r="N735" i="1"/>
  <c r="K735" i="1"/>
  <c r="N734" i="1"/>
  <c r="K734" i="1"/>
  <c r="N733" i="1"/>
  <c r="K733" i="1"/>
  <c r="N732" i="1"/>
  <c r="K732" i="1"/>
  <c r="N731" i="1"/>
  <c r="K731" i="1"/>
  <c r="N730" i="1"/>
  <c r="K730" i="1"/>
  <c r="N729" i="1"/>
  <c r="K729" i="1"/>
  <c r="N728" i="1"/>
  <c r="K728" i="1"/>
  <c r="N727" i="1"/>
  <c r="K727" i="1"/>
  <c r="N726" i="1"/>
  <c r="K726" i="1"/>
  <c r="N725" i="1"/>
  <c r="K725" i="1"/>
  <c r="N724" i="1"/>
  <c r="K724" i="1"/>
  <c r="N723" i="1"/>
  <c r="K723" i="1"/>
  <c r="N722" i="1"/>
  <c r="K722" i="1"/>
  <c r="N721" i="1"/>
  <c r="K721" i="1"/>
  <c r="N720" i="1"/>
  <c r="K720" i="1"/>
  <c r="N719" i="1"/>
  <c r="K719" i="1"/>
  <c r="N718" i="1"/>
  <c r="K718" i="1"/>
  <c r="N717" i="1"/>
  <c r="K717" i="1"/>
  <c r="N716" i="1"/>
  <c r="K716" i="1"/>
  <c r="N715" i="1"/>
  <c r="K715" i="1"/>
  <c r="N714" i="1"/>
  <c r="K714" i="1"/>
  <c r="N713" i="1"/>
  <c r="K713" i="1"/>
  <c r="N712" i="1"/>
  <c r="K712" i="1"/>
  <c r="N711" i="1"/>
  <c r="K711" i="1"/>
  <c r="N710" i="1"/>
  <c r="K710" i="1"/>
  <c r="N709" i="1"/>
  <c r="K709" i="1"/>
  <c r="N708" i="1"/>
  <c r="K708" i="1"/>
  <c r="N707" i="1"/>
  <c r="K707" i="1"/>
  <c r="N706" i="1"/>
  <c r="K706" i="1"/>
  <c r="N705" i="1"/>
  <c r="K705" i="1"/>
  <c r="N704" i="1"/>
  <c r="K704" i="1"/>
  <c r="N703" i="1"/>
  <c r="K703" i="1"/>
  <c r="N702" i="1"/>
  <c r="K702" i="1"/>
  <c r="N701" i="1"/>
  <c r="K701" i="1"/>
  <c r="N700" i="1"/>
  <c r="K700" i="1"/>
  <c r="N699" i="1"/>
  <c r="K699" i="1"/>
  <c r="N698" i="1"/>
  <c r="K698" i="1"/>
  <c r="N697" i="1"/>
  <c r="K697" i="1"/>
  <c r="N696" i="1"/>
  <c r="K696" i="1"/>
  <c r="N695" i="1"/>
  <c r="K695" i="1"/>
  <c r="N694" i="1"/>
  <c r="K694" i="1"/>
  <c r="N693" i="1"/>
  <c r="K693" i="1"/>
  <c r="N692" i="1"/>
  <c r="K692" i="1"/>
  <c r="N691" i="1"/>
  <c r="K691" i="1"/>
  <c r="N690" i="1"/>
  <c r="K690" i="1"/>
  <c r="N689" i="1"/>
  <c r="K689" i="1"/>
  <c r="N688" i="1"/>
  <c r="K688" i="1"/>
  <c r="N687" i="1"/>
  <c r="K687" i="1"/>
  <c r="N686" i="1"/>
  <c r="K686" i="1"/>
  <c r="N685" i="1"/>
  <c r="K685" i="1"/>
  <c r="N684" i="1"/>
  <c r="K684" i="1"/>
  <c r="N683" i="1"/>
  <c r="K683" i="1"/>
  <c r="N682" i="1"/>
  <c r="K682" i="1"/>
  <c r="N681" i="1"/>
  <c r="K681" i="1"/>
  <c r="N680" i="1"/>
  <c r="K680" i="1"/>
  <c r="N679" i="1"/>
  <c r="K679" i="1"/>
  <c r="N678" i="1"/>
  <c r="K678" i="1"/>
  <c r="N677" i="1"/>
  <c r="K677" i="1"/>
  <c r="N676" i="1"/>
  <c r="K676" i="1"/>
  <c r="N675" i="1"/>
  <c r="K675" i="1"/>
  <c r="N674" i="1"/>
  <c r="K674" i="1"/>
  <c r="N673" i="1"/>
  <c r="K673" i="1"/>
  <c r="N672" i="1"/>
  <c r="K672" i="1"/>
  <c r="N671" i="1"/>
  <c r="K671" i="1"/>
  <c r="N670" i="1"/>
  <c r="K670" i="1"/>
  <c r="N669" i="1"/>
  <c r="K669" i="1"/>
  <c r="N668" i="1"/>
  <c r="K668" i="1"/>
  <c r="N667" i="1"/>
  <c r="K667" i="1"/>
  <c r="N666" i="1"/>
  <c r="K666" i="1"/>
  <c r="N665" i="1"/>
  <c r="K665" i="1"/>
  <c r="N664" i="1"/>
  <c r="K664" i="1"/>
  <c r="N663" i="1"/>
  <c r="K663" i="1"/>
  <c r="N662" i="1"/>
  <c r="K662" i="1"/>
  <c r="N661" i="1"/>
  <c r="K661" i="1"/>
  <c r="N660" i="1"/>
  <c r="K660" i="1"/>
  <c r="N659" i="1"/>
  <c r="K659" i="1"/>
  <c r="N658" i="1"/>
  <c r="K658" i="1"/>
  <c r="N657" i="1"/>
  <c r="K657" i="1"/>
  <c r="N656" i="1"/>
  <c r="K656" i="1"/>
  <c r="N655" i="1"/>
  <c r="K655" i="1"/>
  <c r="N654" i="1"/>
  <c r="K654" i="1"/>
  <c r="N653" i="1"/>
  <c r="K653" i="1"/>
  <c r="N652" i="1"/>
  <c r="K652" i="1"/>
  <c r="N651" i="1"/>
  <c r="K651" i="1"/>
  <c r="N650" i="1"/>
  <c r="K650" i="1"/>
  <c r="N649" i="1"/>
  <c r="K649" i="1"/>
  <c r="N648" i="1"/>
  <c r="K648" i="1"/>
  <c r="N647" i="1"/>
  <c r="K647" i="1"/>
  <c r="N646" i="1"/>
  <c r="K646" i="1"/>
  <c r="N645" i="1"/>
  <c r="K645" i="1"/>
  <c r="N644" i="1"/>
  <c r="K644" i="1"/>
  <c r="N643" i="1"/>
  <c r="K643" i="1"/>
  <c r="N642" i="1"/>
  <c r="K642" i="1"/>
  <c r="N641" i="1"/>
  <c r="K641" i="1"/>
  <c r="N640" i="1"/>
  <c r="K640" i="1"/>
  <c r="N639" i="1"/>
  <c r="K639" i="1"/>
  <c r="N638" i="1"/>
  <c r="K638" i="1"/>
  <c r="N637" i="1"/>
  <c r="K637" i="1"/>
  <c r="N636" i="1"/>
  <c r="K636" i="1"/>
  <c r="N635" i="1"/>
  <c r="K635" i="1"/>
  <c r="N634" i="1"/>
  <c r="K634" i="1"/>
  <c r="N633" i="1"/>
  <c r="K633" i="1"/>
  <c r="N632" i="1"/>
  <c r="K632" i="1"/>
  <c r="N631" i="1"/>
  <c r="K631" i="1"/>
  <c r="N630" i="1"/>
  <c r="K630" i="1"/>
  <c r="N629" i="1"/>
  <c r="K629" i="1"/>
  <c r="N628" i="1"/>
  <c r="K628" i="1"/>
  <c r="N627" i="1"/>
  <c r="K627" i="1"/>
  <c r="N626" i="1"/>
  <c r="K626" i="1"/>
  <c r="N625" i="1"/>
  <c r="K625" i="1"/>
  <c r="N624" i="1"/>
  <c r="K624" i="1"/>
  <c r="N623" i="1"/>
  <c r="K623" i="1"/>
  <c r="N622" i="1"/>
  <c r="K622" i="1"/>
  <c r="N621" i="1"/>
  <c r="K621" i="1"/>
  <c r="N620" i="1"/>
  <c r="K620" i="1"/>
  <c r="N619" i="1"/>
  <c r="K619" i="1"/>
  <c r="N618" i="1"/>
  <c r="K618" i="1"/>
  <c r="N617" i="1"/>
  <c r="K617" i="1"/>
  <c r="N616" i="1"/>
  <c r="K616" i="1"/>
  <c r="N615" i="1"/>
  <c r="K615" i="1"/>
  <c r="N614" i="1"/>
  <c r="K614" i="1"/>
  <c r="N613" i="1"/>
  <c r="K613" i="1"/>
  <c r="N612" i="1"/>
  <c r="K612" i="1"/>
  <c r="N611" i="1"/>
  <c r="K611" i="1"/>
  <c r="N610" i="1"/>
  <c r="K610" i="1"/>
  <c r="N609" i="1"/>
  <c r="K609" i="1"/>
  <c r="N608" i="1"/>
  <c r="K608" i="1"/>
  <c r="N607" i="1"/>
  <c r="K607" i="1"/>
  <c r="N606" i="1"/>
  <c r="K606" i="1"/>
  <c r="N605" i="1"/>
  <c r="K605" i="1"/>
  <c r="N604" i="1"/>
  <c r="K604" i="1"/>
  <c r="N603" i="1"/>
  <c r="K603" i="1"/>
  <c r="N602" i="1"/>
  <c r="K602" i="1"/>
  <c r="N601" i="1"/>
  <c r="K601" i="1"/>
  <c r="N600" i="1"/>
  <c r="K600" i="1"/>
  <c r="N599" i="1"/>
  <c r="K599" i="1"/>
  <c r="N598" i="1"/>
  <c r="K598" i="1"/>
  <c r="N597" i="1"/>
  <c r="K597" i="1"/>
  <c r="N596" i="1"/>
  <c r="K596" i="1"/>
  <c r="N595" i="1"/>
  <c r="K595" i="1"/>
  <c r="N594" i="1"/>
  <c r="K594" i="1"/>
  <c r="N593" i="1"/>
  <c r="K593" i="1"/>
  <c r="N592" i="1"/>
  <c r="K592" i="1"/>
  <c r="N591" i="1"/>
  <c r="K591" i="1"/>
  <c r="N590" i="1"/>
  <c r="K590" i="1"/>
  <c r="N589" i="1"/>
  <c r="K589" i="1"/>
  <c r="N588" i="1"/>
  <c r="K588" i="1"/>
  <c r="N587" i="1"/>
  <c r="K587" i="1"/>
  <c r="N586" i="1"/>
  <c r="K586" i="1"/>
  <c r="N585" i="1"/>
  <c r="K585" i="1"/>
  <c r="N584" i="1"/>
  <c r="K584" i="1"/>
  <c r="N583" i="1"/>
  <c r="K583" i="1"/>
  <c r="N582" i="1"/>
  <c r="K582" i="1"/>
  <c r="N581" i="1"/>
  <c r="K581" i="1"/>
  <c r="N580" i="1"/>
  <c r="K580" i="1"/>
  <c r="N579" i="1"/>
  <c r="K579" i="1"/>
  <c r="N578" i="1"/>
  <c r="K578" i="1"/>
  <c r="N577" i="1"/>
  <c r="K577" i="1"/>
  <c r="N576" i="1"/>
  <c r="K576" i="1"/>
  <c r="N575" i="1"/>
  <c r="K575" i="1"/>
  <c r="N574" i="1"/>
  <c r="K574" i="1"/>
  <c r="N573" i="1"/>
  <c r="K573" i="1"/>
  <c r="N572" i="1"/>
  <c r="K572" i="1"/>
  <c r="N571" i="1"/>
  <c r="K571" i="1"/>
  <c r="N570" i="1"/>
  <c r="K570" i="1"/>
  <c r="N569" i="1"/>
  <c r="K569" i="1"/>
  <c r="N568" i="1"/>
  <c r="K568" i="1"/>
  <c r="N567" i="1"/>
  <c r="K567" i="1"/>
  <c r="N566" i="1"/>
  <c r="K566" i="1"/>
  <c r="N565" i="1"/>
  <c r="K565" i="1"/>
  <c r="N564" i="1"/>
  <c r="K564" i="1"/>
  <c r="N563" i="1"/>
  <c r="K563" i="1"/>
  <c r="N562" i="1"/>
  <c r="K562" i="1"/>
  <c r="N561" i="1"/>
  <c r="K561" i="1"/>
  <c r="N560" i="1"/>
  <c r="K560" i="1"/>
  <c r="N559" i="1"/>
  <c r="K559" i="1"/>
  <c r="N558" i="1"/>
  <c r="K558" i="1"/>
  <c r="N557" i="1"/>
  <c r="K557" i="1"/>
  <c r="N556" i="1"/>
  <c r="K556" i="1"/>
  <c r="N555" i="1"/>
  <c r="K555" i="1"/>
  <c r="N554" i="1"/>
  <c r="K554" i="1"/>
  <c r="N553" i="1"/>
  <c r="K553" i="1"/>
  <c r="N552" i="1"/>
  <c r="K552" i="1"/>
  <c r="N551" i="1"/>
  <c r="K551" i="1"/>
  <c r="N550" i="1"/>
  <c r="K550" i="1"/>
  <c r="N549" i="1"/>
  <c r="K549" i="1"/>
  <c r="N548" i="1"/>
  <c r="K548" i="1"/>
  <c r="N547" i="1"/>
  <c r="K547" i="1"/>
  <c r="N546" i="1"/>
  <c r="K546" i="1"/>
  <c r="N545" i="1"/>
  <c r="K545" i="1"/>
  <c r="N544" i="1"/>
  <c r="K544" i="1"/>
  <c r="N543" i="1"/>
  <c r="K543" i="1"/>
  <c r="N542" i="1"/>
  <c r="K542" i="1"/>
  <c r="N541" i="1"/>
  <c r="K541" i="1"/>
  <c r="N540" i="1"/>
  <c r="K540" i="1"/>
  <c r="N539" i="1"/>
  <c r="K539" i="1"/>
  <c r="N538" i="1"/>
  <c r="K538" i="1"/>
  <c r="N537" i="1"/>
  <c r="K537" i="1"/>
  <c r="N536" i="1"/>
  <c r="K536" i="1"/>
  <c r="N535" i="1"/>
  <c r="K535" i="1"/>
  <c r="N534" i="1"/>
  <c r="K534" i="1"/>
  <c r="N533" i="1"/>
  <c r="K533" i="1"/>
  <c r="N532" i="1"/>
  <c r="K532" i="1"/>
  <c r="N531" i="1"/>
  <c r="K531" i="1"/>
  <c r="N530" i="1"/>
  <c r="K530" i="1"/>
  <c r="N529" i="1"/>
  <c r="K529" i="1"/>
  <c r="N528" i="1"/>
  <c r="K528" i="1"/>
  <c r="N527" i="1"/>
  <c r="K527" i="1"/>
  <c r="N526" i="1"/>
  <c r="K526" i="1"/>
  <c r="N525" i="1"/>
  <c r="K525" i="1"/>
  <c r="N524" i="1"/>
  <c r="K524" i="1"/>
  <c r="N523" i="1"/>
  <c r="K523" i="1"/>
  <c r="N522" i="1"/>
  <c r="K522" i="1"/>
  <c r="N521" i="1"/>
  <c r="K521" i="1"/>
  <c r="N520" i="1"/>
  <c r="K520" i="1"/>
  <c r="N519" i="1"/>
  <c r="K519" i="1"/>
  <c r="N518" i="1"/>
  <c r="K518" i="1"/>
  <c r="N517" i="1"/>
  <c r="K517" i="1"/>
  <c r="N516" i="1"/>
  <c r="K516" i="1"/>
  <c r="N515" i="1"/>
  <c r="K515" i="1"/>
  <c r="N514" i="1"/>
  <c r="K514" i="1"/>
  <c r="N513" i="1"/>
  <c r="K513" i="1"/>
  <c r="N512" i="1"/>
  <c r="K512" i="1"/>
  <c r="N511" i="1"/>
  <c r="K511" i="1"/>
  <c r="N510" i="1"/>
  <c r="K510" i="1"/>
  <c r="N509" i="1"/>
  <c r="K509" i="1"/>
  <c r="N508" i="1"/>
  <c r="K508" i="1"/>
  <c r="N507" i="1"/>
  <c r="K507" i="1"/>
  <c r="N506" i="1"/>
  <c r="K506" i="1"/>
  <c r="N505" i="1"/>
  <c r="K505" i="1"/>
  <c r="N504" i="1"/>
  <c r="K504" i="1"/>
  <c r="N503" i="1"/>
  <c r="K503" i="1"/>
  <c r="N502" i="1"/>
  <c r="K502" i="1"/>
  <c r="N501" i="1"/>
  <c r="K501" i="1"/>
  <c r="N500" i="1"/>
  <c r="K500" i="1"/>
  <c r="N499" i="1"/>
  <c r="K499" i="1"/>
  <c r="N498" i="1"/>
  <c r="K498" i="1"/>
  <c r="N497" i="1"/>
  <c r="K497" i="1"/>
  <c r="N496" i="1"/>
  <c r="K496" i="1"/>
  <c r="N495" i="1"/>
  <c r="K495" i="1"/>
  <c r="N494" i="1"/>
  <c r="K494" i="1"/>
  <c r="N493" i="1"/>
  <c r="K493" i="1"/>
  <c r="N492" i="1"/>
  <c r="K492" i="1"/>
  <c r="N491" i="1"/>
  <c r="K491" i="1"/>
  <c r="N490" i="1"/>
  <c r="K490" i="1"/>
  <c r="N489" i="1"/>
  <c r="K489" i="1"/>
  <c r="N488" i="1"/>
  <c r="K488" i="1"/>
  <c r="N487" i="1"/>
  <c r="K487" i="1"/>
  <c r="N486" i="1"/>
  <c r="K486" i="1"/>
  <c r="N485" i="1"/>
  <c r="K485" i="1"/>
  <c r="N484" i="1"/>
  <c r="K484" i="1"/>
  <c r="N483" i="1"/>
  <c r="K483" i="1"/>
  <c r="N482" i="1"/>
  <c r="K482" i="1"/>
  <c r="N481" i="1"/>
  <c r="K481" i="1"/>
  <c r="N480" i="1"/>
  <c r="K480" i="1"/>
  <c r="N479" i="1"/>
  <c r="K479" i="1"/>
  <c r="N478" i="1"/>
  <c r="K478" i="1"/>
  <c r="N477" i="1"/>
  <c r="K477" i="1"/>
  <c r="N476" i="1"/>
  <c r="K476" i="1"/>
  <c r="N475" i="1"/>
  <c r="K475" i="1"/>
  <c r="N474" i="1"/>
  <c r="K474" i="1"/>
  <c r="N473" i="1"/>
  <c r="K473" i="1"/>
  <c r="N472" i="1"/>
  <c r="K472" i="1"/>
  <c r="N471" i="1"/>
  <c r="K471" i="1"/>
  <c r="N470" i="1"/>
  <c r="K470" i="1"/>
  <c r="N469" i="1"/>
  <c r="K469" i="1"/>
  <c r="N468" i="1"/>
  <c r="K468" i="1"/>
  <c r="N467" i="1"/>
  <c r="K467" i="1"/>
  <c r="N466" i="1"/>
  <c r="K466" i="1"/>
  <c r="N465" i="1"/>
  <c r="K465" i="1"/>
  <c r="N464" i="1"/>
  <c r="K464" i="1"/>
  <c r="N463" i="1"/>
  <c r="K463" i="1"/>
  <c r="N462" i="1"/>
  <c r="K462" i="1"/>
  <c r="N461" i="1"/>
  <c r="K461" i="1"/>
  <c r="N460" i="1"/>
  <c r="K460" i="1"/>
  <c r="N459" i="1"/>
  <c r="K459" i="1"/>
  <c r="N458" i="1"/>
  <c r="K458" i="1"/>
  <c r="N457" i="1"/>
  <c r="K457" i="1"/>
  <c r="N456" i="1"/>
  <c r="K456" i="1"/>
  <c r="N455" i="1"/>
  <c r="K455" i="1"/>
  <c r="N454" i="1"/>
  <c r="K454" i="1"/>
  <c r="N453" i="1"/>
  <c r="K453" i="1"/>
  <c r="N452" i="1"/>
  <c r="K452" i="1"/>
  <c r="N451" i="1"/>
  <c r="K451" i="1"/>
  <c r="N450" i="1"/>
  <c r="K450" i="1"/>
  <c r="N449" i="1"/>
  <c r="K449" i="1"/>
  <c r="N448" i="1"/>
  <c r="K448" i="1"/>
  <c r="N447" i="1"/>
  <c r="K447" i="1"/>
  <c r="N446" i="1"/>
  <c r="K446" i="1"/>
  <c r="N445" i="1"/>
  <c r="K445" i="1"/>
  <c r="N444" i="1"/>
  <c r="K444" i="1"/>
  <c r="N443" i="1"/>
  <c r="K443" i="1"/>
  <c r="N442" i="1"/>
  <c r="K442" i="1"/>
  <c r="N441" i="1"/>
  <c r="K441" i="1"/>
  <c r="N440" i="1"/>
  <c r="K440" i="1"/>
  <c r="N439" i="1"/>
  <c r="K439" i="1"/>
  <c r="N438" i="1"/>
  <c r="K438" i="1"/>
  <c r="N437" i="1"/>
  <c r="K437" i="1"/>
  <c r="N436" i="1"/>
  <c r="K436" i="1"/>
  <c r="N435" i="1"/>
  <c r="K435" i="1"/>
  <c r="N434" i="1"/>
  <c r="K434" i="1"/>
  <c r="N433" i="1"/>
  <c r="K433" i="1"/>
  <c r="N432" i="1"/>
  <c r="K432" i="1"/>
  <c r="N431" i="1"/>
  <c r="K431" i="1"/>
  <c r="N430" i="1"/>
  <c r="K430" i="1"/>
  <c r="N429" i="1"/>
  <c r="K429" i="1"/>
  <c r="N428" i="1"/>
  <c r="K428" i="1"/>
  <c r="N427" i="1"/>
  <c r="K427" i="1"/>
  <c r="N426" i="1"/>
  <c r="K426" i="1"/>
  <c r="N425" i="1"/>
  <c r="K425" i="1"/>
  <c r="N424" i="1"/>
  <c r="K424" i="1"/>
  <c r="N423" i="1"/>
  <c r="K423" i="1"/>
  <c r="N422" i="1"/>
  <c r="K422" i="1"/>
  <c r="N421" i="1"/>
  <c r="K421" i="1"/>
  <c r="N420" i="1"/>
  <c r="K420" i="1"/>
  <c r="N419" i="1"/>
  <c r="K419" i="1"/>
  <c r="N418" i="1"/>
  <c r="K418" i="1"/>
  <c r="N417" i="1"/>
  <c r="K417" i="1"/>
  <c r="N416" i="1"/>
  <c r="K416" i="1"/>
  <c r="N415" i="1"/>
  <c r="K415" i="1"/>
  <c r="N414" i="1"/>
  <c r="K414" i="1"/>
  <c r="N413" i="1"/>
  <c r="K413" i="1"/>
  <c r="N412" i="1"/>
  <c r="K412" i="1"/>
  <c r="N411" i="1"/>
  <c r="K411" i="1"/>
  <c r="N410" i="1"/>
  <c r="K410" i="1"/>
  <c r="N409" i="1"/>
  <c r="K409" i="1"/>
  <c r="N408" i="1"/>
  <c r="K408" i="1"/>
  <c r="N407" i="1"/>
  <c r="K407" i="1"/>
  <c r="N406" i="1"/>
  <c r="K406" i="1"/>
  <c r="N405" i="1"/>
  <c r="K405" i="1"/>
  <c r="N404" i="1"/>
  <c r="K404" i="1"/>
  <c r="N403" i="1"/>
  <c r="K403" i="1"/>
  <c r="N402" i="1"/>
  <c r="K402" i="1"/>
  <c r="N401" i="1"/>
  <c r="K401" i="1"/>
  <c r="N400" i="1"/>
  <c r="K400" i="1"/>
  <c r="N399" i="1"/>
  <c r="K399" i="1"/>
  <c r="N398" i="1"/>
  <c r="K398" i="1"/>
  <c r="N397" i="1"/>
  <c r="K397" i="1"/>
  <c r="N396" i="1"/>
  <c r="K396" i="1"/>
  <c r="N395" i="1"/>
  <c r="K395" i="1"/>
  <c r="N394" i="1"/>
  <c r="K394" i="1"/>
  <c r="N393" i="1"/>
  <c r="K393" i="1"/>
  <c r="N392" i="1"/>
  <c r="K392" i="1"/>
  <c r="N391" i="1"/>
  <c r="K391" i="1"/>
  <c r="N390" i="1"/>
  <c r="K390" i="1"/>
  <c r="N389" i="1"/>
  <c r="K389" i="1"/>
  <c r="N388" i="1"/>
  <c r="K388" i="1"/>
  <c r="N387" i="1"/>
  <c r="K387" i="1"/>
  <c r="N386" i="1"/>
  <c r="K386" i="1"/>
  <c r="N385" i="1"/>
  <c r="K385" i="1"/>
  <c r="N384" i="1"/>
  <c r="K384" i="1"/>
  <c r="N383" i="1"/>
  <c r="K383" i="1"/>
  <c r="N382" i="1"/>
  <c r="K382" i="1"/>
  <c r="N381" i="1"/>
  <c r="K381" i="1"/>
  <c r="N380" i="1"/>
  <c r="K380" i="1"/>
  <c r="N379" i="1"/>
  <c r="K379" i="1"/>
  <c r="N378" i="1"/>
  <c r="K378" i="1"/>
  <c r="N377" i="1"/>
  <c r="K377" i="1"/>
  <c r="N376" i="1"/>
  <c r="K376" i="1"/>
  <c r="N375" i="1"/>
  <c r="K375" i="1"/>
  <c r="N374" i="1"/>
  <c r="K374" i="1"/>
  <c r="N373" i="1"/>
  <c r="K373" i="1"/>
  <c r="N372" i="1"/>
  <c r="K372" i="1"/>
  <c r="N371" i="1"/>
  <c r="K371" i="1"/>
  <c r="N370" i="1"/>
  <c r="K370" i="1"/>
  <c r="N369" i="1"/>
  <c r="K369" i="1"/>
  <c r="N368" i="1"/>
  <c r="K368" i="1"/>
  <c r="N367" i="1"/>
  <c r="K367" i="1"/>
  <c r="N366" i="1"/>
  <c r="K366" i="1"/>
  <c r="N365" i="1"/>
  <c r="K365" i="1"/>
  <c r="N364" i="1"/>
  <c r="K364" i="1"/>
  <c r="N363" i="1"/>
  <c r="K363" i="1"/>
  <c r="N362" i="1"/>
  <c r="K362" i="1"/>
  <c r="N361" i="1"/>
  <c r="K361" i="1"/>
  <c r="N360" i="1"/>
  <c r="K360" i="1"/>
  <c r="N359" i="1"/>
  <c r="K359" i="1"/>
  <c r="N358" i="1"/>
  <c r="K358" i="1"/>
  <c r="N357" i="1"/>
  <c r="K357" i="1"/>
  <c r="N356" i="1"/>
  <c r="K356" i="1"/>
  <c r="N355" i="1"/>
  <c r="K355" i="1"/>
  <c r="N354" i="1"/>
  <c r="K354" i="1"/>
  <c r="N353" i="1"/>
  <c r="K353" i="1"/>
  <c r="N352" i="1"/>
  <c r="K352" i="1"/>
  <c r="N351" i="1"/>
  <c r="K351" i="1"/>
  <c r="N350" i="1"/>
  <c r="K350" i="1"/>
  <c r="N349" i="1"/>
  <c r="K349" i="1"/>
  <c r="N348" i="1"/>
  <c r="K348" i="1"/>
  <c r="N347" i="1"/>
  <c r="K347" i="1"/>
  <c r="N346" i="1"/>
  <c r="K346" i="1"/>
  <c r="N345" i="1"/>
  <c r="K345" i="1"/>
  <c r="N344" i="1"/>
  <c r="K344" i="1"/>
  <c r="N343" i="1"/>
  <c r="K343" i="1"/>
  <c r="N342" i="1"/>
  <c r="K342" i="1"/>
  <c r="N341" i="1"/>
  <c r="K341" i="1"/>
  <c r="N340" i="1"/>
  <c r="K340" i="1"/>
  <c r="N339" i="1"/>
  <c r="K339" i="1"/>
  <c r="N338" i="1"/>
  <c r="K338" i="1"/>
  <c r="N337" i="1"/>
  <c r="K337" i="1"/>
  <c r="N336" i="1"/>
  <c r="K336" i="1"/>
  <c r="N335" i="1"/>
  <c r="K335" i="1"/>
  <c r="N334" i="1"/>
  <c r="K334" i="1"/>
  <c r="N333" i="1"/>
  <c r="K333" i="1"/>
  <c r="N332" i="1"/>
  <c r="K332" i="1"/>
  <c r="N331" i="1"/>
  <c r="K331" i="1"/>
  <c r="N330" i="1"/>
  <c r="K330" i="1"/>
  <c r="N329" i="1"/>
  <c r="K329" i="1"/>
  <c r="N328" i="1"/>
  <c r="K328" i="1"/>
  <c r="N327" i="1"/>
  <c r="K327" i="1"/>
  <c r="N326" i="1"/>
  <c r="K326" i="1"/>
  <c r="N325" i="1"/>
  <c r="K325" i="1"/>
  <c r="N324" i="1"/>
  <c r="K324" i="1"/>
  <c r="N323" i="1"/>
  <c r="K323" i="1"/>
  <c r="N322" i="1"/>
  <c r="K322" i="1"/>
  <c r="N321" i="1"/>
  <c r="K321" i="1"/>
  <c r="N320" i="1"/>
  <c r="K320" i="1"/>
  <c r="N319" i="1"/>
  <c r="K319" i="1"/>
  <c r="N318" i="1"/>
  <c r="K318" i="1"/>
  <c r="N317" i="1"/>
  <c r="K317" i="1"/>
  <c r="N316" i="1"/>
  <c r="K316" i="1"/>
  <c r="N315" i="1"/>
  <c r="K315" i="1"/>
  <c r="N314" i="1"/>
  <c r="K314" i="1"/>
  <c r="N313" i="1"/>
  <c r="K313" i="1"/>
  <c r="N312" i="1"/>
  <c r="K312" i="1"/>
  <c r="N311" i="1"/>
  <c r="K311" i="1"/>
  <c r="N310" i="1"/>
  <c r="K310" i="1"/>
  <c r="N309" i="1"/>
  <c r="K309" i="1"/>
  <c r="N308" i="1"/>
  <c r="K308" i="1"/>
  <c r="N307" i="1"/>
  <c r="K307" i="1"/>
  <c r="N306" i="1"/>
  <c r="K306" i="1"/>
  <c r="N305" i="1"/>
  <c r="K305" i="1"/>
  <c r="N304" i="1"/>
  <c r="K304" i="1"/>
  <c r="N303" i="1"/>
  <c r="K303" i="1"/>
  <c r="N302" i="1"/>
  <c r="K302" i="1"/>
  <c r="N301" i="1"/>
  <c r="K301" i="1"/>
  <c r="N300" i="1"/>
  <c r="K300" i="1"/>
  <c r="N299" i="1"/>
  <c r="K299" i="1"/>
  <c r="N298" i="1"/>
  <c r="K298" i="1"/>
  <c r="N297" i="1"/>
  <c r="K297" i="1"/>
  <c r="N296" i="1"/>
  <c r="K296" i="1"/>
  <c r="N295" i="1"/>
  <c r="K295" i="1"/>
  <c r="N294" i="1"/>
  <c r="K294" i="1"/>
  <c r="N293" i="1"/>
  <c r="K293" i="1"/>
  <c r="N292" i="1"/>
  <c r="K292" i="1"/>
  <c r="N291" i="1"/>
  <c r="K291" i="1"/>
  <c r="N290" i="1"/>
  <c r="K290" i="1"/>
  <c r="N289" i="1"/>
  <c r="K289" i="1"/>
  <c r="N288" i="1"/>
  <c r="K288" i="1"/>
  <c r="N287" i="1"/>
  <c r="K287" i="1"/>
  <c r="N286" i="1"/>
  <c r="K286" i="1"/>
  <c r="N285" i="1"/>
  <c r="K285" i="1"/>
  <c r="N284" i="1"/>
  <c r="K284" i="1"/>
  <c r="N283" i="1"/>
  <c r="K283" i="1"/>
  <c r="N282" i="1"/>
  <c r="K282" i="1"/>
  <c r="N281" i="1"/>
  <c r="K281" i="1"/>
  <c r="N280" i="1"/>
  <c r="K280" i="1"/>
  <c r="N279" i="1"/>
  <c r="K279" i="1"/>
  <c r="N278" i="1"/>
  <c r="K278" i="1"/>
  <c r="N277" i="1"/>
  <c r="K277" i="1"/>
  <c r="N276" i="1"/>
  <c r="K276" i="1"/>
  <c r="N275" i="1"/>
  <c r="K275" i="1"/>
  <c r="N274" i="1"/>
  <c r="K274" i="1"/>
  <c r="N273" i="1"/>
  <c r="K273" i="1"/>
  <c r="N272" i="1"/>
  <c r="K272" i="1"/>
  <c r="N271" i="1"/>
  <c r="K271" i="1"/>
  <c r="N270" i="1"/>
  <c r="K270" i="1"/>
  <c r="N269" i="1"/>
  <c r="K269" i="1"/>
  <c r="N268" i="1"/>
  <c r="K268" i="1"/>
  <c r="N267" i="1"/>
  <c r="K267" i="1"/>
  <c r="N266" i="1"/>
  <c r="K266" i="1"/>
  <c r="N265" i="1"/>
  <c r="K265" i="1"/>
  <c r="N264" i="1"/>
  <c r="K264" i="1"/>
  <c r="N263" i="1"/>
  <c r="K263" i="1"/>
  <c r="N262" i="1"/>
  <c r="K262" i="1"/>
  <c r="N261" i="1"/>
  <c r="K261" i="1"/>
  <c r="N260" i="1"/>
  <c r="K260" i="1"/>
  <c r="N259" i="1"/>
  <c r="K259" i="1"/>
  <c r="N258" i="1"/>
  <c r="K258" i="1"/>
  <c r="N257" i="1"/>
  <c r="K257" i="1"/>
  <c r="N256" i="1"/>
  <c r="K256" i="1"/>
  <c r="N255" i="1"/>
  <c r="K255" i="1"/>
  <c r="N254" i="1"/>
  <c r="K254" i="1"/>
  <c r="N253" i="1"/>
  <c r="K253" i="1"/>
  <c r="N252" i="1"/>
  <c r="K252" i="1"/>
  <c r="N251" i="1"/>
  <c r="K251" i="1"/>
  <c r="N250" i="1"/>
  <c r="K250" i="1"/>
  <c r="N249" i="1"/>
  <c r="K249" i="1"/>
  <c r="N248" i="1"/>
  <c r="K248" i="1"/>
  <c r="N247" i="1"/>
  <c r="K247" i="1"/>
  <c r="N246" i="1"/>
  <c r="K246" i="1"/>
  <c r="N245" i="1"/>
  <c r="K245" i="1"/>
  <c r="N244" i="1"/>
  <c r="K244" i="1"/>
  <c r="N243" i="1"/>
  <c r="K243" i="1"/>
  <c r="N242" i="1"/>
  <c r="K242" i="1"/>
  <c r="N241" i="1"/>
  <c r="K241" i="1"/>
  <c r="N240" i="1"/>
  <c r="K240" i="1"/>
  <c r="N239" i="1"/>
  <c r="K239" i="1"/>
  <c r="N238" i="1"/>
  <c r="K238" i="1"/>
  <c r="N237" i="1"/>
  <c r="K237" i="1"/>
  <c r="N236" i="1"/>
  <c r="K236" i="1"/>
  <c r="N235" i="1"/>
  <c r="K235" i="1"/>
  <c r="N234" i="1"/>
  <c r="K234" i="1"/>
  <c r="N233" i="1"/>
  <c r="K233" i="1"/>
  <c r="N232" i="1"/>
  <c r="K232" i="1"/>
  <c r="N231" i="1"/>
  <c r="K231" i="1"/>
  <c r="N230" i="1"/>
  <c r="K230" i="1"/>
  <c r="N229" i="1"/>
  <c r="K229" i="1"/>
  <c r="N228" i="1"/>
  <c r="K228" i="1"/>
  <c r="N227" i="1"/>
  <c r="K227" i="1"/>
  <c r="N226" i="1"/>
  <c r="K226" i="1"/>
  <c r="N225" i="1"/>
  <c r="K225" i="1"/>
  <c r="N224" i="1"/>
  <c r="K224" i="1"/>
  <c r="N223" i="1"/>
  <c r="K223" i="1"/>
  <c r="N222" i="1"/>
  <c r="K222" i="1"/>
  <c r="N221" i="1"/>
  <c r="K221" i="1"/>
  <c r="N220" i="1"/>
  <c r="K220" i="1"/>
  <c r="N219" i="1"/>
  <c r="K219" i="1"/>
  <c r="N218" i="1"/>
  <c r="K218" i="1"/>
  <c r="N217" i="1"/>
  <c r="K217" i="1"/>
  <c r="N216" i="1"/>
  <c r="K216" i="1"/>
  <c r="N215" i="1"/>
  <c r="K215" i="1"/>
  <c r="N214" i="1"/>
  <c r="K214" i="1"/>
  <c r="N213" i="1"/>
  <c r="K213" i="1"/>
  <c r="N212" i="1"/>
  <c r="K212" i="1"/>
  <c r="N211" i="1"/>
  <c r="K211" i="1"/>
  <c r="N210" i="1"/>
  <c r="K210" i="1"/>
  <c r="N209" i="1"/>
  <c r="K209" i="1"/>
  <c r="N208" i="1"/>
  <c r="K208" i="1"/>
  <c r="N207" i="1"/>
  <c r="K207" i="1"/>
  <c r="N206" i="1"/>
  <c r="K206" i="1"/>
  <c r="N205" i="1"/>
  <c r="K205" i="1"/>
  <c r="N204" i="1"/>
  <c r="K204" i="1"/>
  <c r="N203" i="1"/>
  <c r="K203" i="1"/>
  <c r="N202" i="1"/>
  <c r="K202" i="1"/>
  <c r="N201" i="1"/>
  <c r="K201" i="1"/>
  <c r="N200" i="1"/>
  <c r="K200" i="1"/>
  <c r="N199" i="1"/>
  <c r="K199" i="1"/>
  <c r="N198" i="1"/>
  <c r="K198" i="1"/>
  <c r="N197" i="1"/>
  <c r="K197" i="1"/>
  <c r="N196" i="1"/>
  <c r="K196" i="1"/>
  <c r="N195" i="1"/>
  <c r="K195" i="1"/>
  <c r="N194" i="1"/>
  <c r="K194" i="1"/>
  <c r="N193" i="1"/>
  <c r="K193" i="1"/>
  <c r="N192" i="1"/>
  <c r="K192" i="1"/>
  <c r="N191" i="1"/>
  <c r="K191" i="1"/>
  <c r="N190" i="1"/>
  <c r="K190" i="1"/>
  <c r="N189" i="1"/>
  <c r="K189" i="1"/>
  <c r="N188" i="1"/>
  <c r="K188" i="1"/>
  <c r="N187" i="1"/>
  <c r="K187" i="1"/>
  <c r="N186" i="1"/>
  <c r="K186" i="1"/>
  <c r="N185" i="1"/>
  <c r="K185" i="1"/>
  <c r="N184" i="1"/>
  <c r="K184" i="1"/>
  <c r="N183" i="1"/>
  <c r="K183" i="1"/>
  <c r="N182" i="1"/>
  <c r="K182" i="1"/>
  <c r="N181" i="1"/>
  <c r="K181" i="1"/>
  <c r="N180" i="1"/>
  <c r="K180" i="1"/>
  <c r="N179" i="1"/>
  <c r="K179" i="1"/>
  <c r="N178" i="1"/>
  <c r="K178" i="1"/>
  <c r="N177" i="1"/>
  <c r="K177" i="1"/>
  <c r="N176" i="1"/>
  <c r="K176" i="1"/>
  <c r="N175" i="1"/>
  <c r="K175" i="1"/>
  <c r="N174" i="1"/>
  <c r="K174" i="1"/>
  <c r="N173" i="1"/>
  <c r="K173" i="1"/>
  <c r="N172" i="1"/>
  <c r="K172" i="1"/>
  <c r="N171" i="1"/>
  <c r="K171" i="1"/>
  <c r="N170" i="1"/>
  <c r="K170" i="1"/>
  <c r="N169" i="1"/>
  <c r="K169" i="1"/>
  <c r="N168" i="1"/>
  <c r="K168" i="1"/>
  <c r="N167" i="1"/>
  <c r="K167" i="1"/>
  <c r="N166" i="1"/>
  <c r="K166" i="1"/>
  <c r="N165" i="1"/>
  <c r="K165" i="1"/>
  <c r="N164" i="1"/>
  <c r="K164" i="1"/>
  <c r="N163" i="1"/>
  <c r="K163" i="1"/>
  <c r="N162" i="1"/>
  <c r="K162" i="1"/>
  <c r="N161" i="1"/>
  <c r="K161" i="1"/>
  <c r="N160" i="1"/>
  <c r="K160" i="1"/>
  <c r="N159" i="1"/>
  <c r="K159" i="1"/>
  <c r="N158" i="1"/>
  <c r="K158" i="1"/>
  <c r="N157" i="1"/>
  <c r="K157" i="1"/>
  <c r="N156" i="1"/>
  <c r="K156" i="1"/>
  <c r="N155" i="1"/>
  <c r="K155" i="1"/>
  <c r="N154" i="1"/>
  <c r="K154" i="1"/>
  <c r="N153" i="1"/>
  <c r="K153" i="1"/>
  <c r="N152" i="1"/>
  <c r="K152" i="1"/>
  <c r="N151" i="1"/>
  <c r="K151" i="1"/>
  <c r="N150" i="1"/>
  <c r="K150" i="1"/>
  <c r="N149" i="1"/>
  <c r="K149" i="1"/>
  <c r="N148" i="1"/>
  <c r="K148" i="1"/>
  <c r="N147" i="1"/>
  <c r="K147" i="1"/>
  <c r="N146" i="1"/>
  <c r="K146" i="1"/>
  <c r="N145" i="1"/>
  <c r="K145" i="1"/>
  <c r="N144" i="1"/>
  <c r="K144" i="1"/>
  <c r="N143" i="1"/>
  <c r="K143" i="1"/>
  <c r="N142" i="1"/>
  <c r="K142" i="1"/>
  <c r="N141" i="1"/>
  <c r="K141" i="1"/>
  <c r="N140" i="1"/>
  <c r="K140" i="1"/>
  <c r="N139" i="1"/>
  <c r="K139" i="1"/>
  <c r="N138" i="1"/>
  <c r="K138" i="1"/>
  <c r="N137" i="1"/>
  <c r="K137" i="1"/>
  <c r="N136" i="1"/>
  <c r="K136" i="1"/>
  <c r="N135" i="1"/>
  <c r="K135" i="1"/>
  <c r="N134" i="1"/>
  <c r="K134" i="1"/>
  <c r="N133" i="1"/>
  <c r="K133" i="1"/>
  <c r="N132" i="1"/>
  <c r="K132" i="1"/>
  <c r="N131" i="1"/>
  <c r="K131" i="1"/>
  <c r="N130" i="1"/>
  <c r="K130" i="1"/>
  <c r="N129" i="1"/>
  <c r="K129" i="1"/>
  <c r="N128" i="1"/>
  <c r="K128" i="1"/>
  <c r="N127" i="1"/>
  <c r="K127" i="1"/>
  <c r="N126" i="1"/>
  <c r="K126" i="1"/>
  <c r="N125" i="1"/>
  <c r="K125" i="1"/>
  <c r="N124" i="1"/>
  <c r="K124" i="1"/>
  <c r="N123" i="1"/>
  <c r="K123" i="1"/>
  <c r="N122" i="1"/>
  <c r="K122" i="1"/>
  <c r="N121" i="1"/>
  <c r="K121" i="1"/>
  <c r="N120" i="1"/>
  <c r="K120" i="1"/>
  <c r="N119" i="1"/>
  <c r="K119" i="1"/>
  <c r="N118" i="1"/>
  <c r="K118" i="1"/>
  <c r="N117" i="1"/>
  <c r="K117" i="1"/>
  <c r="N116" i="1"/>
  <c r="K116" i="1"/>
  <c r="N115" i="1"/>
  <c r="K115" i="1"/>
  <c r="N114" i="1"/>
  <c r="K114" i="1"/>
  <c r="N113" i="1"/>
  <c r="K113" i="1"/>
  <c r="N112" i="1"/>
  <c r="K112" i="1"/>
  <c r="N111" i="1"/>
  <c r="K111" i="1"/>
  <c r="N110" i="1"/>
  <c r="K110" i="1"/>
  <c r="N109" i="1"/>
  <c r="K109" i="1"/>
  <c r="N108" i="1"/>
  <c r="K108" i="1"/>
  <c r="N107" i="1"/>
  <c r="K107" i="1"/>
  <c r="N106" i="1"/>
  <c r="K106" i="1"/>
  <c r="N105" i="1"/>
  <c r="K105" i="1"/>
  <c r="N104" i="1"/>
  <c r="K104" i="1"/>
  <c r="N103" i="1"/>
  <c r="K103" i="1"/>
  <c r="N102" i="1"/>
  <c r="K102" i="1"/>
  <c r="N101" i="1"/>
  <c r="K101" i="1"/>
  <c r="N100" i="1"/>
  <c r="K100" i="1"/>
  <c r="N99" i="1"/>
  <c r="K99" i="1"/>
  <c r="N98" i="1"/>
  <c r="K98" i="1"/>
  <c r="N97" i="1"/>
  <c r="K97" i="1"/>
  <c r="N96" i="1"/>
  <c r="K96" i="1"/>
  <c r="N95" i="1"/>
  <c r="K95" i="1"/>
  <c r="N94" i="1"/>
  <c r="K94" i="1"/>
  <c r="N93" i="1"/>
  <c r="K93" i="1"/>
  <c r="N92" i="1"/>
  <c r="K92" i="1"/>
  <c r="N91" i="1"/>
  <c r="K91" i="1"/>
  <c r="N90" i="1"/>
  <c r="K90" i="1"/>
  <c r="N89" i="1"/>
  <c r="K89" i="1"/>
  <c r="N88" i="1"/>
  <c r="K88" i="1"/>
  <c r="N87" i="1"/>
  <c r="K87" i="1"/>
  <c r="N86" i="1"/>
  <c r="K86" i="1"/>
  <c r="N85" i="1"/>
  <c r="K85" i="1"/>
  <c r="N84" i="1"/>
  <c r="K84" i="1"/>
  <c r="N83" i="1"/>
  <c r="K83" i="1"/>
  <c r="N82" i="1"/>
  <c r="K82" i="1"/>
  <c r="N81" i="1"/>
  <c r="K81" i="1"/>
  <c r="N80" i="1"/>
  <c r="K80" i="1"/>
  <c r="N79" i="1"/>
  <c r="K79" i="1"/>
  <c r="N78" i="1"/>
  <c r="K78" i="1"/>
  <c r="N77" i="1"/>
  <c r="K77" i="1"/>
  <c r="N76" i="1"/>
  <c r="K76" i="1"/>
  <c r="N75" i="1"/>
  <c r="K75" i="1"/>
  <c r="N74" i="1"/>
  <c r="K74" i="1"/>
  <c r="N73" i="1"/>
  <c r="K73" i="1"/>
  <c r="N72" i="1"/>
  <c r="K72" i="1"/>
  <c r="N71" i="1"/>
  <c r="K71" i="1"/>
  <c r="N70" i="1"/>
  <c r="K70" i="1"/>
  <c r="N69" i="1"/>
  <c r="K69" i="1"/>
  <c r="N68" i="1"/>
  <c r="K68" i="1"/>
  <c r="N67" i="1"/>
  <c r="K67" i="1"/>
  <c r="N66" i="1"/>
  <c r="K66" i="1"/>
  <c r="N65" i="1"/>
  <c r="K65" i="1"/>
  <c r="N64" i="1"/>
  <c r="K64" i="1"/>
  <c r="N63" i="1"/>
  <c r="K63" i="1"/>
  <c r="N62" i="1"/>
  <c r="K62" i="1"/>
  <c r="N61" i="1"/>
  <c r="K61" i="1"/>
  <c r="N60" i="1"/>
  <c r="K60" i="1"/>
  <c r="N59" i="1"/>
  <c r="K59" i="1"/>
  <c r="N58" i="1"/>
  <c r="K58" i="1"/>
  <c r="N57" i="1"/>
  <c r="K57" i="1"/>
  <c r="N56" i="1"/>
  <c r="K56" i="1"/>
  <c r="N55" i="1"/>
  <c r="K55" i="1"/>
  <c r="N54" i="1"/>
  <c r="K54" i="1"/>
  <c r="N53" i="1"/>
  <c r="K53" i="1"/>
  <c r="N52" i="1"/>
  <c r="K52" i="1"/>
  <c r="N51" i="1"/>
  <c r="K51" i="1"/>
  <c r="N50" i="1"/>
  <c r="K50" i="1"/>
  <c r="N49" i="1"/>
  <c r="K49" i="1"/>
  <c r="N48" i="1"/>
  <c r="K48" i="1"/>
  <c r="N47" i="1"/>
  <c r="K47" i="1"/>
  <c r="N46" i="1"/>
  <c r="K46" i="1"/>
  <c r="N45" i="1"/>
  <c r="K45" i="1"/>
  <c r="N44" i="1"/>
  <c r="K44" i="1"/>
  <c r="N43" i="1"/>
  <c r="K43" i="1"/>
  <c r="N42" i="1"/>
  <c r="K42" i="1"/>
  <c r="N41" i="1"/>
  <c r="K41" i="1"/>
  <c r="N40" i="1"/>
  <c r="K40" i="1"/>
  <c r="N39" i="1"/>
  <c r="K39" i="1"/>
  <c r="N38" i="1"/>
  <c r="K38" i="1"/>
  <c r="N37" i="1"/>
  <c r="K37" i="1"/>
  <c r="N36" i="1"/>
  <c r="K36" i="1"/>
  <c r="N35" i="1"/>
  <c r="K35" i="1"/>
  <c r="N34" i="1"/>
  <c r="K34" i="1"/>
  <c r="N33" i="1"/>
  <c r="K33" i="1"/>
  <c r="N32" i="1"/>
  <c r="K32" i="1"/>
  <c r="N31" i="1"/>
  <c r="K31" i="1"/>
  <c r="N30" i="1"/>
  <c r="K30" i="1"/>
  <c r="N29" i="1"/>
  <c r="K29" i="1"/>
  <c r="N28" i="1"/>
  <c r="K28" i="1"/>
  <c r="N27" i="1"/>
  <c r="K27" i="1"/>
  <c r="N26" i="1"/>
  <c r="K26" i="1"/>
  <c r="N25" i="1"/>
  <c r="K25" i="1"/>
  <c r="N24" i="1"/>
  <c r="K24" i="1"/>
  <c r="N23" i="1"/>
  <c r="K23" i="1"/>
  <c r="N22" i="1"/>
  <c r="K22" i="1"/>
  <c r="N21" i="1"/>
  <c r="K21" i="1"/>
  <c r="N20" i="1"/>
  <c r="K20" i="1"/>
  <c r="N19" i="1"/>
  <c r="K19" i="1"/>
  <c r="N18" i="1"/>
  <c r="K18" i="1"/>
  <c r="N17" i="1"/>
  <c r="K17" i="1"/>
  <c r="N16" i="1"/>
  <c r="K16" i="1"/>
  <c r="N15" i="1"/>
  <c r="K15" i="1"/>
  <c r="N14" i="1"/>
  <c r="K14" i="1"/>
  <c r="N13" i="1"/>
  <c r="K13" i="1"/>
  <c r="N12" i="1"/>
  <c r="K12" i="1"/>
  <c r="N11" i="1"/>
  <c r="K11" i="1"/>
  <c r="N10" i="1"/>
  <c r="K10" i="1"/>
  <c r="N9" i="1"/>
  <c r="K9" i="1"/>
  <c r="N8" i="1"/>
  <c r="K8" i="1"/>
  <c r="N7" i="1"/>
  <c r="K7" i="1"/>
  <c r="N6" i="1"/>
  <c r="K6" i="1"/>
  <c r="N5" i="1"/>
  <c r="K5" i="1"/>
  <c r="N4" i="1"/>
  <c r="K4" i="1"/>
  <c r="N3" i="1"/>
  <c r="K3" i="1"/>
  <c r="N2" i="1"/>
  <c r="K2" i="1"/>
</calcChain>
</file>

<file path=xl/sharedStrings.xml><?xml version="1.0" encoding="utf-8"?>
<sst xmlns="http://schemas.openxmlformats.org/spreadsheetml/2006/main" count="10136" uniqueCount="1093">
  <si>
    <t>Campaign_ID</t>
  </si>
  <si>
    <t>Influencer_Name</t>
  </si>
  <si>
    <t>Platform</t>
  </si>
  <si>
    <t>Category</t>
  </si>
  <si>
    <t>Followers</t>
  </si>
  <si>
    <t>Reach</t>
  </si>
  <si>
    <t>Impressions</t>
  </si>
  <si>
    <t>Likes</t>
  </si>
  <si>
    <t>Comments</t>
  </si>
  <si>
    <t>Shares</t>
  </si>
  <si>
    <t>Engagement_Rate (%)</t>
  </si>
  <si>
    <t>Campaign_Cost (₹)</t>
  </si>
  <si>
    <t>Revenue_Generated (₹)</t>
  </si>
  <si>
    <t>ROI (%)</t>
  </si>
  <si>
    <t>Start_Date</t>
  </si>
  <si>
    <t>End_Date</t>
  </si>
  <si>
    <t>Region</t>
  </si>
  <si>
    <t>C0001</t>
  </si>
  <si>
    <t>Vikas Gupta</t>
  </si>
  <si>
    <t>LinkedIn</t>
  </si>
  <si>
    <t>Food</t>
  </si>
  <si>
    <t>Pune</t>
  </si>
  <si>
    <t>C0002</t>
  </si>
  <si>
    <t>Ayesha Khan</t>
  </si>
  <si>
    <t>Technology</t>
  </si>
  <si>
    <t>Ahmedabad</t>
  </si>
  <si>
    <t>C0003</t>
  </si>
  <si>
    <t>Karan Shah</t>
  </si>
  <si>
    <t>YouTube</t>
  </si>
  <si>
    <t>Travel</t>
  </si>
  <si>
    <t>Delhi</t>
  </si>
  <si>
    <t>C0004</t>
  </si>
  <si>
    <t>Rohan Singh</t>
  </si>
  <si>
    <t>Facebook</t>
  </si>
  <si>
    <t>Kolkata</t>
  </si>
  <si>
    <t>C0005</t>
  </si>
  <si>
    <t>Arjun Desai</t>
  </si>
  <si>
    <t>X</t>
  </si>
  <si>
    <t>C0006</t>
  </si>
  <si>
    <t>Tanvi Rao</t>
  </si>
  <si>
    <t>Fitness</t>
  </si>
  <si>
    <t>Bengaluru</t>
  </si>
  <si>
    <t>C0007</t>
  </si>
  <si>
    <t>Instagram</t>
  </si>
  <si>
    <t>C0008</t>
  </si>
  <si>
    <t>Nikhil Patil</t>
  </si>
  <si>
    <t>Beauty</t>
  </si>
  <si>
    <t>Chennai</t>
  </si>
  <si>
    <t>C0009</t>
  </si>
  <si>
    <t>Sneha Patil</t>
  </si>
  <si>
    <t>C0010</t>
  </si>
  <si>
    <t>Education</t>
  </si>
  <si>
    <t>C0011</t>
  </si>
  <si>
    <t>Pooja Nair</t>
  </si>
  <si>
    <t>Hyderabad</t>
  </si>
  <si>
    <t>C0012</t>
  </si>
  <si>
    <t>C0013</t>
  </si>
  <si>
    <t>Amit Joshi</t>
  </si>
  <si>
    <t>Fashion</t>
  </si>
  <si>
    <t>C0014</t>
  </si>
  <si>
    <t>C0015</t>
  </si>
  <si>
    <t>Meera Iyer</t>
  </si>
  <si>
    <t>C0016</t>
  </si>
  <si>
    <t>Rahul Verma</t>
  </si>
  <si>
    <t>C0017</t>
  </si>
  <si>
    <t>C0018</t>
  </si>
  <si>
    <t>C0019</t>
  </si>
  <si>
    <t>C0020</t>
  </si>
  <si>
    <t>C0021</t>
  </si>
  <si>
    <t>C0022</t>
  </si>
  <si>
    <t>C0023</t>
  </si>
  <si>
    <t>C0024</t>
  </si>
  <si>
    <t>Gaming</t>
  </si>
  <si>
    <t>C0025</t>
  </si>
  <si>
    <t>C0026</t>
  </si>
  <si>
    <t>Neha Kulkarni</t>
  </si>
  <si>
    <t>C0027</t>
  </si>
  <si>
    <t>C0028</t>
  </si>
  <si>
    <t>Mumbai</t>
  </si>
  <si>
    <t>C0029</t>
  </si>
  <si>
    <t>Priya Sharma</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</si>
  <si>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</si>
  <si>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</si>
  <si>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</si>
  <si>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</si>
  <si>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</si>
  <si>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</si>
  <si>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</si>
  <si>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</si>
  <si>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</si>
  <si>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</si>
  <si>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</si>
  <si>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</si>
  <si>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</si>
  <si>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</si>
  <si>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</si>
  <si>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</si>
  <si>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</si>
  <si>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</si>
  <si>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</si>
  <si>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</si>
  <si>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</si>
  <si>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</si>
  <si>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Anjali Mehta</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</si>
  <si>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</si>
  <si>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</si>
  <si>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</si>
  <si>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</si>
  <si>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</si>
  <si>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</si>
  <si>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</si>
  <si>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</si>
  <si>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</si>
  <si>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</si>
  <si>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</si>
  <si>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</si>
  <si>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</si>
  <si>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</si>
  <si>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</si>
  <si>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</si>
  <si>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</si>
  <si>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</si>
  <si>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</si>
  <si>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</si>
  <si>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</si>
  <si>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</si>
  <si>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</si>
  <si>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</si>
  <si>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</si>
  <si>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</si>
  <si>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</si>
  <si>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</si>
  <si>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</si>
  <si>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</si>
  <si>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</si>
  <si>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</si>
  <si>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</si>
  <si>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</si>
  <si>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</si>
  <si>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</si>
  <si>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</si>
  <si>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</si>
  <si>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</si>
  <si>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</si>
  <si>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</si>
  <si>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</si>
  <si>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</si>
  <si>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</si>
  <si>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</si>
  <si>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</si>
  <si>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</si>
  <si>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</si>
  <si>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</si>
  <si>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</si>
  <si>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</si>
  <si>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</si>
  <si>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</si>
  <si>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</si>
  <si>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</si>
  <si>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</si>
  <si>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</si>
  <si>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</si>
  <si>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</si>
  <si>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</si>
  <si>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</si>
  <si>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</si>
  <si>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</si>
  <si>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</si>
  <si>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</si>
  <si>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</si>
  <si>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</si>
  <si>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</si>
  <si>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</si>
  <si>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</si>
  <si>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</si>
  <si>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</si>
  <si>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</si>
  <si>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</si>
  <si>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</si>
  <si>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</si>
  <si>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</si>
  <si>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</si>
  <si>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</si>
  <si>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</si>
  <si>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</si>
  <si>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</si>
  <si>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</si>
  <si>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</si>
  <si>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</si>
  <si>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</si>
  <si>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</si>
  <si>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</si>
  <si>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</si>
  <si>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</si>
  <si>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</si>
  <si>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</si>
  <si>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</si>
  <si>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</si>
  <si>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</si>
  <si>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</si>
  <si>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</si>
  <si>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</si>
  <si>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</si>
  <si>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</si>
  <si>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</si>
  <si>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</si>
  <si>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</si>
  <si>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</si>
  <si>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</si>
  <si>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</si>
  <si>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</si>
  <si>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</si>
  <si>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</si>
  <si>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</si>
  <si>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</si>
  <si>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</si>
  <si>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</si>
  <si>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</si>
  <si>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</si>
  <si>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</si>
  <si>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</si>
  <si>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</si>
  <si>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</si>
  <si>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</si>
  <si>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</si>
  <si>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</si>
  <si>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</si>
  <si>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</si>
  <si>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</si>
  <si>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</si>
  <si>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</si>
  <si>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</si>
  <si>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</si>
  <si>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</si>
  <si>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</si>
  <si>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</si>
  <si>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</si>
  <si>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</si>
  <si>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</si>
  <si>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</si>
  <si>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</si>
  <si>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</si>
  <si>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</si>
  <si>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</si>
  <si>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</si>
  <si>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</si>
  <si>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</si>
  <si>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</si>
  <si>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</si>
  <si>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</si>
  <si>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</si>
  <si>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</si>
  <si>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</si>
  <si>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</si>
  <si>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</si>
  <si>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</si>
  <si>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</si>
  <si>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</si>
  <si>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</si>
  <si>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</si>
  <si>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</si>
  <si>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</si>
  <si>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</si>
  <si>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</si>
  <si>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</si>
  <si>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</si>
  <si>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</si>
  <si>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</si>
  <si>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</si>
  <si>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</si>
  <si>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</si>
  <si>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</si>
  <si>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</si>
  <si>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</si>
  <si>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</si>
  <si>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</si>
  <si>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</si>
  <si>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</si>
  <si>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</si>
  <si>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</si>
  <si>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</si>
  <si>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</si>
  <si>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</si>
  <si>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</si>
  <si>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</si>
  <si>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</si>
  <si>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</si>
  <si>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</si>
  <si>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</si>
  <si>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</si>
  <si>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</si>
  <si>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</si>
  <si>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</si>
  <si>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</si>
  <si>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</si>
  <si>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</si>
  <si>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</si>
  <si>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</si>
  <si>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</si>
  <si>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</si>
  <si>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</si>
  <si>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</si>
  <si>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</si>
  <si>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</si>
  <si>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</si>
  <si>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</si>
  <si>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</si>
  <si>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</si>
  <si>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</si>
  <si>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</si>
  <si>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</si>
  <si>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</si>
  <si>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</si>
  <si>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</si>
  <si>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</si>
  <si>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</si>
  <si>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</si>
  <si>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</si>
  <si>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</si>
  <si>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</si>
  <si>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</si>
  <si>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</si>
  <si>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</si>
  <si>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</si>
  <si>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</si>
  <si>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</si>
  <si>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</si>
  <si>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</si>
  <si>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</si>
  <si>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</si>
  <si>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</si>
  <si>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</si>
  <si>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</si>
  <si>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</si>
  <si>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</si>
  <si>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</si>
  <si>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</si>
  <si>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</si>
  <si>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</si>
  <si>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</si>
  <si>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</si>
  <si>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</si>
  <si>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</si>
  <si>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</si>
  <si>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</si>
  <si>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</si>
  <si>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</si>
  <si>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</si>
  <si>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</si>
  <si>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</si>
  <si>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</si>
  <si>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</si>
  <si>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</si>
  <si>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</si>
  <si>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</si>
  <si>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</si>
  <si>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</si>
  <si>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</si>
  <si>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</si>
  <si>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</si>
  <si>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</si>
  <si>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</si>
  <si>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</si>
  <si>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</si>
  <si>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</si>
  <si>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</si>
  <si>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</si>
  <si>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</si>
  <si>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</si>
  <si>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</si>
  <si>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</si>
  <si>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</si>
  <si>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</si>
  <si>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</si>
  <si>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</si>
  <si>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</si>
  <si>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</si>
  <si>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</si>
  <si>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</si>
  <si>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</si>
  <si>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</si>
  <si>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</si>
  <si>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</si>
  <si>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</si>
  <si>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</si>
  <si>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</si>
  <si>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</si>
  <si>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</si>
  <si>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</si>
  <si>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</si>
  <si>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</si>
  <si>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</si>
  <si>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</si>
  <si>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</si>
  <si>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</si>
  <si>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</si>
  <si>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</si>
  <si>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</si>
  <si>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</si>
  <si>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</si>
  <si>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</si>
  <si>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</si>
  <si>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</si>
  <si>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</si>
  <si>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</si>
  <si>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</si>
  <si>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</si>
  <si>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</si>
  <si>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</si>
  <si>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</si>
  <si>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</si>
  <si>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</si>
  <si>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</si>
  <si>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</si>
  <si>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</si>
  <si>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</si>
  <si>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</si>
  <si>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</si>
  <si>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</si>
  <si>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</si>
  <si>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</si>
  <si>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</si>
  <si>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</si>
  <si>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</si>
  <si>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</si>
  <si>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</si>
  <si>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</si>
  <si>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</si>
  <si>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</si>
  <si>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</si>
  <si>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</si>
  <si>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</si>
  <si>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</si>
  <si>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</si>
  <si>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</si>
  <si>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</si>
  <si>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</si>
  <si>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</si>
  <si>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</si>
  <si>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</si>
  <si>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</si>
  <si>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</si>
  <si>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</si>
  <si>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</si>
  <si>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</si>
  <si>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</si>
  <si>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</si>
  <si>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</si>
  <si>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</si>
  <si>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</si>
  <si>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</si>
  <si>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</si>
  <si>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</si>
  <si>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</si>
  <si>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</si>
  <si>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</si>
  <si>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</si>
  <si>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</si>
  <si>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</si>
  <si>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</si>
  <si>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</si>
  <si>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</si>
  <si>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</si>
  <si>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</si>
  <si>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</si>
  <si>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</si>
  <si>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</si>
  <si>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</si>
  <si>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</si>
  <si>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</si>
  <si>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</si>
  <si>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</si>
  <si>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</si>
  <si>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</si>
  <si>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</si>
  <si>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</si>
  <si>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</si>
  <si>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</si>
  <si>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</si>
  <si>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</si>
  <si>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</si>
  <si>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</si>
  <si>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</si>
  <si>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</si>
  <si>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</si>
  <si>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</si>
  <si>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</si>
  <si>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</si>
  <si>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</si>
  <si>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</si>
  <si>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</si>
  <si>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</si>
  <si>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</si>
  <si>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</si>
  <si>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</si>
  <si>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</si>
  <si>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</si>
  <si>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</si>
  <si>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</si>
  <si>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</si>
  <si>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</si>
  <si>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</si>
  <si>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</si>
  <si>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</si>
  <si>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</si>
  <si>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</si>
  <si>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</si>
  <si>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</si>
  <si>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</si>
  <si>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</si>
  <si>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</si>
  <si>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</si>
  <si>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</si>
  <si>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</si>
  <si>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</si>
  <si>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</si>
  <si>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</si>
  <si>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</si>
  <si>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</si>
  <si>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</si>
  <si>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</si>
  <si>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</si>
  <si>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</si>
  <si>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</si>
  <si>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</si>
  <si>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</si>
  <si>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</si>
  <si>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</si>
  <si>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</si>
  <si>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</si>
  <si>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</si>
  <si>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</si>
  <si>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</si>
  <si>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</si>
  <si>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</si>
  <si>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</si>
  <si>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</si>
  <si>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</si>
  <si>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</si>
  <si>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</si>
  <si>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</si>
  <si>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</si>
  <si>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</si>
  <si>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</si>
  <si>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</si>
  <si>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</si>
  <si>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</si>
  <si>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</si>
  <si>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</si>
  <si>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</si>
  <si>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</si>
  <si>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</si>
  <si>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</si>
  <si>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</si>
  <si>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</si>
  <si>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</si>
  <si>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</si>
  <si>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</si>
  <si>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</si>
  <si>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</si>
  <si>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</si>
  <si>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</si>
  <si>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</si>
  <si>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</si>
  <si>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</si>
  <si>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</si>
  <si>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</si>
  <si>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</si>
  <si>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</si>
  <si>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</si>
  <si>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</si>
  <si>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</si>
  <si>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</si>
  <si>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</si>
  <si>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</si>
  <si>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</si>
  <si>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</si>
  <si>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</si>
  <si>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</si>
  <si>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</si>
  <si>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</si>
  <si>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</si>
  <si>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</si>
  <si>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</si>
  <si>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</si>
  <si>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</si>
  <si>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</si>
  <si>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</si>
  <si>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</si>
  <si>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</si>
  <si>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</si>
  <si>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</si>
  <si>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</si>
  <si>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</si>
  <si>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</si>
  <si>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</si>
  <si>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</si>
  <si>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</si>
  <si>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</si>
  <si>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</si>
  <si>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</si>
  <si>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</si>
  <si>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</si>
  <si>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</si>
  <si>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</si>
  <si>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</si>
  <si>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</si>
  <si>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</si>
  <si>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</si>
  <si>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</si>
  <si>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</si>
  <si>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</si>
  <si>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</si>
  <si>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</si>
  <si>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</si>
  <si>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</si>
  <si>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</si>
  <si>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</si>
  <si>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</si>
  <si>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</si>
  <si>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</si>
  <si>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</si>
  <si>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</si>
  <si>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</si>
  <si>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</si>
  <si>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</si>
  <si>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</si>
  <si>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</si>
  <si>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</si>
  <si>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</si>
  <si>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</si>
  <si>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</si>
  <si>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</si>
  <si>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</si>
  <si>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</si>
  <si>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</si>
  <si>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</si>
  <si>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</si>
  <si>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</si>
  <si>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</si>
  <si>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</si>
  <si>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</si>
  <si>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</si>
  <si>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</si>
  <si>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</si>
  <si>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</si>
  <si>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</si>
  <si>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</si>
  <si>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</si>
  <si>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</si>
  <si>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</si>
  <si>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</si>
  <si>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</si>
  <si>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</si>
  <si>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</si>
  <si>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</si>
  <si>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</si>
  <si>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</si>
  <si>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</si>
  <si>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</si>
  <si>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</si>
  <si>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</si>
  <si>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</si>
  <si>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</si>
  <si>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</si>
  <si>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</si>
  <si>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</si>
  <si>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</si>
  <si>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</si>
  <si>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</si>
  <si>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</si>
  <si>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</si>
  <si>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</si>
  <si>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</si>
  <si>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</si>
  <si>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</si>
  <si>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</si>
  <si>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</si>
  <si>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</si>
  <si>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</si>
  <si>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</si>
  <si>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</si>
  <si>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</si>
  <si>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</si>
  <si>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</si>
  <si>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</si>
  <si>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</si>
  <si>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</si>
  <si>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</si>
  <si>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</si>
  <si>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</si>
  <si>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</si>
  <si>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</si>
  <si>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</si>
  <si>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</si>
  <si>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</si>
  <si>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</si>
  <si>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</si>
  <si>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</si>
  <si>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</si>
  <si>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</si>
  <si>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</si>
  <si>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</si>
  <si>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</si>
  <si>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</si>
  <si>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</si>
  <si>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</si>
  <si>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</si>
  <si>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</si>
  <si>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</si>
  <si>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</si>
  <si>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</si>
  <si>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</si>
  <si>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</si>
  <si>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</si>
  <si>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</si>
  <si>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</si>
  <si>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</si>
  <si>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</si>
  <si>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</si>
  <si>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</si>
  <si>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</si>
  <si>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</si>
  <si>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</si>
  <si>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</si>
  <si>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</si>
  <si>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</si>
  <si>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</si>
  <si>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</si>
  <si>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</si>
  <si>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</si>
  <si>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</si>
  <si>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</si>
  <si>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</si>
  <si>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</si>
  <si>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</si>
  <si>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</si>
  <si>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</si>
  <si>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</si>
  <si>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</si>
  <si>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</si>
  <si>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</si>
  <si>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</si>
  <si>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</si>
  <si>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</si>
  <si>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</si>
  <si>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</si>
  <si>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</si>
  <si>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C0696</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</si>
  <si>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</si>
  <si>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</si>
  <si>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</si>
  <si>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</si>
  <si>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</si>
  <si>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</si>
  <si>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</si>
  <si>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</si>
  <si>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</si>
  <si>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</si>
  <si>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</si>
  <si>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</si>
  <si>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</si>
  <si>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</si>
  <si>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</si>
  <si>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</si>
  <si>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</si>
  <si>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</si>
  <si>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</si>
  <si>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</si>
  <si>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</si>
  <si>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C0718</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</si>
  <si>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</si>
  <si>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</si>
  <si>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</si>
  <si>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</si>
  <si>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</si>
  <si>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</si>
  <si>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</si>
  <si>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</si>
  <si>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</si>
  <si>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</si>
  <si>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</si>
  <si>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</si>
  <si>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</si>
  <si>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</si>
  <si>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</si>
  <si>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</si>
  <si>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</si>
  <si>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</si>
  <si>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</si>
  <si>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</si>
  <si>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</si>
  <si>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</si>
  <si>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</si>
  <si>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</si>
  <si>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</si>
  <si>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C0744</t>
  </si>
  <si>
    <t>C0745</t>
  </si>
  <si>
    <t>C0746</t>
  </si>
  <si>
    <t>C0747</t>
  </si>
  <si>
    <t>C0748</t>
  </si>
  <si>
    <t>C0749</t>
  </si>
  <si>
    <t>C0750</t>
  </si>
  <si>
    <t>C0751</t>
  </si>
  <si>
    <t>C0752</t>
  </si>
  <si>
    <t>C0753</t>
  </si>
  <si>
    <t>C0754</t>
  </si>
  <si>
    <t>C0755</t>
  </si>
  <si>
    <t>C0756</t>
  </si>
  <si>
    <t>C0757</t>
  </si>
  <si>
    <t>C0758</t>
  </si>
  <si>
    <t>C0759</t>
  </si>
  <si>
    <t>C0760</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</si>
  <si>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</si>
  <si>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</si>
  <si>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</si>
  <si>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</si>
  <si>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</si>
  <si>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</si>
  <si>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</si>
  <si>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</si>
  <si>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</si>
  <si>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</si>
  <si>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</si>
  <si>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</si>
  <si>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</si>
  <si>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</si>
  <si>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</si>
  <si>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</si>
  <si>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</si>
  <si>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</si>
  <si>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</si>
  <si>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</si>
  <si>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</si>
  <si>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</si>
  <si>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</si>
  <si>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</si>
  <si>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</si>
  <si>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</si>
  <si>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</si>
  <si>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</si>
  <si>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</si>
  <si>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</si>
  <si>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</si>
  <si>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</si>
  <si>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</si>
  <si>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</si>
  <si>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C0795</t>
  </si>
  <si>
    <t>C0796</t>
  </si>
  <si>
    <t>C0797</t>
  </si>
  <si>
    <t>C0798</t>
  </si>
  <si>
    <t>C0799</t>
  </si>
  <si>
    <t>C0800</t>
  </si>
  <si>
    <t>C0801</t>
  </si>
  <si>
    <t>C0802</t>
  </si>
  <si>
    <t>C0803</t>
  </si>
  <si>
    <t>C0804</t>
  </si>
  <si>
    <t>C0805</t>
  </si>
  <si>
    <t>C0806</t>
  </si>
  <si>
    <t>C0807</t>
  </si>
  <si>
    <t>C0808</t>
  </si>
  <si>
    <t>C0809</t>
  </si>
  <si>
    <t>C0810</t>
  </si>
  <si>
    <t>C0811</t>
  </si>
  <si>
    <t>C0812</t>
  </si>
  <si>
    <t>C0813</t>
  </si>
  <si>
    <t>C0814</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</si>
  <si>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</si>
  <si>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</si>
  <si>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</si>
  <si>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</si>
  <si>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</si>
  <si>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</si>
  <si>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</si>
  <si>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</si>
  <si>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</si>
  <si>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</si>
  <si>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</si>
  <si>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</si>
  <si>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</si>
  <si>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</si>
  <si>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</si>
  <si>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</si>
  <si>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</si>
  <si>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</si>
  <si>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</si>
  <si>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</si>
  <si>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</si>
  <si>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</si>
  <si>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</si>
  <si>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</si>
  <si>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</si>
  <si>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</si>
  <si>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</si>
  <si>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</si>
  <si>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</si>
  <si>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</si>
  <si>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</si>
  <si>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</si>
  <si>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</si>
  <si>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</si>
  <si>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</si>
  <si>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</si>
  <si>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</si>
  <si>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</si>
  <si>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</si>
  <si>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</si>
  <si>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</si>
  <si>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</si>
  <si>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</si>
  <si>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C0858</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</si>
  <si>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</si>
  <si>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</si>
  <si>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</si>
  <si>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</si>
  <si>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</si>
  <si>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</si>
  <si>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</si>
  <si>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</si>
  <si>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</si>
  <si>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</si>
  <si>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</si>
  <si>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</si>
  <si>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</si>
  <si>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</si>
  <si>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</si>
  <si>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</si>
  <si>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</si>
  <si>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</si>
  <si>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</si>
  <si>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</si>
  <si>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</si>
  <si>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</si>
  <si>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</si>
  <si>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</si>
  <si>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</si>
  <si>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</si>
  <si>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</si>
  <si>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</si>
  <si>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</si>
  <si>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</si>
  <si>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</si>
  <si>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</si>
  <si>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</si>
  <si>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</si>
  <si>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</si>
  <si>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</si>
  <si>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</si>
  <si>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</si>
  <si>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</si>
  <si>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</si>
  <si>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</si>
  <si>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</si>
  <si>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</si>
  <si>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</si>
  <si>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</si>
  <si>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</si>
  <si>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</si>
  <si>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</si>
  <si>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</si>
  <si>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</si>
  <si>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</si>
  <si>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</si>
  <si>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</si>
  <si>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</si>
  <si>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</si>
  <si>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</si>
  <si>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</si>
  <si>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</si>
  <si>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</si>
  <si>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</si>
  <si>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</si>
  <si>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</si>
  <si>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</si>
  <si>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</si>
  <si>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</si>
  <si>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</si>
  <si>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</si>
  <si>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</si>
  <si>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</si>
  <si>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</si>
  <si>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</si>
  <si>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</si>
  <si>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</si>
  <si>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</si>
  <si>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</si>
  <si>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</si>
  <si>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</si>
  <si>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</si>
  <si>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</si>
  <si>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</si>
  <si>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</si>
  <si>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</si>
  <si>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</si>
  <si>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</si>
  <si>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</si>
  <si>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</si>
  <si>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</si>
  <si>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</si>
  <si>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</si>
  <si>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</si>
  <si>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</si>
  <si>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</si>
  <si>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</si>
  <si>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</si>
  <si>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</si>
  <si>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</si>
  <si>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</si>
  <si>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</si>
  <si>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</si>
  <si>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</si>
  <si>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</si>
  <si>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</si>
  <si>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</si>
  <si>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</si>
  <si>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</si>
  <si>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</si>
  <si>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</si>
  <si>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</si>
  <si>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</si>
  <si>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</si>
  <si>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</si>
  <si>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</si>
  <si>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</si>
  <si>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</si>
  <si>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</si>
  <si>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</si>
  <si>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</si>
  <si>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</si>
  <si>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</si>
  <si>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C0978</t>
  </si>
  <si>
    <t>C0979</t>
  </si>
  <si>
    <t>C0980</t>
  </si>
  <si>
    <t>C0981</t>
  </si>
  <si>
    <t>C0982</t>
  </si>
  <si>
    <t>C0983</t>
  </si>
  <si>
    <t>C0984</t>
  </si>
  <si>
    <t>C0985</t>
  </si>
  <si>
    <t>C0986</t>
  </si>
  <si>
    <t>C0987</t>
  </si>
  <si>
    <t>C0988</t>
  </si>
  <si>
    <t>C0989</t>
  </si>
  <si>
    <t>C0990</t>
  </si>
  <si>
    <t>C0991</t>
  </si>
  <si>
    <t>C0992</t>
  </si>
  <si>
    <t>C0993</t>
  </si>
  <si>
    <t>C0994</t>
  </si>
  <si>
    <t>C0995</t>
  </si>
  <si>
    <t>C0996</t>
  </si>
  <si>
    <t>C0997</t>
  </si>
  <si>
    <t>C0998</t>
  </si>
  <si>
    <t>C0999</t>
  </si>
  <si>
    <t>C1000</t>
  </si>
  <si>
    <t>Campaign_Duration</t>
  </si>
  <si>
    <t>Month</t>
  </si>
  <si>
    <t>Year</t>
  </si>
  <si>
    <t>Cost_Per_Reach</t>
  </si>
  <si>
    <t>Revenue_Per_Reach</t>
  </si>
  <si>
    <t>Total Campaign</t>
  </si>
  <si>
    <t>Total Reach</t>
  </si>
  <si>
    <t>Total Impressions</t>
  </si>
  <si>
    <t>Total Cost</t>
  </si>
  <si>
    <t>Average ROI</t>
  </si>
  <si>
    <t>Average Engagement Rate</t>
  </si>
  <si>
    <t>Total Revenue</t>
  </si>
  <si>
    <t>Row Labels</t>
  </si>
  <si>
    <t>Grand Total</t>
  </si>
  <si>
    <t>Sum of Revenue_Generated (₹)</t>
  </si>
  <si>
    <t>Sum of ROI (%)</t>
  </si>
  <si>
    <t>Sum of Reach</t>
  </si>
  <si>
    <t>Sum of Engagement_Rate (%)</t>
  </si>
  <si>
    <t>Jan</t>
  </si>
  <si>
    <t>Feb</t>
  </si>
  <si>
    <t>Mar</t>
  </si>
  <si>
    <t>Apr</t>
  </si>
  <si>
    <t>May</t>
  </si>
  <si>
    <t>Jun</t>
  </si>
  <si>
    <t>Jul</t>
  </si>
  <si>
    <t>Aug</t>
  </si>
  <si>
    <t>Sep</t>
  </si>
  <si>
    <t>Oct</t>
  </si>
  <si>
    <t>Nov</t>
  </si>
  <si>
    <t>Dec</t>
  </si>
  <si>
    <t>Sum of Campaign_Cost (₹)</t>
  </si>
  <si>
    <t>Influencer Marketing Campaign Performance</t>
  </si>
  <si>
    <t>Revenue by Platform</t>
  </si>
  <si>
    <t>ROI by Platform</t>
  </si>
  <si>
    <t>(All)</t>
  </si>
  <si>
    <t>Cost vs Revenue</t>
  </si>
  <si>
    <t>Reach by Region</t>
  </si>
  <si>
    <t>Engagement by Platform</t>
  </si>
  <si>
    <t>Monthly Revenue Trend</t>
  </si>
  <si>
    <t>Top Influencers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</si>
</sst>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name val="Calibri"/>
      <family val="2"/>
    </font>
    <font>
      <sz val="26"/>
      <color theme="0"/>
      <name val="Arial Black"/>
      <family val="2"/>
    </font>
    <font>
      <sz val="30"/>
      <color theme="0"/>
      <name val="Calibri"/>
      <family val="2"/>
      <scheme val="minor"/>
    </font>
    <font>
      <sz val="18"/>
      <color theme="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3" tint="-0.499984740745262"/>
        <bgColor indexed="64"/>
      </patternFill>
    </fill>
    <fill>
      <patternFill patternType="solid">
        <fgColor theme="2"/>
        <bgColor indexed="64"/>
      </patternFill>
    </fill>
  </fills>
  <borders count="9">
    <border>
      <left/>
      <right/>
      <top/>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14" fontId="1" fillId="0" borderId="0" xfId="0" applyNumberFormat="1" applyFont="1"/>
    <xf numFmtId="14" fontId="0" fillId="0" borderId="0" xfId="0" applyNumberFormat="1"/>
    <xf numFmtId="0" fontId="0" fillId="4" borderId="0" xfId="0" applyFill="1" applyAlignment="1">
      <alignment horizontal="center"/>
    </xf>
    <xf numFmtId="0" fontId="0" fillId="0" borderId="0" xfId="0" applyAlignment="1">
      <alignment horizont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0" xfId="0" applyFont="1" applyFill="1" applyAlignment="1">
      <alignment horizontal="center" vertical="center" wrapText="1"/>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0" fillId="0" borderId="0" xfId="0" pivotButton="1" applyFont="1"/>
    <xf numFmtId="0" fontId="0" fillId="0" borderId="0" xfId="0" applyFont="1"/>
    <xf numFmtId="0" fontId="0" fillId="0" borderId="0" xfId="0" applyFont="1" applyAlignment="1">
      <alignment horizontal="left"/>
    </xf>
    <xf numFmtId="0" fontId="0" fillId="0" borderId="0" xfId="0" applyNumberFormat="1" applyFont="1"/>
    <xf numFmtId="0" fontId="0" fillId="0" borderId="0" xfId="0" pivotButton="1" applyFont="1" applyAlignment="1">
      <alignment wrapText="1"/>
    </xf>
    <xf numFmtId="0" fontId="0" fillId="0" borderId="0" xfId="0" applyFont="1" applyAlignment="1">
      <alignment wrapText="1"/>
    </xf>
    <xf numFmtId="0" fontId="0" fillId="0" borderId="0" xfId="0" applyFont="1" applyAlignment="1">
      <alignment horizontal="left" wrapText="1"/>
    </xf>
    <xf numFmtId="0" fontId="0" fillId="0" borderId="0" xfId="0" applyNumberFormat="1" applyFont="1" applyAlignment="1">
      <alignment wrapText="1"/>
    </xf>
  </cellXfs>
  <cellStyles count="1">
    <cellStyle name="Normal" xfId="0" builtinId="0"/>
  </cellStyles>
  <dxfs count="344">
    <dxf>
      <alignment wrapText="1"/>
    </dxf>
    <dxf>
      <alignment wrapText="1"/>
    </dxf>
    <dxf>
      <alignment wrapText="1"/>
    </dxf>
    <dxf>
      <alignment wrapText="1"/>
    </dxf>
    <dxf>
      <alignment wrapText="1"/>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font>
        <b/>
        <i val="0"/>
        <strike val="0"/>
        <condense val="0"/>
        <extend val="0"/>
        <outline val="0"/>
        <shadow val="0"/>
        <u val="none"/>
        <vertAlign val="baseline"/>
        <sz val="11"/>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[Influencer Marketing Performance DashBoard.xlsx]Pivot_Tables!PivotTable1</c:name>
    <c:fmtId val="5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Pivot_Tables!$B$6:$B$11</c:f>
              <c:strCache>
                <c:ptCount val="5"/>
                <c:pt idx="0">
                  <c:v>Facebook</c:v>
                </c:pt>
                <c:pt idx="1">
                  <c:v>Instagram</c:v>
                </c:pt>
                <c:pt idx="2">
                  <c:v>LinkedIn</c:v>
                </c:pt>
                <c:pt idx="3">
                  <c:v>X</c:v>
                </c:pt>
                <c:pt idx="4">
                  <c:v>YouTube</c:v>
                </c:pt>
              </c:strCache>
            </c:strRef>
          </c:cat>
          <c:val>
            <c:numRef>
              <c:f>Pivot_Tables!$C$6:$C$11</c:f>
              <c:numCache>
                <c:formatCode>General</c:formatCode>
                <c:ptCount val="5"/>
                <c:pt idx="0">
                  <c:v>147162118</c:v>
                </c:pt>
                <c:pt idx="1">
                  <c:v>147803218</c:v>
                </c:pt>
                <c:pt idx="2">
                  <c:v>157787409</c:v>
                </c:pt>
                <c:pt idx="3">
                  <c:v>153652781</c:v>
                </c:pt>
                <c:pt idx="4">
                  <c:v>165417102</c:v>
                </c:pt>
              </c:numCache>
            </c:numRef>
          </c:val>
          <c:extLst>
            <c:ext xmlns:c16="http://schemas.microsoft.com/office/drawing/2014/chart" uri="{C3380CC4-5D6E-409C-BE32-E72D297353CC}">
              <c16:uniqueId val="{00000000-BA6C-435B-A963-EB5439595F25}"/>
            </c:ext>
          </c:extLst>
        </c:ser>
        <c:dLbls>
          <c:showLegendKey val="0"/>
          <c:showVal val="0"/>
          <c:showCatName val="0"/>
          <c:showSerName val="0"/>
          <c:showPercent val="0"/>
          <c:showBubbleSize val="0"/>
        </c:dLbls>
        <c:gapWidth val="150"/>
        <c:shape val="box"/>
        <c:axId val="1916413552"/>
        <c:axId val="1916414384"/>
        <c:axId val="0"/>
      </c:bar3DChart>
      <c:catAx>
        <c:axId val="191641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414384"/>
        <c:crosses val="autoZero"/>
        <c:auto val="1"/>
        <c:lblAlgn val="ctr"/>
        <c:lblOffset val="100"/>
        <c:noMultiLvlLbl val="0"/>
      </c:catAx>
      <c:valAx>
        <c:axId val="19164143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41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[Influencer Marketing Performance DashBoard.xlsx]Pivot_Tables!PivotTable2</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a:t>
            </a:r>
            <a:r>
              <a:rPr lang="en-IN" sz="1400" b="1" i="0" u="none" strike="noStrike" cap="none" baseline="0"/>
              <a:t>Engagement by Platform</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Pivot_Tables!$B$23:$B$31</c:f>
              <c:strCache>
                <c:ptCount val="8"/>
                <c:pt idx="0">
                  <c:v>Beauty</c:v>
                </c:pt>
                <c:pt idx="1">
                  <c:v>Education</c:v>
                </c:pt>
                <c:pt idx="2">
                  <c:v>Fashion</c:v>
                </c:pt>
                <c:pt idx="3">
                  <c:v>Fitness</c:v>
                </c:pt>
                <c:pt idx="4">
                  <c:v>Food</c:v>
                </c:pt>
                <c:pt idx="5">
                  <c:v>Gaming</c:v>
                </c:pt>
                <c:pt idx="6">
                  <c:v>Technology</c:v>
                </c:pt>
                <c:pt idx="7">
                  <c:v>Travel</c:v>
                </c:pt>
              </c:strCache>
            </c:strRef>
          </c:cat>
          <c:val>
            <c:numRef>
              <c:f>Pivot_Tables!$C$23:$C$31</c:f>
              <c:numCache>
                <c:formatCode>General</c:formatCode>
                <c:ptCount val="8"/>
                <c:pt idx="0">
                  <c:v>27827.214581809429</c:v>
                </c:pt>
                <c:pt idx="1">
                  <c:v>24412.196618232334</c:v>
                </c:pt>
                <c:pt idx="2">
                  <c:v>28294.37705603318</c:v>
                </c:pt>
                <c:pt idx="3">
                  <c:v>26016.173176067539</c:v>
                </c:pt>
                <c:pt idx="4">
                  <c:v>25878.87437608869</c:v>
                </c:pt>
                <c:pt idx="5">
                  <c:v>22360.132599264041</c:v>
                </c:pt>
                <c:pt idx="6">
                  <c:v>21124.795872820639</c:v>
                </c:pt>
                <c:pt idx="7">
                  <c:v>28701.643825193292</c:v>
                </c:pt>
              </c:numCache>
            </c:numRef>
          </c:val>
          <c:extLst>
            <c:ext xmlns:c16="http://schemas.microsoft.com/office/drawing/2014/chart" uri="{C3380CC4-5D6E-409C-BE32-E72D297353CC}">
              <c16:uniqueId val="{00000000-40FD-48A7-9E09-CCABFFC0CE62}"/>
            </c:ext>
          </c:extLst>
        </c:ser>
        <c:dLbls>
          <c:showLegendKey val="0"/>
          <c:showVal val="0"/>
          <c:showCatName val="0"/>
          <c:showSerName val="0"/>
          <c:showPercent val="0"/>
          <c:showBubbleSize val="0"/>
        </c:dLbls>
        <c:gapWidth val="182"/>
        <c:overlap val="-50"/>
        <c:axId val="2018237520"/>
        <c:axId val="2018251664"/>
      </c:barChart>
      <c:catAx>
        <c:axId val="20182375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8251664"/>
        <c:crosses val="autoZero"/>
        <c:auto val="1"/>
        <c:lblAlgn val="ctr"/>
        <c:lblOffset val="100"/>
        <c:noMultiLvlLbl val="0"/>
      </c:catAx>
      <c:valAx>
        <c:axId val="201825166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823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[Influencer Marketing Performance DashBoard.xlsx]Pivot_Tables!PivotTable5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b="1"/>
              <a:t>Monthly Revenue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8267276103305E-2"/>
          <c:y val="0.23534749946891345"/>
          <c:w val="0.83506538063391733"/>
          <c:h val="0.57173282141881332"/>
        </c:manualLayout>
      </c:layout>
      <c:lineChart>
        <c:grouping val="standard"/>
        <c:varyColors val="0"/>
        <c:ser>
          <c:idx val="0"/>
          <c:order val="0"/>
          <c:tx>
            <c:strRef>
              <c:f>Pivot_Tables!$I$4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Pivot_Tables!$I$5:$I$17</c:f>
              <c:numCache>
                <c:formatCode>General</c:formatCode>
                <c:ptCount val="12"/>
                <c:pt idx="0">
                  <c:v>84105822</c:v>
                </c:pt>
                <c:pt idx="1">
                  <c:v>100401244</c:v>
                </c:pt>
                <c:pt idx="2">
                  <c:v>86105584</c:v>
                </c:pt>
                <c:pt idx="3">
                  <c:v>99589498</c:v>
                </c:pt>
                <c:pt idx="4">
                  <c:v>79853044</c:v>
                </c:pt>
                <c:pt idx="5">
                  <c:v>43336403</c:v>
                </c:pt>
                <c:pt idx="6">
                  <c:v>49448924</c:v>
                </c:pt>
                <c:pt idx="7">
                  <c:v>39324351</c:v>
                </c:pt>
                <c:pt idx="8">
                  <c:v>45225287</c:v>
                </c:pt>
                <c:pt idx="9">
                  <c:v>49584184</c:v>
                </c:pt>
                <c:pt idx="10">
                  <c:v>44396754</c:v>
                </c:pt>
                <c:pt idx="11">
                  <c:v>50451533</c:v>
                </c:pt>
              </c:numCache>
            </c:numRef>
          </c:val>
          <c:smooth val="0"/>
          <c:extLst>
            <c:ext xmlns:c16="http://schemas.microsoft.com/office/drawing/2014/chart" uri="{C3380CC4-5D6E-409C-BE32-E72D297353CC}">
              <c16:uniqueId val="{00000000-7CF1-4EB9-8641-936B469ADB6D}"/>
            </c:ext>
          </c:extLst>
        </c:ser>
        <c:dLbls>
          <c:showLegendKey val="0"/>
          <c:showVal val="0"/>
          <c:showCatName val="0"/>
          <c:showSerName val="0"/>
          <c:showPercent val="0"/>
          <c:showBubbleSize val="0"/>
        </c:dLbls>
        <c:marker val="1"/>
        <c:smooth val="0"/>
        <c:axId val="1922194240"/>
        <c:axId val="1922201312"/>
      </c:lineChart>
      <c:catAx>
        <c:axId val="19221942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2201312"/>
        <c:crosses val="autoZero"/>
        <c:auto val="1"/>
        <c:lblAlgn val="ctr"/>
        <c:lblOffset val="100"/>
        <c:noMultiLvlLbl val="0"/>
      </c:catAx>
      <c:valAx>
        <c:axId val="192220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219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[Influencer Marketing Performance DashBoard.xlsx]Pivot_Tables!PivotTable7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Cost vs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64203314545949"/>
          <c:y val="0.14939090632827431"/>
          <c:w val="0.53839349884806009"/>
          <c:h val="0.65327762389987998"/>
        </c:manualLayout>
      </c:layout>
      <c:areaChart>
        <c:grouping val="stacked"/>
        <c:varyColors val="0"/>
        <c:ser>
          <c:idx val="0"/>
          <c:order val="0"/>
          <c:tx>
            <c:strRef>
              <c:f>Pivot_Tables!$C$37</c:f>
              <c:strCache>
                <c:ptCount val="1"/>
                <c:pt idx="0">
                  <c:v>Sum of Revenue_Generated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Pivot_Tables!$B$38:$B$43</c:f>
              <c:strCache>
                <c:ptCount val="5"/>
                <c:pt idx="0">
                  <c:v>Facebook</c:v>
                </c:pt>
                <c:pt idx="1">
                  <c:v>Instagram</c:v>
                </c:pt>
                <c:pt idx="2">
                  <c:v>LinkedIn</c:v>
                </c:pt>
                <c:pt idx="3">
                  <c:v>X</c:v>
                </c:pt>
                <c:pt idx="4">
                  <c:v>YouTube</c:v>
                </c:pt>
              </c:strCache>
            </c:strRef>
          </c:cat>
          <c:val>
            <c:numRef>
              <c:f>Pivot_Tables!$C$38:$C$43</c:f>
              <c:numCache>
                <c:formatCode>General</c:formatCode>
                <c:ptCount val="5"/>
                <c:pt idx="0">
                  <c:v>147162118</c:v>
                </c:pt>
                <c:pt idx="1">
                  <c:v>147803218</c:v>
                </c:pt>
                <c:pt idx="2">
                  <c:v>157787409</c:v>
                </c:pt>
                <c:pt idx="3">
                  <c:v>153652781</c:v>
                </c:pt>
                <c:pt idx="4">
                  <c:v>165417102</c:v>
                </c:pt>
              </c:numCache>
            </c:numRef>
          </c:val>
          <c:extLst>
            <c:ext xmlns:c16="http://schemas.microsoft.com/office/drawing/2014/chart" uri="{C3380CC4-5D6E-409C-BE32-E72D297353CC}">
              <c16:uniqueId val="{00000000-01AF-45EC-BA93-990F1B270ABC}"/>
            </c:ext>
          </c:extLst>
        </c:ser>
        <c:dLbls>
          <c:showLegendKey val="0"/>
          <c:showVal val="0"/>
          <c:showCatName val="0"/>
          <c:showSerName val="0"/>
          <c:showPercent val="0"/>
          <c:showBubbleSize val="0"/>
        </c:dLbls>
        <c:axId val="1213096528"/>
        <c:axId val="1213099440"/>
      </c:areaChart>
      <c:barChart>
        <c:barDir val="col"/>
        <c:grouping val="clustered"/>
        <c:varyColors val="0"/>
        <c:ser>
          <c:idx val="1"/>
          <c:order val="1"/>
          <c:tx>
            <c:strRef>
              <c:f>Pivot_Tables!$D$37</c:f>
              <c:strCache>
                <c:ptCount val="1"/>
                <c:pt idx="0">
                  <c:v>Sum of Campaign_Cost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Pivot_Tables!$B$38:$B$43</c:f>
              <c:strCache>
                <c:ptCount val="5"/>
                <c:pt idx="0">
                  <c:v>Facebook</c:v>
                </c:pt>
                <c:pt idx="1">
                  <c:v>Instagram</c:v>
                </c:pt>
                <c:pt idx="2">
                  <c:v>LinkedIn</c:v>
                </c:pt>
                <c:pt idx="3">
                  <c:v>X</c:v>
                </c:pt>
                <c:pt idx="4">
                  <c:v>YouTube</c:v>
                </c:pt>
              </c:strCache>
            </c:strRef>
          </c:cat>
          <c:val>
            <c:numRef>
              <c:f>Pivot_Tables!$D$38:$D$43</c:f>
              <c:numCache>
                <c:formatCode>General</c:formatCode>
                <c:ptCount val="5"/>
                <c:pt idx="0">
                  <c:v>47923744</c:v>
                </c:pt>
                <c:pt idx="1">
                  <c:v>48499375</c:v>
                </c:pt>
                <c:pt idx="2">
                  <c:v>54577171</c:v>
                </c:pt>
                <c:pt idx="3">
                  <c:v>51982498</c:v>
                </c:pt>
                <c:pt idx="4">
                  <c:v>51729502</c:v>
                </c:pt>
              </c:numCache>
            </c:numRef>
          </c:val>
          <c:extLst>
            <c:ext xmlns:c16="http://schemas.microsoft.com/office/drawing/2014/chart" uri="{C3380CC4-5D6E-409C-BE32-E72D297353CC}">
              <c16:uniqueId val="{00000001-01AF-45EC-BA93-990F1B270ABC}"/>
            </c:ext>
          </c:extLst>
        </c:ser>
        <c:dLbls>
          <c:showLegendKey val="0"/>
          <c:showVal val="0"/>
          <c:showCatName val="0"/>
          <c:showSerName val="0"/>
          <c:showPercent val="0"/>
          <c:showBubbleSize val="0"/>
        </c:dLbls>
        <c:gapWidth val="150"/>
        <c:axId val="1213096528"/>
        <c:axId val="1213099440"/>
      </c:barChart>
      <c:catAx>
        <c:axId val="1213096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099440"/>
        <c:crosses val="autoZero"/>
        <c:auto val="1"/>
        <c:lblAlgn val="ctr"/>
        <c:lblOffset val="100"/>
        <c:noMultiLvlLbl val="0"/>
      </c:catAx>
      <c:valAx>
        <c:axId val="1213099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09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[Influencer Marketing Performance DashBoard.xlsx]Pivot_Tables!PivotTable1</c:name>
    <c:fmtId val="6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a:t>
            </a:r>
            <a:r>
              <a:rPr lang="en-US" sz="1600" b="1" i="0" u="none" strike="noStrike" baseline="0">
                <a:effectLst/>
              </a:rPr>
              <a:t>Revenue by Platform</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Pivot_Tables!$C$5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6B3-45AD-8534-9577D16354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6B3-45AD-8534-9577D163541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6B3-45AD-8534-9577D163541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6B3-45AD-8534-9577D163541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6B3-45AD-8534-9577D163541D}"/>
              </c:ext>
            </c:extLst>
          </c:dPt>
          <c:cat>
            <c:strRef>
              <c:f>Pivot_Tables!$B$6:$B$11</c:f>
              <c:strCache>
                <c:ptCount val="5"/>
                <c:pt idx="0">
                  <c:v>Facebook</c:v>
                </c:pt>
                <c:pt idx="1">
                  <c:v>Instagram</c:v>
                </c:pt>
                <c:pt idx="2">
                  <c:v>LinkedIn</c:v>
                </c:pt>
                <c:pt idx="3">
                  <c:v>X</c:v>
                </c:pt>
                <c:pt idx="4">
                  <c:v>YouTube</c:v>
                </c:pt>
              </c:strCache>
            </c:strRef>
          </c:cat>
          <c:val>
            <c:numRef>
              <c:f>Pivot_Tables!$C$6:$C$11</c:f>
              <c:numCache>
                <c:formatCode>General</c:formatCode>
                <c:ptCount val="5"/>
                <c:pt idx="0">
                  <c:v>147162118</c:v>
                </c:pt>
                <c:pt idx="1">
                  <c:v>147803218</c:v>
                </c:pt>
                <c:pt idx="2">
                  <c:v>157787409</c:v>
                </c:pt>
                <c:pt idx="3">
                  <c:v>153652781</c:v>
                </c:pt>
                <c:pt idx="4">
                  <c:v>165417102</c:v>
                </c:pt>
              </c:numCache>
            </c:numRef>
          </c:val>
          <c:extLst>
            <c:ext xmlns:c16="http://schemas.microsoft.com/office/drawing/2014/chart" uri="{C3380CC4-5D6E-409C-BE32-E72D297353CC}">
              <c16:uniqueId val="{0000000A-F6B3-45AD-8534-9577D16354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[Influencer Marketing Performance DashBoard.xlsx]Pivot_Tables!PivotTable6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Top Influencers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Pivot_Tables!$I$22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Pivot_Tables!$H$23:$H$38</c:f>
              <c:strCache>
                <c:ptCount val="15"/>
                <c:pt idx="0">
                  <c:v>Amit Joshi</c:v>
                </c:pt>
                <c:pt idx="1">
                  <c:v>Anjali Mehta</c:v>
                </c:pt>
                <c:pt idx="2">
                  <c:v>Arjun Desai</c:v>
                </c:pt>
                <c:pt idx="3">
                  <c:v>Ayesha Khan</c:v>
                </c:pt>
                <c:pt idx="4">
                  <c:v>Karan Shah</c:v>
                </c:pt>
                <c:pt idx="5">
                  <c:v>Meera Iyer</c:v>
                </c:pt>
                <c:pt idx="6">
                  <c:v>Neha Kulkarni</c:v>
                </c:pt>
                <c:pt idx="7">
                  <c:v>Nikhil Patil</c:v>
                </c:pt>
                <c:pt idx="8">
                  <c:v>Pooja Nair</c:v>
                </c:pt>
                <c:pt idx="9">
                  <c:v>Priya Sharma</c:v>
                </c:pt>
                <c:pt idx="10">
                  <c:v>Rahul Verma</c:v>
                </c:pt>
                <c:pt idx="11">
                  <c:v>Rohan Singh</c:v>
                </c:pt>
                <c:pt idx="12">
                  <c:v>Sneha Patil</c:v>
                </c:pt>
                <c:pt idx="13">
                  <c:v>Tanvi Rao</c:v>
                </c:pt>
                <c:pt idx="14">
                  <c:v>Vikas Gupta</c:v>
                </c:pt>
              </c:strCache>
            </c:strRef>
          </c:cat>
          <c:val>
            <c:numRef>
              <c:f>Pivot_Tables!$I$23:$I$38</c:f>
              <c:numCache>
                <c:formatCode>General</c:formatCode>
                <c:ptCount val="15"/>
                <c:pt idx="0">
                  <c:v>33377247</c:v>
                </c:pt>
                <c:pt idx="1">
                  <c:v>42732671</c:v>
                </c:pt>
                <c:pt idx="2">
                  <c:v>64491257</c:v>
                </c:pt>
                <c:pt idx="3">
                  <c:v>53084764</c:v>
                </c:pt>
                <c:pt idx="4">
                  <c:v>38138142</c:v>
                </c:pt>
                <c:pt idx="5">
                  <c:v>45698665</c:v>
                </c:pt>
                <c:pt idx="6">
                  <c:v>58827986</c:v>
                </c:pt>
                <c:pt idx="7">
                  <c:v>47557787</c:v>
                </c:pt>
                <c:pt idx="8">
                  <c:v>50824020</c:v>
                </c:pt>
                <c:pt idx="9">
                  <c:v>61698972</c:v>
                </c:pt>
                <c:pt idx="10">
                  <c:v>55842453</c:v>
                </c:pt>
                <c:pt idx="11">
                  <c:v>60483530</c:v>
                </c:pt>
                <c:pt idx="12">
                  <c:v>61298567</c:v>
                </c:pt>
                <c:pt idx="13">
                  <c:v>49917445</c:v>
                </c:pt>
                <c:pt idx="14">
                  <c:v>47849122</c:v>
                </c:pt>
              </c:numCache>
            </c:numRef>
          </c:val>
          <c:extLst>
            <c:ext xmlns:c16="http://schemas.microsoft.com/office/drawing/2014/chart" uri="{C3380CC4-5D6E-409C-BE32-E72D297353CC}">
              <c16:uniqueId val="{00000000-2358-4220-86FF-EDC13463220D}"/>
            </c:ext>
          </c:extLst>
        </c:ser>
        <c:dLbls>
          <c:showLegendKey val="0"/>
          <c:showVal val="0"/>
          <c:showCatName val="0"/>
          <c:showSerName val="0"/>
          <c:showPercent val="0"/>
          <c:showBubbleSize val="0"/>
        </c:dLbls>
        <c:gapWidth val="182"/>
        <c:overlap val="-50"/>
        <c:axId val="2039074800"/>
        <c:axId val="2039073552"/>
      </c:barChart>
      <c:catAx>
        <c:axId val="20390748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9073552"/>
        <c:crosses val="autoZero"/>
        <c:auto val="1"/>
        <c:lblAlgn val="ctr"/>
        <c:lblOffset val="100"/>
        <c:noMultiLvlLbl val="0"/>
      </c:catAx>
      <c:valAx>
        <c:axId val="20390735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907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[Influencer Marketing Performance DashBoard.xlsx]Pivot_Tables!PivotTable3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Total Reach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44504642072048"/>
          <c:y val="0.19649985370723513"/>
          <c:w val="0.78349689678368306"/>
          <c:h val="0.50852558567134187"/>
        </c:manualLayout>
      </c:layout>
      <c:bar3DChart>
        <c:barDir val="col"/>
        <c:grouping val="clustered"/>
        <c:varyColors val="0"/>
        <c:ser>
          <c:idx val="0"/>
          <c:order val="0"/>
          <c:tx>
            <c:strRef>
              <c:f>Pivot_Tables!$F$4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Pivot_Tables!$E$5:$E$13</c:f>
              <c:strCache>
                <c:ptCount val="8"/>
                <c:pt idx="0">
                  <c:v>Ahmedabad</c:v>
                </c:pt>
                <c:pt idx="1">
                  <c:v>Bengaluru</c:v>
                </c:pt>
                <c:pt idx="2">
                  <c:v>Chennai</c:v>
                </c:pt>
                <c:pt idx="3">
                  <c:v>Delhi</c:v>
                </c:pt>
                <c:pt idx="4">
                  <c:v>Hyderabad</c:v>
                </c:pt>
                <c:pt idx="5">
                  <c:v>Kolkata</c:v>
                </c:pt>
                <c:pt idx="6">
                  <c:v>Mumbai</c:v>
                </c:pt>
                <c:pt idx="7">
                  <c:v>Pune</c:v>
                </c:pt>
              </c:strCache>
            </c:strRef>
          </c:cat>
          <c:val>
            <c:numRef>
              <c:f>Pivot_Tables!$F$5:$F$13</c:f>
              <c:numCache>
                <c:formatCode>General</c:formatCode>
                <c:ptCount val="8"/>
                <c:pt idx="0">
                  <c:v>71356960</c:v>
                </c:pt>
                <c:pt idx="1">
                  <c:v>78435478</c:v>
                </c:pt>
                <c:pt idx="2">
                  <c:v>73903516</c:v>
                </c:pt>
                <c:pt idx="3">
                  <c:v>82890932</c:v>
                </c:pt>
                <c:pt idx="4">
                  <c:v>61234983</c:v>
                </c:pt>
                <c:pt idx="5">
                  <c:v>77736453</c:v>
                </c:pt>
                <c:pt idx="6">
                  <c:v>72608840</c:v>
                </c:pt>
                <c:pt idx="7">
                  <c:v>72950664</c:v>
                </c:pt>
              </c:numCache>
            </c:numRef>
          </c:val>
          <c:extLst>
            <c:ext xmlns:c16="http://schemas.microsoft.com/office/drawing/2014/chart" uri="{C3380CC4-5D6E-409C-BE32-E72D297353CC}">
              <c16:uniqueId val="{00000000-0395-4C6F-A4C1-0F734AD7183A}"/>
            </c:ext>
          </c:extLst>
        </c:ser>
        <c:dLbls>
          <c:showLegendKey val="0"/>
          <c:showVal val="0"/>
          <c:showCatName val="0"/>
          <c:showSerName val="0"/>
          <c:showPercent val="0"/>
          <c:showBubbleSize val="0"/>
        </c:dLbls>
        <c:gapWidth val="150"/>
        <c:shape val="box"/>
        <c:axId val="2039075216"/>
        <c:axId val="2039070224"/>
        <c:axId val="0"/>
      </c:bar3DChart>
      <c:catAx>
        <c:axId val="2039075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070224"/>
        <c:crosses val="autoZero"/>
        <c:auto val="1"/>
        <c:lblAlgn val="ctr"/>
        <c:lblOffset val="100"/>
        <c:noMultiLvlLbl val="0"/>
      </c:catAx>
      <c:valAx>
        <c:axId val="20390702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0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893379</xdr:colOff>
      <xdr:row>7</xdr:row>
      <xdr:rowOff>138545</xdr:rowOff>
    </xdr:from>
    <xdr:to>
      <xdr:col>13</xdr:col>
      <xdr:colOff>3094181</xdr:colOff>
      <xdr:row>20</xdr:row>
      <xdr:rowOff>46183</xdr:rowOff>
    </xdr:to>
    <xdr:graphicFrame macro="">
      <xdr:nvGraphicFramePr>
        <xdr:cNvPr id="2" name="Chart 1">
          <a:extLst>
            <a:ext uri="{FF2B5EF4-FFF2-40B4-BE49-F238E27FC236}">
              <a16:creationId xmlns:a16="http://schemas.microsoft.com/office/drawing/2014/main" id="{011E4FFB-7BA7-44CA-9A36-0C1A170C5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102974</xdr:colOff>
      <xdr:row>7</xdr:row>
      <xdr:rowOff>167269</xdr:rowOff>
    </xdr:from>
    <xdr:to>
      <xdr:col>9</xdr:col>
      <xdr:colOff>223025</xdr:colOff>
      <xdr:row>20</xdr:row>
      <xdr:rowOff>18586</xdr:rowOff>
    </xdr:to>
    <xdr:graphicFrame macro="">
      <xdr:nvGraphicFramePr>
        <xdr:cNvPr id="3" name="Chart 2">
          <a:extLst>
            <a:ext uri="{FF2B5EF4-FFF2-40B4-BE49-F238E27FC236}">
              <a16:creationId xmlns:a16="http://schemas.microsoft.com/office/drawing/2014/main" id="{68E82105-48FD-434F-AC5E-3D2F2BB7B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1539239</xdr:colOff>
      <xdr:row>21</xdr:row>
      <xdr:rowOff>15968</xdr:rowOff>
    </xdr:from>
    <xdr:to>
      <xdr:col>8</xdr:col>
      <xdr:colOff>60960</xdr:colOff>
      <xdr:row>37</xdr:row>
      <xdr:rowOff>50799</xdr:rowOff>
    </xdr:to>
    <xdr:graphicFrame macro="">
      <xdr:nvGraphicFramePr>
        <xdr:cNvPr id="4" name="Chart 3">
          <a:extLst>
            <a:ext uri="{FF2B5EF4-FFF2-40B4-BE49-F238E27FC236}">
              <a16:creationId xmlns:a16="http://schemas.microsoft.com/office/drawing/2014/main" id="{5E757EF1-C44E-4252-B473-D99AE4054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1510145</xdr:colOff>
      <xdr:row>38</xdr:row>
      <xdr:rowOff>10886</xdr:rowOff>
    </xdr:from>
    <xdr:to>
      <xdr:col>7</xdr:col>
      <xdr:colOff>817419</xdr:colOff>
      <xdr:row>59</xdr:row>
      <xdr:rowOff>55418</xdr:rowOff>
    </xdr:to>
    <xdr:graphicFrame macro="">
      <xdr:nvGraphicFramePr>
        <xdr:cNvPr id="6" name="Chart 5">
          <a:extLst>
            <a:ext uri="{FF2B5EF4-FFF2-40B4-BE49-F238E27FC236}">
              <a16:creationId xmlns:a16="http://schemas.microsoft.com/office/drawing/2014/main" id="{D9FA2741-584D-4EB4-A8FA-C4D0A71A0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1021080</xdr:colOff>
      <xdr:row>38</xdr:row>
      <xdr:rowOff>2176</xdr:rowOff>
    </xdr:from>
    <xdr:to>
      <xdr:col>11</xdr:col>
      <xdr:colOff>198120</xdr:colOff>
      <xdr:row>59</xdr:row>
      <xdr:rowOff>45720</xdr:rowOff>
    </xdr:to>
    <xdr:graphicFrame macro="">
      <xdr:nvGraphicFramePr>
        <xdr:cNvPr id="7" name="Chart 6">
          <a:extLst>
            <a:ext uri="{FF2B5EF4-FFF2-40B4-BE49-F238E27FC236}">
              <a16:creationId xmlns:a16="http://schemas.microsoft.com/office/drawing/2014/main" id="{DC27BB37-3F61-4C51-8898-24D8DE5AF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523267</xdr:colOff>
      <xdr:row>38</xdr:row>
      <xdr:rowOff>14967</xdr:rowOff>
    </xdr:from>
    <xdr:to>
      <xdr:col>13</xdr:col>
      <xdr:colOff>3200400</xdr:colOff>
      <xdr:row>59</xdr:row>
      <xdr:rowOff>45720</xdr:rowOff>
    </xdr:to>
    <xdr:graphicFrame macro="">
      <xdr:nvGraphicFramePr>
        <xdr:cNvPr id="8" name="Chart 7">
          <a:extLst>
            <a:ext uri="{FF2B5EF4-FFF2-40B4-BE49-F238E27FC236}">
              <a16:creationId xmlns:a16="http://schemas.microsoft.com/office/drawing/2014/main" id="{93D6C600-CA00-46D0-B015-71780BB0C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203457</xdr:colOff>
      <xdr:row>20</xdr:row>
      <xdr:rowOff>181837</xdr:rowOff>
    </xdr:from>
    <xdr:to>
      <xdr:col>13</xdr:col>
      <xdr:colOff>2971801</xdr:colOff>
      <xdr:row>37</xdr:row>
      <xdr:rowOff>16290</xdr:rowOff>
    </xdr:to>
    <xdr:graphicFrame macro="">
      <xdr:nvGraphicFramePr>
        <xdr:cNvPr id="9" name="Chart 8">
          <a:extLst>
            <a:ext uri="{FF2B5EF4-FFF2-40B4-BE49-F238E27FC236}">
              <a16:creationId xmlns:a16="http://schemas.microsoft.com/office/drawing/2014/main" id="{C6BC201A-0D39-4A5B-8918-E95530F89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11641</xdr:colOff>
      <xdr:row>6</xdr:row>
      <xdr:rowOff>186330</xdr:rowOff>
    </xdr:from>
    <xdr:to>
      <xdr:col>1</xdr:col>
      <xdr:colOff>1234219</xdr:colOff>
      <xdr:row>26</xdr:row>
      <xdr:rowOff>125529</xdr:rowOff>
    </xdr:to>
    <mc:AlternateContent xmlns:mc="http://schemas.openxmlformats.org/markup-compatibility/2006" xmlns:a14="http://schemas.microsoft.com/office/drawing/2010/main">
      <mc:Choice Requires="a14">
        <xdr:graphicFrame macro="">
          <xdr:nvGraphicFramePr>
            <xdr:cNvPr id="10" name="Influencer_Name">
              <a:extLst>
                <a:ext uri="{FF2B5EF4-FFF2-40B4-BE49-F238E27FC236}">
                  <a16:creationId xmlns:a16="http://schemas.microsoft.com/office/drawing/2014/main" id="{9FB73B0E-DCAD-4F86-AB5B-F14A7AE1554D}"/>
                </a:ext>
              </a:extLst>
            </xdr:cNvPr>
            <xdr:cNvGraphicFramePr/>
          </xdr:nvGraphicFramePr>
          <xdr:xfrm>
            <a:off x="0" y="0"/>
            <a:ext cx="0" cy="0"/>
          </xdr:xfrm>
          <a:graphic>
            <a:graphicData uri="http://schemas.microsoft.com/office/drawing/2010/slicer">
              <sle:slicer xmlns:sle="http://schemas.microsoft.com/office/drawing/2010/slicer" name="Influencer_Name"/>
            </a:graphicData>
          </a:graphic>
        </xdr:graphicFrame>
      </mc:Choice>
      <mc:Fallback xmlns="">
        <xdr:sp macro="" textlink="">
          <xdr:nvSpPr>
            <xdr:cNvPr id="0" name=""/>
            <xdr:cNvSpPr>
              <a:spLocks noTextEdit="1"/>
            </xdr:cNvSpPr>
          </xdr:nvSpPr>
          <xdr:spPr>
            <a:xfrm>
              <a:off x="11641" y="1912493"/>
              <a:ext cx="1829068" cy="4340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162597</xdr:rowOff>
    </xdr:from>
    <xdr:to>
      <xdr:col>1</xdr:col>
      <xdr:colOff>1261672</xdr:colOff>
      <xdr:row>54</xdr:row>
      <xdr:rowOff>2133</xdr:rowOff>
    </xdr:to>
    <mc:AlternateContent xmlns:mc="http://schemas.openxmlformats.org/markup-compatibility/2006" xmlns:a14="http://schemas.microsoft.com/office/drawing/2010/main">
      <mc:Choice Requires="a14">
        <xdr:graphicFrame macro="">
          <xdr:nvGraphicFramePr>
            <xdr:cNvPr id="11" name="Platform">
              <a:extLst>
                <a:ext uri="{FF2B5EF4-FFF2-40B4-BE49-F238E27FC236}">
                  <a16:creationId xmlns:a16="http://schemas.microsoft.com/office/drawing/2014/main" id="{086F500A-BA9A-490F-8B86-3A17AFA2DE6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9462107"/>
              <a:ext cx="1868162" cy="1892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1243354</xdr:colOff>
      <xdr:row>6</xdr:row>
      <xdr:rowOff>187667</xdr:rowOff>
    </xdr:from>
    <xdr:to>
      <xdr:col>2</xdr:col>
      <xdr:colOff>1272983</xdr:colOff>
      <xdr:row>18</xdr:row>
      <xdr:rowOff>75574</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4A83D9DC-C2E8-4B37-9214-91E2C654FC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49844" y="1913830"/>
              <a:ext cx="1833547" cy="2795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2606</xdr:rowOff>
    </xdr:from>
    <xdr:to>
      <xdr:col>1</xdr:col>
      <xdr:colOff>1236689</xdr:colOff>
      <xdr:row>43</xdr:row>
      <xdr:rowOff>151135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F0B9D778-16EF-4066-86E3-1E32420042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6876157"/>
              <a:ext cx="1843179" cy="2574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26510</xdr:colOff>
      <xdr:row>54</xdr:row>
      <xdr:rowOff>25881</xdr:rowOff>
    </xdr:from>
    <xdr:to>
      <xdr:col>1</xdr:col>
      <xdr:colOff>1233565</xdr:colOff>
      <xdr:row>59</xdr:row>
      <xdr:rowOff>125289</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C922712F-A27A-4762-8064-8A7BEF4416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510" y="11378126"/>
              <a:ext cx="1813545" cy="1032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sakpal" refreshedDate="46191.032481018519" createdVersion="7" refreshedVersion="7" minRefreshableVersion="3" recordCount="1000" xr:uid="{04DD963C-6B38-4A44-A99A-2C0180A628FC}">
  <cacheSource type="worksheet">
    <worksheetSource name="Table2"/>
  </cacheSource>
  <cacheFields count="22">
    <cacheField name="Campaign_ID" numFmtId="0">
      <sharedItems/>
    </cacheField>
    <cacheField name="Influencer_Name" numFmtId="0">
      <sharedItems count="15">
        <s v="Vikas Gupta"/>
        <s v="Ayesha Khan"/>
        <s v="Karan Shah"/>
        <s v="Rohan Singh"/>
        <s v="Arjun Desai"/>
        <s v="Tanvi Rao"/>
        <s v="Nikhil Patil"/>
        <s v="Sneha Patil"/>
        <s v="Pooja Nair"/>
        <s v="Amit Joshi"/>
        <s v="Meera Iyer"/>
        <s v="Rahul Verma"/>
        <s v="Neha Kulkarni"/>
        <s v="Priya Sharma"/>
        <s v="Anjali Mehta"/>
      </sharedItems>
    </cacheField>
    <cacheField name="Platform" numFmtId="0">
      <sharedItems count="5">
        <s v="LinkedIn"/>
        <s v="YouTube"/>
        <s v="Facebook"/>
        <s v="X"/>
        <s v="Instagram"/>
      </sharedItems>
    </cacheField>
    <cacheField name="Category" numFmtId="0">
      <sharedItems count="8">
        <s v="Food"/>
        <s v="Technology"/>
        <s v="Travel"/>
        <s v="Fitness"/>
        <s v="Beauty"/>
        <s v="Education"/>
        <s v="Fashion"/>
        <s v="Gaming"/>
      </sharedItems>
    </cacheField>
    <cacheField name="Followers" numFmtId="0">
      <sharedItems containsSemiMixedTypes="0" containsString="0" containsNumber="1" containsInteger="1" minValue="51874" maxValue="1996966"/>
    </cacheField>
    <cacheField name="Reach" numFmtId="0">
      <sharedItems containsSemiMixedTypes="0" containsString="0" containsNumber="1" containsInteger="1" minValue="14734" maxValue="1753392"/>
    </cacheField>
    <cacheField name="Impressions" numFmtId="0">
      <sharedItems containsSemiMixedTypes="0" containsString="0" containsNumber="1" containsInteger="1" minValue="25575" maxValue="4689499"/>
    </cacheField>
    <cacheField name="Likes" numFmtId="0">
      <sharedItems containsSemiMixedTypes="0" containsString="0" containsNumber="1" containsInteger="1" minValue="978" maxValue="213683"/>
    </cacheField>
    <cacheField name="Comments" numFmtId="0">
      <sharedItems containsSemiMixedTypes="0" containsString="0" containsNumber="1" containsInteger="1" minValue="78" maxValue="29834"/>
    </cacheField>
    <cacheField name="Shares" numFmtId="0">
      <sharedItems containsSemiMixedTypes="0" containsString="0" containsNumber="1" containsInteger="1" minValue="24" maxValue="19108"/>
    </cacheField>
    <cacheField name="Engagement_Rate (%)" numFmtId="0">
      <sharedItems containsSemiMixedTypes="0" containsString="0" containsNumber="1" minValue="2.1410273484320284" maxValue="18.062068332368185"/>
    </cacheField>
    <cacheField name="Campaign_Cost (₹)" numFmtId="0">
      <sharedItems containsSemiMixedTypes="0" containsString="0" containsNumber="1" containsInteger="1" minValue="10428" maxValue="499982"/>
    </cacheField>
    <cacheField name="Revenue_Generated (₹)" numFmtId="0">
      <sharedItems containsSemiMixedTypes="0" containsString="0" containsNumber="1" containsInteger="1" minValue="24025" maxValue="2391712"/>
    </cacheField>
    <cacheField name="ROI (%)" numFmtId="0">
      <sharedItems containsSemiMixedTypes="0" containsString="0" containsNumber="1" minValue="10.123292756794779" maxValue="399.72138912106459"/>
    </cacheField>
    <cacheField name="Start_Date" numFmtId="14">
      <sharedItems containsSemiMixedTypes="0" containsNonDate="0" containsDate="1" containsString="0" minDate="2025-01-01T00:00:00" maxDate="2026-05-17T00:00:00"/>
    </cacheField>
    <cacheField name="End_Date" numFmtId="14">
      <sharedItems containsSemiMixedTypes="0" containsNonDate="0" containsDate="1" containsString="0" minDate="2025-01-14T00:00:00" maxDate="2026-06-13T00:00:00"/>
    </cacheField>
    <cacheField name="Region" numFmtId="0">
      <sharedItems count="8">
        <s v="Pune"/>
        <s v="Ahmedabad"/>
        <s v="Delhi"/>
        <s v="Kolkata"/>
        <s v="Bengaluru"/>
        <s v="Chennai"/>
        <s v="Hyderabad"/>
        <s v="Mumbai"/>
      </sharedItems>
    </cacheField>
    <cacheField name="Campaign_Duration" numFmtId="0">
      <sharedItems containsSemiMixedTypes="0" containsString="0" containsNumber="1" containsInteger="1" minValue="7" maxValue="30"/>
    </cacheField>
    <cacheField name="Month" numFmtId="0">
      <sharedItems count="12">
        <s v="Jun"/>
        <s v="Feb"/>
        <s v="Apr"/>
        <s v="Aug"/>
        <s v="May"/>
        <s v="Dec"/>
        <s v="Nov"/>
        <s v="Jul"/>
        <s v="Oct"/>
        <s v="Mar"/>
        <s v="Jan"/>
        <s v="Sep"/>
      </sharedItems>
    </cacheField>
    <cacheField name="Year" numFmtId="0">
      <sharedItems containsSemiMixedTypes="0" containsString="0" containsNumber="1" containsInteger="1" minValue="2025" maxValue="2026" count="2">
        <n v="2025"/>
        <n v="2026"/>
      </sharedItems>
    </cacheField>
    <cacheField name="Cost_Per_Reach" numFmtId="0">
      <sharedItems containsSemiMixedTypes="0" containsString="0" containsNumber="1" minValue="9.2047385464960295E-3" maxValue="22.339821049718662"/>
    </cacheField>
    <cacheField name="Revenue_Per_Reach" numFmtId="0">
      <sharedItems containsSemiMixedTypes="0" containsString="0" containsNumber="1" minValue="2.4777618955069983E-2" maxValue="94.142929619038838"/>
    </cacheField>
  </cacheFields>
  <extLst>
    <ext xmlns:x14="http://schemas.microsoft.com/office/spreadsheetml/2009/9/main" uri="{725AE2AE-9491-48be-B2B4-4EB974FC3084}">
      <x14:pivotCacheDefinition pivotCacheId="1226406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0001"/>
    <x v="0"/>
    <x v="0"/>
    <x v="0"/>
    <n v="1712931"/>
    <n v="1016782"/>
    <n v="2384921"/>
    <n v="58091"/>
    <n v="4354"/>
    <n v="5367"/>
    <n v="6.6692762066991751"/>
    <n v="30425"/>
    <n v="92811"/>
    <n v="205.04847986852917"/>
    <d v="2025-06-24T00:00:00"/>
    <d v="2025-07-12T00:00:00"/>
    <x v="0"/>
    <n v="18"/>
    <x v="0"/>
    <x v="0"/>
    <n v="2.9922834983310088E-2"/>
    <n v="9.1279153250155884E-2"/>
  </r>
  <r>
    <s v="C0002"/>
    <x v="1"/>
    <x v="0"/>
    <x v="1"/>
    <n v="1285909"/>
    <n v="883088"/>
    <n v="1408475"/>
    <n v="120024"/>
    <n v="11977"/>
    <n v="8288"/>
    <n v="15.886185748192705"/>
    <n v="408018"/>
    <n v="1251028"/>
    <n v="206.61098284879586"/>
    <d v="2026-02-17T00:00:00"/>
    <d v="2026-03-03T00:00:00"/>
    <x v="1"/>
    <n v="14"/>
    <x v="1"/>
    <x v="1"/>
    <n v="0.46203549363143875"/>
    <n v="1.4166515681336402"/>
  </r>
  <r>
    <s v="C0003"/>
    <x v="2"/>
    <x v="1"/>
    <x v="2"/>
    <n v="1563075"/>
    <n v="874368"/>
    <n v="1661292"/>
    <n v="88526"/>
    <n v="9415"/>
    <n v="8104"/>
    <n v="12.128188588786415"/>
    <n v="451981"/>
    <n v="1338957"/>
    <n v="196.24187742405101"/>
    <d v="2026-04-20T00:00:00"/>
    <d v="2026-05-06T00:00:00"/>
    <x v="2"/>
    <n v="16"/>
    <x v="2"/>
    <x v="1"/>
    <n v="0.51692308044210222"/>
    <n v="1.5313426383399209"/>
  </r>
  <r>
    <s v="C0004"/>
    <x v="3"/>
    <x v="2"/>
    <x v="2"/>
    <n v="714018"/>
    <n v="216080"/>
    <n v="641408"/>
    <n v="7475"/>
    <n v="246"/>
    <n v="192"/>
    <n v="3.6620696038504255"/>
    <n v="307259"/>
    <n v="472370"/>
    <n v="53.736749777874692"/>
    <d v="2025-08-25T00:00:00"/>
    <d v="2025-09-10T00:00:00"/>
    <x v="3"/>
    <n v="16"/>
    <x v="3"/>
    <x v="0"/>
    <n v="1.4219687152906331"/>
    <n v="2.1860884857460201"/>
  </r>
  <r>
    <s v="C0005"/>
    <x v="4"/>
    <x v="3"/>
    <x v="1"/>
    <n v="1966729"/>
    <n v="1035786"/>
    <n v="3004655"/>
    <n v="67844"/>
    <n v="4538"/>
    <n v="2293"/>
    <n v="7.2095008042201769"/>
    <n v="134192"/>
    <n v="454124"/>
    <n v="238.41361631095745"/>
    <d v="2026-02-22T00:00:00"/>
    <d v="2026-03-05T00:00:00"/>
    <x v="0"/>
    <n v="11"/>
    <x v="1"/>
    <x v="1"/>
    <n v="0.12955571903848864"/>
    <n v="0.43843419393581301"/>
  </r>
  <r>
    <s v="C0006"/>
    <x v="5"/>
    <x v="0"/>
    <x v="3"/>
    <n v="675987"/>
    <n v="556187"/>
    <n v="1429308"/>
    <n v="44880"/>
    <n v="5150"/>
    <n v="2532"/>
    <n v="9.4504186541576836"/>
    <n v="59133"/>
    <n v="276357"/>
    <n v="367.34818121860889"/>
    <d v="2025-05-04T00:00:00"/>
    <d v="2025-05-16T00:00:00"/>
    <x v="4"/>
    <n v="12"/>
    <x v="4"/>
    <x v="0"/>
    <n v="0.10631855832660599"/>
    <n v="0.49687784863723894"/>
  </r>
  <r>
    <s v="C0007"/>
    <x v="5"/>
    <x v="4"/>
    <x v="2"/>
    <n v="1189151"/>
    <n v="563514"/>
    <n v="847727"/>
    <n v="36056"/>
    <n v="2454"/>
    <n v="1755"/>
    <n v="7.1453415531823525"/>
    <n v="279743"/>
    <n v="757257"/>
    <n v="170.69739010448876"/>
    <d v="2025-12-13T00:00:00"/>
    <d v="2026-01-05T00:00:00"/>
    <x v="2"/>
    <n v="23"/>
    <x v="5"/>
    <x v="0"/>
    <n v="0.49642599828930606"/>
    <n v="1.3438122211693055"/>
  </r>
  <r>
    <s v="C0008"/>
    <x v="6"/>
    <x v="0"/>
    <x v="4"/>
    <n v="1024398"/>
    <n v="638250"/>
    <n v="1707216"/>
    <n v="61721"/>
    <n v="4240"/>
    <n v="5968"/>
    <n v="11.269721895808853"/>
    <n v="215452"/>
    <n v="730304"/>
    <n v="238.96366708129887"/>
    <d v="2026-02-14T00:00:00"/>
    <d v="2026-03-13T00:00:00"/>
    <x v="5"/>
    <n v="27"/>
    <x v="1"/>
    <x v="1"/>
    <n v="0.33756678417547981"/>
    <n v="1.14422875048962"/>
  </r>
  <r>
    <s v="C0009"/>
    <x v="7"/>
    <x v="0"/>
    <x v="0"/>
    <n v="121584"/>
    <n v="105283"/>
    <n v="268985"/>
    <n v="8596"/>
    <n v="761"/>
    <n v="624"/>
    <n v="9.4801629892765202"/>
    <n v="494360"/>
    <n v="1039931"/>
    <n v="110.35905008495833"/>
    <d v="2025-06-01T00:00:00"/>
    <d v="2025-06-24T00:00:00"/>
    <x v="2"/>
    <n v="23"/>
    <x v="0"/>
    <x v="0"/>
    <n v="4.6955348916729198"/>
    <n v="9.8774825945309317"/>
  </r>
  <r>
    <s v="C0010"/>
    <x v="2"/>
    <x v="4"/>
    <x v="5"/>
    <n v="1720235"/>
    <n v="690339"/>
    <n v="1877705"/>
    <n v="59205"/>
    <n v="7731"/>
    <n v="2883"/>
    <n v="10.113726734256648"/>
    <n v="400612"/>
    <n v="525748"/>
    <n v="31.236208600840715"/>
    <d v="2025-11-05T00:00:00"/>
    <d v="2025-11-14T00:00:00"/>
    <x v="1"/>
    <n v="9"/>
    <x v="6"/>
    <x v="0"/>
    <n v="0.58031199164468472"/>
    <n v="0.76157945589051179"/>
  </r>
  <r>
    <s v="C0011"/>
    <x v="8"/>
    <x v="1"/>
    <x v="5"/>
    <n v="230793"/>
    <n v="66873"/>
    <n v="128228"/>
    <n v="7857"/>
    <n v="657"/>
    <n v="267"/>
    <n v="13.1308599883361"/>
    <n v="245864"/>
    <n v="752035"/>
    <n v="205.87438583932581"/>
    <d v="2025-02-08T00:00:00"/>
    <d v="2025-02-26T00:00:00"/>
    <x v="6"/>
    <n v="18"/>
    <x v="1"/>
    <x v="0"/>
    <n v="3.6765809818611399"/>
    <n v="11.245719498153216"/>
  </r>
  <r>
    <s v="C0012"/>
    <x v="4"/>
    <x v="1"/>
    <x v="2"/>
    <n v="855901"/>
    <n v="712152"/>
    <n v="1268918"/>
    <n v="23970"/>
    <n v="1200"/>
    <n v="961"/>
    <n v="3.6693009357552882"/>
    <n v="416852"/>
    <n v="574891"/>
    <n v="37.912496521547219"/>
    <d v="2025-07-23T00:00:00"/>
    <d v="2025-08-18T00:00:00"/>
    <x v="2"/>
    <n v="26"/>
    <x v="7"/>
    <x v="0"/>
    <n v="0.58534133162583268"/>
    <n v="0.80725884361765465"/>
  </r>
  <r>
    <s v="C0013"/>
    <x v="9"/>
    <x v="3"/>
    <x v="6"/>
    <n v="942577"/>
    <n v="713925"/>
    <n v="1993941"/>
    <n v="89963"/>
    <n v="4495"/>
    <n v="5117"/>
    <n v="13.947543509472283"/>
    <n v="142588"/>
    <n v="170373"/>
    <n v="19.486212023452186"/>
    <d v="2025-10-24T00:00:00"/>
    <d v="2025-11-14T00:00:00"/>
    <x v="0"/>
    <n v="21"/>
    <x v="8"/>
    <x v="0"/>
    <n v="0.19972406065062856"/>
    <n v="0.23864271457085828"/>
  </r>
  <r>
    <s v="C0014"/>
    <x v="2"/>
    <x v="4"/>
    <x v="6"/>
    <n v="1427509"/>
    <n v="471186"/>
    <n v="567831"/>
    <n v="52512"/>
    <n v="2623"/>
    <n v="4415"/>
    <n v="12.638321172530592"/>
    <n v="287966"/>
    <n v="1002711"/>
    <n v="248.20464915997027"/>
    <d v="2025-07-12T00:00:00"/>
    <d v="2025-08-08T00:00:00"/>
    <x v="5"/>
    <n v="27"/>
    <x v="7"/>
    <x v="0"/>
    <n v="0.61115143488983115"/>
    <n v="2.1280577096942608"/>
  </r>
  <r>
    <s v="C0015"/>
    <x v="10"/>
    <x v="3"/>
    <x v="2"/>
    <n v="1252995"/>
    <n v="459798"/>
    <n v="1350314"/>
    <n v="52434"/>
    <n v="5751"/>
    <n v="1276"/>
    <n v="12.931983175220424"/>
    <n v="210224"/>
    <n v="759319"/>
    <n v="261.19520130907983"/>
    <d v="2025-10-26T00:00:00"/>
    <d v="2025-11-12T00:00:00"/>
    <x v="3"/>
    <n v="17"/>
    <x v="8"/>
    <x v="0"/>
    <n v="0.45720947024562958"/>
    <n v="1.6514186664578794"/>
  </r>
  <r>
    <s v="C0016"/>
    <x v="11"/>
    <x v="3"/>
    <x v="0"/>
    <n v="1623200"/>
    <n v="540452"/>
    <n v="864049"/>
    <n v="79016"/>
    <n v="3612"/>
    <n v="6055"/>
    <n v="16.409042801210838"/>
    <n v="132867"/>
    <n v="364949"/>
    <n v="174.67241677767993"/>
    <d v="2026-03-22T00:00:00"/>
    <d v="2026-04-02T00:00:00"/>
    <x v="1"/>
    <n v="11"/>
    <x v="9"/>
    <x v="1"/>
    <n v="0.24584421928311859"/>
    <n v="0.67526625861316081"/>
  </r>
  <r>
    <s v="C0017"/>
    <x v="3"/>
    <x v="0"/>
    <x v="4"/>
    <n v="920355"/>
    <n v="285829"/>
    <n v="771314"/>
    <n v="20363"/>
    <n v="1003"/>
    <n v="1676"/>
    <n v="8.0614633224760261"/>
    <n v="315176"/>
    <n v="829259"/>
    <n v="163.1098180064472"/>
    <d v="2025-06-05T00:00:00"/>
    <d v="2025-06-23T00:00:00"/>
    <x v="4"/>
    <n v="18"/>
    <x v="0"/>
    <x v="0"/>
    <n v="1.1026732766794132"/>
    <n v="2.9012416514769321"/>
  </r>
  <r>
    <s v="C0018"/>
    <x v="10"/>
    <x v="1"/>
    <x v="5"/>
    <n v="210297"/>
    <n v="184680"/>
    <n v="495866"/>
    <n v="8065"/>
    <n v="851"/>
    <n v="766"/>
    <n v="5.2425817630495999"/>
    <n v="499982"/>
    <n v="2273782"/>
    <n v="354.77277181978548"/>
    <d v="2025-03-23T00:00:00"/>
    <d v="2025-04-18T00:00:00"/>
    <x v="3"/>
    <n v="26"/>
    <x v="9"/>
    <x v="0"/>
    <n v="2.7072882824344813"/>
    <n v="12.312009963179554"/>
  </r>
  <r>
    <s v="C0019"/>
    <x v="6"/>
    <x v="1"/>
    <x v="5"/>
    <n v="282532"/>
    <n v="230506"/>
    <n v="585831"/>
    <n v="8187"/>
    <n v="1098"/>
    <n v="626"/>
    <n v="4.2996711582344931"/>
    <n v="13714"/>
    <n v="62084"/>
    <n v="352.70526469301444"/>
    <d v="2025-06-04T00:00:00"/>
    <d v="2025-06-19T00:00:00"/>
    <x v="3"/>
    <n v="15"/>
    <x v="0"/>
    <x v="0"/>
    <n v="5.9495197521973395E-2"/>
    <n v="0.26933789142148146"/>
  </r>
  <r>
    <s v="C0020"/>
    <x v="4"/>
    <x v="3"/>
    <x v="2"/>
    <n v="1308843"/>
    <n v="763386"/>
    <n v="2036275"/>
    <n v="18605"/>
    <n v="1283"/>
    <n v="1769"/>
    <n v="2.836965833798367"/>
    <n v="225799"/>
    <n v="1019218"/>
    <n v="351.38286706318456"/>
    <d v="2026-02-21T00:00:00"/>
    <d v="2026-03-06T00:00:00"/>
    <x v="3"/>
    <n v="13"/>
    <x v="1"/>
    <x v="1"/>
    <n v="0.29578614226616678"/>
    <n v="1.3351279693366134"/>
  </r>
  <r>
    <s v="C0021"/>
    <x v="3"/>
    <x v="4"/>
    <x v="5"/>
    <n v="918384"/>
    <n v="634661"/>
    <n v="1101238"/>
    <n v="46375"/>
    <n v="3871"/>
    <n v="2865"/>
    <n v="8.3684045498305402"/>
    <n v="430278"/>
    <n v="874670"/>
    <n v="103.28020489079152"/>
    <d v="2025-07-22T00:00:00"/>
    <d v="2025-08-07T00:00:00"/>
    <x v="2"/>
    <n v="16"/>
    <x v="7"/>
    <x v="0"/>
    <n v="0.6779650868731496"/>
    <n v="1.3781688176837714"/>
  </r>
  <r>
    <s v="C0022"/>
    <x v="1"/>
    <x v="4"/>
    <x v="2"/>
    <n v="94549"/>
    <n v="43533"/>
    <n v="80627"/>
    <n v="5796"/>
    <n v="275"/>
    <n v="158"/>
    <n v="14.308685365125307"/>
    <n v="44701"/>
    <n v="62468"/>
    <n v="39.746314400125279"/>
    <d v="2025-11-25T00:00:00"/>
    <d v="2025-12-14T00:00:00"/>
    <x v="5"/>
    <n v="19"/>
    <x v="6"/>
    <x v="0"/>
    <n v="1.0268302207520732"/>
    <n v="1.4349573886476925"/>
  </r>
  <r>
    <s v="C0023"/>
    <x v="7"/>
    <x v="1"/>
    <x v="2"/>
    <n v="1860580"/>
    <n v="684705"/>
    <n v="1051648"/>
    <n v="46872"/>
    <n v="3299"/>
    <n v="3183"/>
    <n v="7.7922609006798549"/>
    <n v="58016"/>
    <n v="156073"/>
    <n v="169.01716767788199"/>
    <d v="2025-10-25T00:00:00"/>
    <d v="2025-11-10T00:00:00"/>
    <x v="2"/>
    <n v="16"/>
    <x v="8"/>
    <x v="0"/>
    <n v="8.4731380667586773E-2"/>
    <n v="0.22794196040630638"/>
  </r>
  <r>
    <s v="C0024"/>
    <x v="7"/>
    <x v="4"/>
    <x v="7"/>
    <n v="1140518"/>
    <n v="482654"/>
    <n v="847877"/>
    <n v="60346"/>
    <n v="7395"/>
    <n v="4559"/>
    <n v="14.979674880970634"/>
    <n v="216565"/>
    <n v="383476"/>
    <n v="77.072010712719035"/>
    <d v="2025-02-05T00:00:00"/>
    <d v="2025-02-20T00:00:00"/>
    <x v="3"/>
    <n v="15"/>
    <x v="1"/>
    <x v="0"/>
    <n v="0.44869616744085827"/>
    <n v="0.7945153256784363"/>
  </r>
  <r>
    <s v="C0025"/>
    <x v="7"/>
    <x v="3"/>
    <x v="4"/>
    <n v="57955"/>
    <n v="17433"/>
    <n v="35449"/>
    <n v="1234"/>
    <n v="119"/>
    <n v="37"/>
    <n v="7.9733838123099865"/>
    <n v="314939"/>
    <n v="1474940"/>
    <n v="368.32561226142207"/>
    <d v="2026-04-05T00:00:00"/>
    <d v="2026-04-17T00:00:00"/>
    <x v="5"/>
    <n v="12"/>
    <x v="2"/>
    <x v="1"/>
    <n v="18.065680032122984"/>
    <n v="84.606206619629432"/>
  </r>
  <r>
    <s v="C0026"/>
    <x v="12"/>
    <x v="4"/>
    <x v="7"/>
    <n v="137397"/>
    <n v="92913"/>
    <n v="185884"/>
    <n v="4953"/>
    <n v="398"/>
    <n v="192"/>
    <n v="5.9657959596611878"/>
    <n v="299104"/>
    <n v="1108327"/>
    <n v="270.54903979886598"/>
    <d v="2025-11-07T00:00:00"/>
    <d v="2025-11-22T00:00:00"/>
    <x v="1"/>
    <n v="15"/>
    <x v="6"/>
    <x v="0"/>
    <n v="3.2191835372875701"/>
    <n v="11.928653686782258"/>
  </r>
  <r>
    <s v="C0027"/>
    <x v="8"/>
    <x v="2"/>
    <x v="3"/>
    <n v="1607723"/>
    <n v="1020344"/>
    <n v="1345975"/>
    <n v="98331"/>
    <n v="11560"/>
    <n v="6422"/>
    <n v="11.399390793693108"/>
    <n v="194584"/>
    <n v="383736"/>
    <n v="97.20840356863873"/>
    <d v="2026-03-14T00:00:00"/>
    <d v="2026-03-25T00:00:00"/>
    <x v="5"/>
    <n v="11"/>
    <x v="9"/>
    <x v="1"/>
    <n v="0.19070431148710631"/>
    <n v="0.3760849282202865"/>
  </r>
  <r>
    <s v="C0028"/>
    <x v="12"/>
    <x v="1"/>
    <x v="0"/>
    <n v="672941"/>
    <n v="558168"/>
    <n v="1621662"/>
    <n v="22950"/>
    <n v="2131"/>
    <n v="1553"/>
    <n v="4.7716816442361445"/>
    <n v="283923"/>
    <n v="405396"/>
    <n v="42.78378292706121"/>
    <d v="2025-11-16T00:00:00"/>
    <d v="2025-12-11T00:00:00"/>
    <x v="7"/>
    <n v="25"/>
    <x v="6"/>
    <x v="0"/>
    <n v="0.50866943285892419"/>
    <n v="0.72629745882959973"/>
  </r>
  <r>
    <s v="C0029"/>
    <x v="13"/>
    <x v="1"/>
    <x v="4"/>
    <n v="482834"/>
    <n v="327045"/>
    <n v="770958"/>
    <n v="41613"/>
    <n v="3727"/>
    <n v="2452"/>
    <n v="14.613279518109129"/>
    <n v="29893"/>
    <n v="103646"/>
    <n v="246.72331315023587"/>
    <d v="2025-11-30T00:00:00"/>
    <d v="2025-12-11T00:00:00"/>
    <x v="1"/>
    <n v="11"/>
    <x v="6"/>
    <x v="0"/>
    <n v="9.1403323701631276E-2"/>
    <n v="0.31691663226773076"/>
  </r>
  <r>
    <s v="C0030"/>
    <x v="6"/>
    <x v="3"/>
    <x v="6"/>
    <n v="1922429"/>
    <n v="1129863"/>
    <n v="1506610"/>
    <n v="96808"/>
    <n v="5809"/>
    <n v="3916"/>
    <n v="9.4288422578666609"/>
    <n v="333265"/>
    <n v="1622048"/>
    <n v="386.71417640616329"/>
    <d v="2025-11-29T00:00:00"/>
    <d v="2025-12-07T00:00:00"/>
    <x v="6"/>
    <n v="8"/>
    <x v="6"/>
    <x v="0"/>
    <n v="0.2949605394636341"/>
    <n v="1.4356147603736029"/>
  </r>
  <r>
    <s v="C0031"/>
    <x v="11"/>
    <x v="1"/>
    <x v="4"/>
    <n v="890148"/>
    <n v="238574"/>
    <n v="625377"/>
    <n v="7343"/>
    <n v="1031"/>
    <n v="504"/>
    <n v="3.7212772556942495"/>
    <n v="155015"/>
    <n v="464826"/>
    <n v="199.85872334935328"/>
    <d v="2025-02-19T00:00:00"/>
    <d v="2025-02-26T00:00:00"/>
    <x v="6"/>
    <n v="7"/>
    <x v="1"/>
    <x v="0"/>
    <n v="0.64975646969074585"/>
    <n v="1.9483514548944982"/>
  </r>
  <r>
    <s v="C0032"/>
    <x v="0"/>
    <x v="1"/>
    <x v="4"/>
    <n v="1913304"/>
    <n v="943878"/>
    <n v="1750418"/>
    <n v="101966"/>
    <n v="5663"/>
    <n v="8487"/>
    <n v="12.302013607690824"/>
    <n v="104531"/>
    <n v="299792"/>
    <n v="186.79721805014779"/>
    <d v="2025-12-26T00:00:00"/>
    <d v="2026-01-04T00:00:00"/>
    <x v="4"/>
    <n v="9"/>
    <x v="5"/>
    <x v="0"/>
    <n v="0.11074630407743373"/>
    <n v="0.31761731918743735"/>
  </r>
  <r>
    <s v="C0033"/>
    <x v="10"/>
    <x v="0"/>
    <x v="0"/>
    <n v="1228070"/>
    <n v="608693"/>
    <n v="1530078"/>
    <n v="31324"/>
    <n v="1475"/>
    <n v="1365"/>
    <n v="5.612681598112677"/>
    <n v="44940"/>
    <n v="125895"/>
    <n v="180.14018691588785"/>
    <d v="2025-01-14T00:00:00"/>
    <d v="2025-02-11T00:00:00"/>
    <x v="0"/>
    <n v="28"/>
    <x v="10"/>
    <x v="0"/>
    <n v="7.3830321689258793E-2"/>
    <n v="0.20682840118089085"/>
  </r>
  <r>
    <s v="C0034"/>
    <x v="13"/>
    <x v="2"/>
    <x v="2"/>
    <n v="968265"/>
    <n v="454615"/>
    <n v="717351"/>
    <n v="49444"/>
    <n v="2531"/>
    <n v="2076"/>
    <n v="11.889400921658986"/>
    <n v="290373"/>
    <n v="417131"/>
    <n v="43.653507729713162"/>
    <d v="2026-02-11T00:00:00"/>
    <d v="2026-02-20T00:00:00"/>
    <x v="1"/>
    <n v="9"/>
    <x v="1"/>
    <x v="1"/>
    <n v="0.63872287540006378"/>
    <n v="0.91754781518427686"/>
  </r>
  <r>
    <s v="C0035"/>
    <x v="2"/>
    <x v="2"/>
    <x v="7"/>
    <n v="520021"/>
    <n v="204711"/>
    <n v="526099"/>
    <n v="16662"/>
    <n v="1344"/>
    <n v="1007"/>
    <n v="9.2877275769255192"/>
    <n v="129837"/>
    <n v="158860"/>
    <n v="22.353412355491887"/>
    <d v="2026-04-07T00:00:00"/>
    <d v="2026-05-07T00:00:00"/>
    <x v="3"/>
    <n v="30"/>
    <x v="2"/>
    <x v="1"/>
    <n v="0.63424535076278266"/>
    <n v="0.77602082936432337"/>
  </r>
  <r>
    <s v="C0036"/>
    <x v="3"/>
    <x v="0"/>
    <x v="1"/>
    <n v="944894"/>
    <n v="360279"/>
    <n v="790218"/>
    <n v="43434"/>
    <n v="6140"/>
    <n v="3538"/>
    <n v="14.741908354358705"/>
    <n v="477085"/>
    <n v="1578056"/>
    <n v="230.77040778896841"/>
    <d v="2025-05-17T00:00:00"/>
    <d v="2025-06-07T00:00:00"/>
    <x v="1"/>
    <n v="21"/>
    <x v="4"/>
    <x v="0"/>
    <n v="1.3242098484785403"/>
    <n v="4.3800943157941488"/>
  </r>
  <r>
    <s v="C0037"/>
    <x v="4"/>
    <x v="1"/>
    <x v="7"/>
    <n v="636981"/>
    <n v="334852"/>
    <n v="952600"/>
    <n v="28503"/>
    <n v="2887"/>
    <n v="1375"/>
    <n v="9.7849199049132149"/>
    <n v="108202"/>
    <n v="269942"/>
    <n v="149.47967690061182"/>
    <d v="2025-05-22T00:00:00"/>
    <d v="2025-06-05T00:00:00"/>
    <x v="0"/>
    <n v="14"/>
    <x v="4"/>
    <x v="0"/>
    <n v="0.32313380239628253"/>
    <n v="0.80615316617490718"/>
  </r>
  <r>
    <s v="C0038"/>
    <x v="13"/>
    <x v="2"/>
    <x v="7"/>
    <n v="1483670"/>
    <n v="1204884"/>
    <n v="2378890"/>
    <n v="87292"/>
    <n v="6159"/>
    <n v="8150"/>
    <n v="8.4324300098598712"/>
    <n v="453643"/>
    <n v="2180970"/>
    <n v="380.76791662166067"/>
    <d v="2025-10-18T00:00:00"/>
    <d v="2025-11-10T00:00:00"/>
    <x v="2"/>
    <n v="23"/>
    <x v="8"/>
    <x v="0"/>
    <n v="0.37650346423390135"/>
    <n v="1.8101078610057069"/>
  </r>
  <r>
    <s v="C0039"/>
    <x v="3"/>
    <x v="2"/>
    <x v="0"/>
    <n v="325042"/>
    <n v="290590"/>
    <n v="648474"/>
    <n v="35536"/>
    <n v="1498"/>
    <n v="1304"/>
    <n v="13.193158745999517"/>
    <n v="28334"/>
    <n v="130442"/>
    <n v="360.37269711300911"/>
    <d v="2025-03-05T00:00:00"/>
    <d v="2025-03-14T00:00:00"/>
    <x v="3"/>
    <n v="9"/>
    <x v="9"/>
    <x v="0"/>
    <n v="9.7505075880105985E-2"/>
    <n v="0.44888674765133008"/>
  </r>
  <r>
    <s v="C0040"/>
    <x v="4"/>
    <x v="1"/>
    <x v="4"/>
    <n v="119987"/>
    <n v="32090"/>
    <n v="57058"/>
    <n v="4699"/>
    <n v="508"/>
    <n v="258"/>
    <n v="17.03022748519788"/>
    <n v="306824"/>
    <n v="1167718"/>
    <n v="280.58235340129846"/>
    <d v="2026-03-27T00:00:00"/>
    <d v="2026-04-19T00:00:00"/>
    <x v="2"/>
    <n v="23"/>
    <x v="9"/>
    <x v="1"/>
    <n v="9.5613586787161111"/>
    <n v="36.388843876597072"/>
  </r>
  <r>
    <s v="C0041"/>
    <x v="6"/>
    <x v="1"/>
    <x v="2"/>
    <n v="687105"/>
    <n v="335716"/>
    <n v="696033"/>
    <n v="17465"/>
    <n v="1688"/>
    <n v="1588"/>
    <n v="6.1781386648238392"/>
    <n v="288345"/>
    <n v="1013280"/>
    <n v="251.41237059772146"/>
    <d v="2025-01-08T00:00:00"/>
    <d v="2025-01-29T00:00:00"/>
    <x v="5"/>
    <n v="21"/>
    <x v="10"/>
    <x v="0"/>
    <n v="0.85889561415005544"/>
    <n v="3.0182654386445686"/>
  </r>
  <r>
    <s v="C0042"/>
    <x v="0"/>
    <x v="2"/>
    <x v="2"/>
    <n v="1552518"/>
    <n v="845376"/>
    <n v="1279604"/>
    <n v="43596"/>
    <n v="1802"/>
    <n v="2621"/>
    <n v="5.6801943750473161"/>
    <n v="366840"/>
    <n v="471335"/>
    <n v="28.485170646603425"/>
    <d v="2025-09-13T00:00:00"/>
    <d v="2025-10-09T00:00:00"/>
    <x v="3"/>
    <n v="26"/>
    <x v="11"/>
    <x v="0"/>
    <n v="0.43393708834885303"/>
    <n v="0.55754480846392607"/>
  </r>
  <r>
    <s v="C0043"/>
    <x v="2"/>
    <x v="3"/>
    <x v="2"/>
    <n v="855433"/>
    <n v="758242"/>
    <n v="2006913"/>
    <n v="33818"/>
    <n v="3787"/>
    <n v="3002"/>
    <n v="5.3554142345056066"/>
    <n v="325214"/>
    <n v="362692"/>
    <n v="11.524104128358557"/>
    <d v="2026-04-26T00:00:00"/>
    <d v="2026-05-10T00:00:00"/>
    <x v="7"/>
    <n v="14"/>
    <x v="2"/>
    <x v="1"/>
    <n v="0.42890528353744584"/>
    <n v="0.47833277502433258"/>
  </r>
  <r>
    <s v="C0044"/>
    <x v="4"/>
    <x v="3"/>
    <x v="3"/>
    <n v="153045"/>
    <n v="42319"/>
    <n v="87926"/>
    <n v="1758"/>
    <n v="215"/>
    <n v="128"/>
    <n v="4.9646730782863493"/>
    <n v="234724"/>
    <n v="788150"/>
    <n v="235.7773384911641"/>
    <d v="2025-10-28T00:00:00"/>
    <d v="2025-11-14T00:00:00"/>
    <x v="0"/>
    <n v="17"/>
    <x v="8"/>
    <x v="0"/>
    <n v="5.5465393794749405"/>
    <n v="18.624022306765283"/>
  </r>
  <r>
    <s v="C0045"/>
    <x v="5"/>
    <x v="0"/>
    <x v="4"/>
    <n v="991333"/>
    <n v="250935"/>
    <n v="683178"/>
    <n v="19686"/>
    <n v="1518"/>
    <n v="1297"/>
    <n v="8.9668639289058927"/>
    <n v="335334"/>
    <n v="1227988"/>
    <n v="266.19847674259097"/>
    <d v="2026-01-27T00:00:00"/>
    <d v="2026-02-18T00:00:00"/>
    <x v="4"/>
    <n v="22"/>
    <x v="10"/>
    <x v="1"/>
    <n v="1.3363380955227449"/>
    <n v="4.8936497499352418"/>
  </r>
  <r>
    <s v="C0046"/>
    <x v="13"/>
    <x v="1"/>
    <x v="4"/>
    <n v="1339725"/>
    <n v="363001"/>
    <n v="692147"/>
    <n v="41620"/>
    <n v="2290"/>
    <n v="2532"/>
    <n v="12.793904149024382"/>
    <n v="258172"/>
    <n v="856134"/>
    <n v="231.61380784903091"/>
    <d v="2025-01-31T00:00:00"/>
    <d v="2025-02-07T00:00:00"/>
    <x v="5"/>
    <n v="7"/>
    <x v="10"/>
    <x v="0"/>
    <n v="0.71121567158217192"/>
    <n v="2.3584893705526984"/>
  </r>
  <r>
    <s v="C0047"/>
    <x v="1"/>
    <x v="1"/>
    <x v="4"/>
    <n v="534524"/>
    <n v="206364"/>
    <n v="329393"/>
    <n v="14787"/>
    <n v="887"/>
    <n v="540"/>
    <n v="7.8569905603690566"/>
    <n v="229313"/>
    <n v="843637"/>
    <n v="267.89758975723134"/>
    <d v="2026-05-06T00:00:00"/>
    <d v="2026-06-04T00:00:00"/>
    <x v="7"/>
    <n v="29"/>
    <x v="4"/>
    <x v="1"/>
    <n v="1.1112064119710803"/>
    <n v="4.0881016068694151"/>
  </r>
  <r>
    <s v="C0048"/>
    <x v="9"/>
    <x v="2"/>
    <x v="1"/>
    <n v="685104"/>
    <n v="428636"/>
    <n v="487039"/>
    <n v="22586"/>
    <n v="2516"/>
    <n v="1956"/>
    <n v="6.3125822376095337"/>
    <n v="226384"/>
    <n v="805421"/>
    <n v="255.77646830164676"/>
    <d v="2026-04-05T00:00:00"/>
    <d v="2026-04-20T00:00:00"/>
    <x v="7"/>
    <n v="15"/>
    <x v="2"/>
    <x v="1"/>
    <n v="0.52814975876967873"/>
    <n v="1.8790325590944297"/>
  </r>
  <r>
    <s v="C0049"/>
    <x v="11"/>
    <x v="3"/>
    <x v="4"/>
    <n v="503984"/>
    <n v="447234"/>
    <n v="512463"/>
    <n v="49533"/>
    <n v="6120"/>
    <n v="1231"/>
    <n v="12.719068764897123"/>
    <n v="117812"/>
    <n v="209328"/>
    <n v="77.679693070315409"/>
    <d v="2025-11-06T00:00:00"/>
    <d v="2025-11-16T00:00:00"/>
    <x v="4"/>
    <n v="10"/>
    <x v="6"/>
    <x v="0"/>
    <n v="0.26342362163878419"/>
    <n v="0.46805028240250068"/>
  </r>
  <r>
    <s v="C0050"/>
    <x v="7"/>
    <x v="3"/>
    <x v="0"/>
    <n v="1032969"/>
    <n v="339445"/>
    <n v="583134"/>
    <n v="38121"/>
    <n v="5447"/>
    <n v="1617"/>
    <n v="13.311434842168834"/>
    <n v="451487"/>
    <n v="1485472"/>
    <n v="229.0176682828077"/>
    <d v="2025-12-21T00:00:00"/>
    <d v="2025-12-28T00:00:00"/>
    <x v="1"/>
    <n v="7"/>
    <x v="5"/>
    <x v="0"/>
    <n v="1.330074091531765"/>
    <n v="4.3761787623915511"/>
  </r>
  <r>
    <s v="C0051"/>
    <x v="14"/>
    <x v="4"/>
    <x v="2"/>
    <n v="1130894"/>
    <n v="370311"/>
    <n v="535173"/>
    <n v="36108"/>
    <n v="2356"/>
    <n v="1909"/>
    <n v="10.902457663963533"/>
    <n v="141601"/>
    <n v="540928"/>
    <n v="282.00860163416922"/>
    <d v="2025-09-02T00:00:00"/>
    <d v="2025-09-17T00:00:00"/>
    <x v="3"/>
    <n v="15"/>
    <x v="11"/>
    <x v="0"/>
    <n v="0.38238399615458357"/>
    <n v="1.4607397565829803"/>
  </r>
  <r>
    <s v="C0052"/>
    <x v="6"/>
    <x v="1"/>
    <x v="3"/>
    <n v="786063"/>
    <n v="487277"/>
    <n v="907043"/>
    <n v="65921"/>
    <n v="4819"/>
    <n v="5662"/>
    <n v="15.67937743829485"/>
    <n v="112437"/>
    <n v="522995"/>
    <n v="365.144925602782"/>
    <d v="2025-06-09T00:00:00"/>
    <d v="2025-07-06T00:00:00"/>
    <x v="2"/>
    <n v="27"/>
    <x v="0"/>
    <x v="0"/>
    <n v="0.23074555129833749"/>
    <n v="1.0733012229183811"/>
  </r>
  <r>
    <s v="C0053"/>
    <x v="7"/>
    <x v="4"/>
    <x v="4"/>
    <n v="1160480"/>
    <n v="517217"/>
    <n v="1238580"/>
    <n v="45434"/>
    <n v="5737"/>
    <n v="1589"/>
    <n v="10.200747461897038"/>
    <n v="395714"/>
    <n v="1665091"/>
    <n v="320.78142294687575"/>
    <d v="2025-01-18T00:00:00"/>
    <d v="2025-02-04T00:00:00"/>
    <x v="5"/>
    <n v="17"/>
    <x v="10"/>
    <x v="0"/>
    <n v="0.76508312758474684"/>
    <n v="3.2193276709775587"/>
  </r>
  <r>
    <s v="C0054"/>
    <x v="7"/>
    <x v="2"/>
    <x v="6"/>
    <n v="277183"/>
    <n v="117987"/>
    <n v="231614"/>
    <n v="10263"/>
    <n v="575"/>
    <n v="890"/>
    <n v="9.940078144202328"/>
    <n v="88957"/>
    <n v="419272"/>
    <n v="371.31985116404553"/>
    <d v="2026-03-30T00:00:00"/>
    <d v="2026-04-08T00:00:00"/>
    <x v="3"/>
    <n v="9"/>
    <x v="9"/>
    <x v="1"/>
    <n v="0.75395594429894819"/>
    <n v="3.5535440345122766"/>
  </r>
  <r>
    <s v="C0055"/>
    <x v="1"/>
    <x v="2"/>
    <x v="6"/>
    <n v="226300"/>
    <n v="62347"/>
    <n v="158302"/>
    <n v="6443"/>
    <n v="559"/>
    <n v="564"/>
    <n v="12.135307232104191"/>
    <n v="72333"/>
    <n v="270976"/>
    <n v="274.62292452960611"/>
    <d v="2025-07-17T00:00:00"/>
    <d v="2025-08-02T00:00:00"/>
    <x v="1"/>
    <n v="16"/>
    <x v="7"/>
    <x v="0"/>
    <n v="1.1601680914879626"/>
    <n v="4.3462556337915217"/>
  </r>
  <r>
    <s v="C0056"/>
    <x v="4"/>
    <x v="0"/>
    <x v="4"/>
    <n v="1807598"/>
    <n v="1100855"/>
    <n v="2015351"/>
    <n v="49140"/>
    <n v="4294"/>
    <n v="2092"/>
    <n v="5.0438976976986076"/>
    <n v="276027"/>
    <n v="495543"/>
    <n v="79.527002793205014"/>
    <d v="2025-09-14T00:00:00"/>
    <d v="2025-09-30T00:00:00"/>
    <x v="4"/>
    <n v="16"/>
    <x v="11"/>
    <x v="0"/>
    <n v="0.25073874397627299"/>
    <n v="0.45014375190193079"/>
  </r>
  <r>
    <s v="C0057"/>
    <x v="3"/>
    <x v="2"/>
    <x v="2"/>
    <n v="275910"/>
    <n v="150310"/>
    <n v="175532"/>
    <n v="18856"/>
    <n v="2076"/>
    <n v="694"/>
    <n v="14.387598962144901"/>
    <n v="482437"/>
    <n v="1963393"/>
    <n v="306.97396758540492"/>
    <d v="2025-04-21T00:00:00"/>
    <d v="2025-05-04T00:00:00"/>
    <x v="6"/>
    <n v="13"/>
    <x v="2"/>
    <x v="0"/>
    <n v="3.2096134655046238"/>
    <n v="13.06229126471958"/>
  </r>
  <r>
    <s v="C0058"/>
    <x v="8"/>
    <x v="2"/>
    <x v="6"/>
    <n v="124480"/>
    <n v="68150"/>
    <n v="128563"/>
    <n v="8710"/>
    <n v="832"/>
    <n v="638"/>
    <n v="14.937637564196626"/>
    <n v="39407"/>
    <n v="130979"/>
    <n v="232.37495876367143"/>
    <d v="2025-07-07T00:00:00"/>
    <d v="2025-07-30T00:00:00"/>
    <x v="4"/>
    <n v="23"/>
    <x v="7"/>
    <x v="0"/>
    <n v="0.57823917828319882"/>
    <n v="1.9219222303741745"/>
  </r>
  <r>
    <s v="C0059"/>
    <x v="4"/>
    <x v="3"/>
    <x v="1"/>
    <n v="1787675"/>
    <n v="1054549"/>
    <n v="2964850"/>
    <n v="100167"/>
    <n v="15007"/>
    <n v="4929"/>
    <n v="11.389039295471335"/>
    <n v="418994"/>
    <n v="618344"/>
    <n v="47.578246943870319"/>
    <d v="2026-01-13T00:00:00"/>
    <d v="2026-01-25T00:00:00"/>
    <x v="4"/>
    <n v="12"/>
    <x v="10"/>
    <x v="1"/>
    <n v="0.39732056073259753"/>
    <n v="0.58635871827672303"/>
  </r>
  <r>
    <s v="C0060"/>
    <x v="13"/>
    <x v="0"/>
    <x v="5"/>
    <n v="1856888"/>
    <n v="906842"/>
    <n v="2680285"/>
    <n v="128736"/>
    <n v="12935"/>
    <n v="7487"/>
    <n v="16.448069233670253"/>
    <n v="423140"/>
    <n v="502873"/>
    <n v="18.843172472467742"/>
    <d v="2026-04-13T00:00:00"/>
    <d v="2026-05-05T00:00:00"/>
    <x v="7"/>
    <n v="22"/>
    <x v="2"/>
    <x v="1"/>
    <n v="0.4666082956016594"/>
    <n v="0.55453210151272214"/>
  </r>
  <r>
    <s v="C0061"/>
    <x v="3"/>
    <x v="1"/>
    <x v="4"/>
    <n v="1332015"/>
    <n v="869096"/>
    <n v="2295471"/>
    <n v="102920"/>
    <n v="15055"/>
    <n v="10273"/>
    <n v="14.756482598009887"/>
    <n v="412289"/>
    <n v="595257"/>
    <n v="44.378579103492939"/>
    <d v="2025-03-12T00:00:00"/>
    <d v="2025-03-29T00:00:00"/>
    <x v="0"/>
    <n v="17"/>
    <x v="9"/>
    <x v="0"/>
    <n v="0.47438832994283714"/>
    <n v="0.6849151302042582"/>
  </r>
  <r>
    <s v="C0062"/>
    <x v="13"/>
    <x v="4"/>
    <x v="3"/>
    <n v="1404635"/>
    <n v="637788"/>
    <n v="1901066"/>
    <n v="55173"/>
    <n v="7857"/>
    <n v="2525"/>
    <n v="10.278493794176121"/>
    <n v="32245"/>
    <n v="60481"/>
    <n v="87.567064661187771"/>
    <d v="2025-05-11T00:00:00"/>
    <d v="2025-06-02T00:00:00"/>
    <x v="6"/>
    <n v="22"/>
    <x v="4"/>
    <x v="0"/>
    <n v="5.0557552039235606E-2"/>
    <n v="9.482931632454672E-2"/>
  </r>
  <r>
    <s v="C0063"/>
    <x v="9"/>
    <x v="4"/>
    <x v="3"/>
    <n v="1819865"/>
    <n v="486868"/>
    <n v="966622"/>
    <n v="66429"/>
    <n v="6000"/>
    <n v="5826"/>
    <n v="16.073145082445343"/>
    <n v="391795"/>
    <n v="1415502"/>
    <n v="261.28638701361677"/>
    <d v="2025-01-11T00:00:00"/>
    <d v="2025-02-04T00:00:00"/>
    <x v="6"/>
    <n v="24"/>
    <x v="10"/>
    <x v="0"/>
    <n v="0.80472530542159271"/>
    <n v="2.9073629813419655"/>
  </r>
  <r>
    <s v="C0064"/>
    <x v="10"/>
    <x v="2"/>
    <x v="3"/>
    <n v="566322"/>
    <n v="177900"/>
    <n v="258015"/>
    <n v="12012"/>
    <n v="996"/>
    <n v="661"/>
    <n v="7.6835300730747607"/>
    <n v="132857"/>
    <n v="520986"/>
    <n v="292.14042165636738"/>
    <d v="2025-02-24T00:00:00"/>
    <d v="2025-03-11T00:00:00"/>
    <x v="1"/>
    <n v="15"/>
    <x v="1"/>
    <x v="0"/>
    <n v="0.74680719505340076"/>
    <n v="2.9285328836424958"/>
  </r>
  <r>
    <s v="C0065"/>
    <x v="13"/>
    <x v="0"/>
    <x v="7"/>
    <n v="1485366"/>
    <n v="1208867"/>
    <n v="2615513"/>
    <n v="173055"/>
    <n v="19643"/>
    <n v="15765"/>
    <n v="17.244494224757563"/>
    <n v="369455"/>
    <n v="447536"/>
    <n v="21.134102935404854"/>
    <d v="2025-04-21T00:00:00"/>
    <d v="2025-05-01T00:00:00"/>
    <x v="7"/>
    <n v="10"/>
    <x v="2"/>
    <x v="0"/>
    <n v="0.30562088302517976"/>
    <n v="0.37021111503581455"/>
  </r>
  <r>
    <s v="C0066"/>
    <x v="12"/>
    <x v="4"/>
    <x v="4"/>
    <n v="1857886"/>
    <n v="1009400"/>
    <n v="1209530"/>
    <n v="94650"/>
    <n v="2909"/>
    <n v="4236"/>
    <n v="10.084703784426392"/>
    <n v="390951"/>
    <n v="797516"/>
    <n v="103.99385089179974"/>
    <d v="2025-11-07T00:00:00"/>
    <d v="2025-11-29T00:00:00"/>
    <x v="0"/>
    <n v="22"/>
    <x v="6"/>
    <x v="0"/>
    <n v="0.38731028333663564"/>
    <n v="0.79008916187834355"/>
  </r>
  <r>
    <s v="C0067"/>
    <x v="10"/>
    <x v="3"/>
    <x v="0"/>
    <n v="606609"/>
    <n v="368105"/>
    <n v="477885"/>
    <n v="54493"/>
    <n v="1778"/>
    <n v="5337"/>
    <n v="16.736528979503131"/>
    <n v="155801"/>
    <n v="666355"/>
    <n v="327.69622788043722"/>
    <d v="2025-05-30T00:00:00"/>
    <d v="2025-06-15T00:00:00"/>
    <x v="1"/>
    <n v="16"/>
    <x v="4"/>
    <x v="0"/>
    <n v="0.42325151790929216"/>
    <n v="1.8102307765447359"/>
  </r>
  <r>
    <s v="C0068"/>
    <x v="9"/>
    <x v="0"/>
    <x v="1"/>
    <n v="1544670"/>
    <n v="862620"/>
    <n v="2191565"/>
    <n v="42228"/>
    <n v="2551"/>
    <n v="3068"/>
    <n v="5.5467065451763231"/>
    <n v="62749"/>
    <n v="309289"/>
    <n v="392.89869161261532"/>
    <d v="2025-06-26T00:00:00"/>
    <d v="2025-07-13T00:00:00"/>
    <x v="5"/>
    <n v="17"/>
    <x v="0"/>
    <x v="0"/>
    <n v="7.2742343094294129E-2"/>
    <n v="0.3585460573601354"/>
  </r>
  <r>
    <s v="C0069"/>
    <x v="0"/>
    <x v="0"/>
    <x v="2"/>
    <n v="1066617"/>
    <n v="552181"/>
    <n v="1396830"/>
    <n v="36779"/>
    <n v="1855"/>
    <n v="740"/>
    <n v="7.130632890302274"/>
    <n v="132764"/>
    <n v="530419"/>
    <n v="299.52020125937753"/>
    <d v="2025-11-17T00:00:00"/>
    <d v="2025-12-02T00:00:00"/>
    <x v="7"/>
    <n v="15"/>
    <x v="6"/>
    <x v="0"/>
    <n v="0.24043565425105173"/>
    <n v="0.96058900976310302"/>
  </r>
  <r>
    <s v="C0070"/>
    <x v="7"/>
    <x v="3"/>
    <x v="5"/>
    <n v="1558397"/>
    <n v="1155974"/>
    <n v="2646041"/>
    <n v="140037"/>
    <n v="5630"/>
    <n v="7148"/>
    <n v="13.219587983812787"/>
    <n v="256505"/>
    <n v="749000"/>
    <n v="192.00210522212043"/>
    <d v="2025-11-30T00:00:00"/>
    <d v="2025-12-21T00:00:00"/>
    <x v="4"/>
    <n v="21"/>
    <x v="6"/>
    <x v="0"/>
    <n v="0.22189512912920187"/>
    <n v="0.64793844844261206"/>
  </r>
  <r>
    <s v="C0071"/>
    <x v="4"/>
    <x v="4"/>
    <x v="5"/>
    <n v="1381863"/>
    <n v="549471"/>
    <n v="1351000"/>
    <n v="29875"/>
    <n v="3959"/>
    <n v="2176"/>
    <n v="6.5535760758984551"/>
    <n v="235064"/>
    <n v="871213"/>
    <n v="270.62799918320115"/>
    <d v="2025-07-03T00:00:00"/>
    <d v="2025-07-17T00:00:00"/>
    <x v="3"/>
    <n v="14"/>
    <x v="7"/>
    <x v="0"/>
    <n v="0.42780055726325866"/>
    <n v="1.5855486458794004"/>
  </r>
  <r>
    <s v="C0072"/>
    <x v="2"/>
    <x v="1"/>
    <x v="5"/>
    <n v="1812674"/>
    <n v="1031176"/>
    <n v="2143974"/>
    <n v="65627"/>
    <n v="6120"/>
    <n v="2262"/>
    <n v="7.1771453175791518"/>
    <n v="303403"/>
    <n v="1391734"/>
    <n v="358.70805496320077"/>
    <d v="2025-04-02T00:00:00"/>
    <d v="2025-04-12T00:00:00"/>
    <x v="3"/>
    <n v="10"/>
    <x v="2"/>
    <x v="0"/>
    <n v="0.29423008293443603"/>
    <n v="1.3496570905451639"/>
  </r>
  <r>
    <s v="C0073"/>
    <x v="9"/>
    <x v="3"/>
    <x v="5"/>
    <n v="838293"/>
    <n v="506129"/>
    <n v="681090"/>
    <n v="64594"/>
    <n v="8098"/>
    <n v="4705"/>
    <n v="15.291951261437301"/>
    <n v="168627"/>
    <n v="528044"/>
    <n v="213.14320956904885"/>
    <d v="2026-04-07T00:00:00"/>
    <d v="2026-05-04T00:00:00"/>
    <x v="3"/>
    <n v="27"/>
    <x v="2"/>
    <x v="1"/>
    <n v="0.33317000211408554"/>
    <n v="1.0432992379413153"/>
  </r>
  <r>
    <s v="C0074"/>
    <x v="14"/>
    <x v="3"/>
    <x v="7"/>
    <n v="55927"/>
    <n v="21682"/>
    <n v="61040"/>
    <n v="1998"/>
    <n v="211"/>
    <n v="120"/>
    <n v="10.741629001014665"/>
    <n v="484372"/>
    <n v="2041207"/>
    <n v="321.41308746170296"/>
    <d v="2026-02-07T00:00:00"/>
    <d v="2026-02-27T00:00:00"/>
    <x v="7"/>
    <n v="20"/>
    <x v="1"/>
    <x v="1"/>
    <n v="22.339821049718662"/>
    <n v="94.142929619038838"/>
  </r>
  <r>
    <s v="C0075"/>
    <x v="7"/>
    <x v="4"/>
    <x v="3"/>
    <n v="871758"/>
    <n v="407633"/>
    <n v="590946"/>
    <n v="10330"/>
    <n v="717"/>
    <n v="578"/>
    <n v="2.8518299548858899"/>
    <n v="447649"/>
    <n v="1495680"/>
    <n v="234.11891906382007"/>
    <d v="2025-11-21T00:00:00"/>
    <d v="2025-12-15T00:00:00"/>
    <x v="5"/>
    <n v="24"/>
    <x v="6"/>
    <x v="0"/>
    <n v="1.0981667333115817"/>
    <n v="3.6691828188591207"/>
  </r>
  <r>
    <s v="C0076"/>
    <x v="13"/>
    <x v="2"/>
    <x v="7"/>
    <n v="1496136"/>
    <n v="1028998"/>
    <n v="2903794"/>
    <n v="117557"/>
    <n v="4426"/>
    <n v="11297"/>
    <n v="12.952406127125613"/>
    <n v="237772"/>
    <n v="1125899"/>
    <n v="373.52043133758389"/>
    <d v="2026-04-12T00:00:00"/>
    <d v="2026-05-03T00:00:00"/>
    <x v="0"/>
    <n v="21"/>
    <x v="2"/>
    <x v="1"/>
    <n v="0.23107139178113076"/>
    <n v="1.0941702510597688"/>
  </r>
  <r>
    <s v="C0077"/>
    <x v="0"/>
    <x v="0"/>
    <x v="4"/>
    <n v="172579"/>
    <n v="60811"/>
    <n v="69289"/>
    <n v="5401"/>
    <n v="645"/>
    <n v="370"/>
    <n v="10.550722731084837"/>
    <n v="114747"/>
    <n v="312824"/>
    <n v="172.62063496213409"/>
    <d v="2025-05-04T00:00:00"/>
    <d v="2025-05-23T00:00:00"/>
    <x v="6"/>
    <n v="19"/>
    <x v="4"/>
    <x v="0"/>
    <n v="1.8869447961717452"/>
    <n v="5.1442008847083587"/>
  </r>
  <r>
    <s v="C0078"/>
    <x v="12"/>
    <x v="2"/>
    <x v="2"/>
    <n v="1432682"/>
    <n v="865902"/>
    <n v="1601644"/>
    <n v="94848"/>
    <n v="3962"/>
    <n v="7553"/>
    <n v="12.283491665338572"/>
    <n v="396073"/>
    <n v="1842216"/>
    <n v="365.12031872912314"/>
    <d v="2025-07-16T00:00:00"/>
    <d v="2025-08-02T00:00:00"/>
    <x v="4"/>
    <n v="17"/>
    <x v="7"/>
    <x v="0"/>
    <n v="0.45741088483454245"/>
    <n v="2.1275109654441264"/>
  </r>
  <r>
    <s v="C0079"/>
    <x v="8"/>
    <x v="2"/>
    <x v="2"/>
    <n v="1026359"/>
    <n v="812890"/>
    <n v="1889473"/>
    <n v="28667"/>
    <n v="2740"/>
    <n v="2102"/>
    <n v="4.1222059565254838"/>
    <n v="473986"/>
    <n v="1061056"/>
    <n v="123.85808863552931"/>
    <d v="2025-12-16T00:00:00"/>
    <d v="2025-12-26T00:00:00"/>
    <x v="1"/>
    <n v="10"/>
    <x v="5"/>
    <x v="0"/>
    <n v="0.58308750261412978"/>
    <n v="1.3052885384246331"/>
  </r>
  <r>
    <s v="C0080"/>
    <x v="11"/>
    <x v="0"/>
    <x v="1"/>
    <n v="1375546"/>
    <n v="416987"/>
    <n v="767294"/>
    <n v="41604"/>
    <n v="6119"/>
    <n v="2098"/>
    <n v="11.947854489468497"/>
    <n v="244068"/>
    <n v="1219660"/>
    <n v="399.72138912106459"/>
    <d v="2025-12-04T00:00:00"/>
    <d v="2025-12-29T00:00:00"/>
    <x v="5"/>
    <n v="25"/>
    <x v="5"/>
    <x v="0"/>
    <n v="0.58531321120322699"/>
    <n v="2.9249353097338764"/>
  </r>
  <r>
    <s v="C0081"/>
    <x v="11"/>
    <x v="2"/>
    <x v="3"/>
    <n v="668966"/>
    <n v="197216"/>
    <n v="486014"/>
    <n v="21340"/>
    <n v="1485"/>
    <n v="1601"/>
    <n v="12.385404835307479"/>
    <n v="474520"/>
    <n v="597462"/>
    <n v="25.90870774677569"/>
    <d v="2026-02-01T00:00:00"/>
    <d v="2026-02-22T00:00:00"/>
    <x v="7"/>
    <n v="21"/>
    <x v="1"/>
    <x v="1"/>
    <n v="2.4060928119422358"/>
    <n v="3.0294803667045271"/>
  </r>
  <r>
    <s v="C0082"/>
    <x v="8"/>
    <x v="2"/>
    <x v="2"/>
    <n v="1066607"/>
    <n v="758269"/>
    <n v="1334787"/>
    <n v="87462"/>
    <n v="8633"/>
    <n v="8352"/>
    <n v="13.774399322667813"/>
    <n v="298090"/>
    <n v="847678"/>
    <n v="184.36982119494112"/>
    <d v="2025-08-14T00:00:00"/>
    <d v="2025-09-13T00:00:00"/>
    <x v="1"/>
    <n v="30"/>
    <x v="3"/>
    <x v="0"/>
    <n v="0.39311906460636004"/>
    <n v="1.117911981104331"/>
  </r>
  <r>
    <s v="C0083"/>
    <x v="8"/>
    <x v="1"/>
    <x v="7"/>
    <n v="717795"/>
    <n v="415217"/>
    <n v="1028936"/>
    <n v="40186"/>
    <n v="4657"/>
    <n v="3176"/>
    <n v="11.56479623907499"/>
    <n v="90341"/>
    <n v="225359"/>
    <n v="149.45373639875584"/>
    <d v="2025-06-05T00:00:00"/>
    <d v="2025-06-27T00:00:00"/>
    <x v="6"/>
    <n v="22"/>
    <x v="0"/>
    <x v="0"/>
    <n v="0.21757538829094183"/>
    <n v="0.54274993557585549"/>
  </r>
  <r>
    <s v="C0084"/>
    <x v="11"/>
    <x v="0"/>
    <x v="5"/>
    <n v="1646555"/>
    <n v="485659"/>
    <n v="1441282"/>
    <n v="70403"/>
    <n v="3217"/>
    <n v="6611"/>
    <n v="16.520027426651211"/>
    <n v="397822"/>
    <n v="1174383"/>
    <n v="195.20313104855938"/>
    <d v="2025-04-10T00:00:00"/>
    <d v="2025-05-04T00:00:00"/>
    <x v="2"/>
    <n v="24"/>
    <x v="2"/>
    <x v="0"/>
    <n v="0.81913853135636316"/>
    <n v="2.4181225921891696"/>
  </r>
  <r>
    <s v="C0085"/>
    <x v="10"/>
    <x v="1"/>
    <x v="7"/>
    <n v="1276098"/>
    <n v="754337"/>
    <n v="854021"/>
    <n v="39255"/>
    <n v="2232"/>
    <n v="3512"/>
    <n v="5.9653709151214906"/>
    <n v="201393"/>
    <n v="675798"/>
    <n v="235.56181197956235"/>
    <d v="2025-04-11T00:00:00"/>
    <d v="2025-04-21T00:00:00"/>
    <x v="1"/>
    <n v="10"/>
    <x v="2"/>
    <x v="0"/>
    <n v="0.26698014282741001"/>
    <n v="0.89588340489728069"/>
  </r>
  <r>
    <s v="C0086"/>
    <x v="7"/>
    <x v="1"/>
    <x v="6"/>
    <n v="1161785"/>
    <n v="990396"/>
    <n v="2322284"/>
    <n v="102465"/>
    <n v="10839"/>
    <n v="6520"/>
    <n v="12.098594905472154"/>
    <n v="180648"/>
    <n v="835730"/>
    <n v="362.62898011602675"/>
    <d v="2025-03-18T00:00:00"/>
    <d v="2025-04-14T00:00:00"/>
    <x v="5"/>
    <n v="27"/>
    <x v="9"/>
    <x v="0"/>
    <n v="0.18239976736578095"/>
    <n v="0.84383418349831785"/>
  </r>
  <r>
    <s v="C0087"/>
    <x v="3"/>
    <x v="3"/>
    <x v="1"/>
    <n v="441054"/>
    <n v="282275"/>
    <n v="510116"/>
    <n v="38303"/>
    <n v="2126"/>
    <n v="3311"/>
    <n v="15.495527411212469"/>
    <n v="478332"/>
    <n v="1779288"/>
    <n v="271.97762223727449"/>
    <d v="2025-04-07T00:00:00"/>
    <d v="2025-05-06T00:00:00"/>
    <x v="5"/>
    <n v="29"/>
    <x v="2"/>
    <x v="0"/>
    <n v="1.6945602692409885"/>
    <n v="6.3033849969001858"/>
  </r>
  <r>
    <s v="C0088"/>
    <x v="2"/>
    <x v="3"/>
    <x v="4"/>
    <n v="893940"/>
    <n v="646438"/>
    <n v="1470831"/>
    <n v="15097"/>
    <n v="1753"/>
    <n v="1130"/>
    <n v="2.7813958956620746"/>
    <n v="462669"/>
    <n v="737357"/>
    <n v="59.370305769351305"/>
    <d v="2025-07-05T00:00:00"/>
    <d v="2025-07-15T00:00:00"/>
    <x v="6"/>
    <n v="10"/>
    <x v="7"/>
    <x v="0"/>
    <n v="0.71572061048391333"/>
    <n v="1.1406461253824807"/>
  </r>
  <r>
    <s v="C0089"/>
    <x v="1"/>
    <x v="4"/>
    <x v="0"/>
    <n v="683914"/>
    <n v="242829"/>
    <n v="601767"/>
    <n v="17489"/>
    <n v="705"/>
    <n v="633"/>
    <n v="7.7531925758455538"/>
    <n v="185052"/>
    <n v="801539"/>
    <n v="333.14257614076041"/>
    <d v="2025-06-13T00:00:00"/>
    <d v="2025-06-30T00:00:00"/>
    <x v="6"/>
    <n v="17"/>
    <x v="0"/>
    <x v="0"/>
    <n v="0.76206713366195966"/>
    <n v="3.3008372146654641"/>
  </r>
  <r>
    <s v="C0090"/>
    <x v="13"/>
    <x v="2"/>
    <x v="1"/>
    <n v="1876995"/>
    <n v="526335"/>
    <n v="1519322"/>
    <n v="54674"/>
    <n v="3637"/>
    <n v="4924"/>
    <n v="12.014211481280933"/>
    <n v="374721"/>
    <n v="1413864"/>
    <n v="277.31111947288787"/>
    <d v="2025-06-27T00:00:00"/>
    <d v="2025-07-21T00:00:00"/>
    <x v="6"/>
    <n v="24"/>
    <x v="0"/>
    <x v="0"/>
    <n v="0.71194391404713731"/>
    <n v="2.6862435521103478"/>
  </r>
  <r>
    <s v="C0091"/>
    <x v="8"/>
    <x v="1"/>
    <x v="6"/>
    <n v="1071885"/>
    <n v="663959"/>
    <n v="1295506"/>
    <n v="44397"/>
    <n v="1765"/>
    <n v="1942"/>
    <n v="7.2450256717658768"/>
    <n v="260880"/>
    <n v="1109031"/>
    <n v="325.11154553817846"/>
    <d v="2025-05-28T00:00:00"/>
    <d v="2025-06-05T00:00:00"/>
    <x v="3"/>
    <n v="8"/>
    <x v="4"/>
    <x v="0"/>
    <n v="0.39291582763393523"/>
    <n v="1.6703305475187473"/>
  </r>
  <r>
    <s v="C0092"/>
    <x v="4"/>
    <x v="3"/>
    <x v="4"/>
    <n v="235030"/>
    <n v="157340"/>
    <n v="369921"/>
    <n v="19518"/>
    <n v="2096"/>
    <n v="1708"/>
    <n v="14.822677005211643"/>
    <n v="210274"/>
    <n v="593915"/>
    <n v="182.448139094705"/>
    <d v="2025-12-08T00:00:00"/>
    <d v="2025-12-29T00:00:00"/>
    <x v="1"/>
    <n v="21"/>
    <x v="5"/>
    <x v="0"/>
    <n v="1.3364306597178086"/>
    <n v="3.7747235286640395"/>
  </r>
  <r>
    <s v="C0093"/>
    <x v="1"/>
    <x v="3"/>
    <x v="4"/>
    <n v="193445"/>
    <n v="87093"/>
    <n v="154235"/>
    <n v="9684"/>
    <n v="570"/>
    <n v="501"/>
    <n v="12.34886845096621"/>
    <n v="16320"/>
    <n v="47438"/>
    <n v="190.67401960784315"/>
    <d v="2025-10-27T00:00:00"/>
    <d v="2025-11-08T00:00:00"/>
    <x v="0"/>
    <n v="12"/>
    <x v="8"/>
    <x v="0"/>
    <n v="0.18738589783335055"/>
    <n v="0.54468212141044625"/>
  </r>
  <r>
    <s v="C0094"/>
    <x v="14"/>
    <x v="3"/>
    <x v="0"/>
    <n v="1173630"/>
    <n v="361733"/>
    <n v="783559"/>
    <n v="10835"/>
    <n v="1037"/>
    <n v="383"/>
    <n v="3.3878578951878873"/>
    <n v="450642"/>
    <n v="1999357"/>
    <n v="343.66858836948177"/>
    <d v="2025-05-15T00:00:00"/>
    <d v="2025-05-27T00:00:00"/>
    <x v="7"/>
    <n v="12"/>
    <x v="4"/>
    <x v="0"/>
    <n v="1.2457862567142064"/>
    <n v="5.5271622992649272"/>
  </r>
  <r>
    <s v="C0095"/>
    <x v="7"/>
    <x v="3"/>
    <x v="4"/>
    <n v="1529460"/>
    <n v="731589"/>
    <n v="1988281"/>
    <n v="94425"/>
    <n v="5363"/>
    <n v="8736"/>
    <n v="14.834011993072613"/>
    <n v="144857"/>
    <n v="474374"/>
    <n v="227.47744327164031"/>
    <d v="2025-06-30T00:00:00"/>
    <d v="2025-07-14T00:00:00"/>
    <x v="6"/>
    <n v="14"/>
    <x v="0"/>
    <x v="0"/>
    <n v="0.19800325045893255"/>
    <n v="0.64841598219765473"/>
  </r>
  <r>
    <s v="C0096"/>
    <x v="5"/>
    <x v="3"/>
    <x v="1"/>
    <n v="1824517"/>
    <n v="1368266"/>
    <n v="2628574"/>
    <n v="38310"/>
    <n v="1301"/>
    <n v="2062"/>
    <n v="3.045679714324554"/>
    <n v="77188"/>
    <n v="144392"/>
    <n v="87.065346945121007"/>
    <d v="2025-11-24T00:00:00"/>
    <d v="2025-12-02T00:00:00"/>
    <x v="7"/>
    <n v="8"/>
    <x v="6"/>
    <x v="0"/>
    <n v="5.6413007412301409E-2"/>
    <n v="0.10552918803799846"/>
  </r>
  <r>
    <s v="C0097"/>
    <x v="7"/>
    <x v="4"/>
    <x v="1"/>
    <n v="1274071"/>
    <n v="900576"/>
    <n v="1133442"/>
    <n v="114542"/>
    <n v="10811"/>
    <n v="2492"/>
    <n v="14.195914614646627"/>
    <n v="171672"/>
    <n v="562840"/>
    <n v="227.8577752924181"/>
    <d v="2025-12-09T00:00:00"/>
    <d v="2025-12-22T00:00:00"/>
    <x v="3"/>
    <n v="13"/>
    <x v="5"/>
    <x v="0"/>
    <n v="0.19062466687986354"/>
    <n v="0.62497779199090364"/>
  </r>
  <r>
    <s v="C0098"/>
    <x v="1"/>
    <x v="3"/>
    <x v="7"/>
    <n v="262651"/>
    <n v="124341"/>
    <n v="253947"/>
    <n v="3127"/>
    <n v="335"/>
    <n v="185"/>
    <n v="2.9330631087091148"/>
    <n v="473648"/>
    <n v="1577222"/>
    <n v="232.99454447184408"/>
    <d v="2026-01-28T00:00:00"/>
    <d v="2026-02-22T00:00:00"/>
    <x v="3"/>
    <n v="25"/>
    <x v="10"/>
    <x v="1"/>
    <n v="3.8092664527388393"/>
    <n v="12.684649472016471"/>
  </r>
  <r>
    <s v="C0099"/>
    <x v="7"/>
    <x v="0"/>
    <x v="3"/>
    <n v="1892745"/>
    <n v="954717"/>
    <n v="2220091"/>
    <n v="71684"/>
    <n v="3915"/>
    <n v="2122"/>
    <n v="8.1407369932660671"/>
    <n v="384954"/>
    <n v="1779758"/>
    <n v="362.33004462870889"/>
    <d v="2025-01-08T00:00:00"/>
    <d v="2025-01-31T00:00:00"/>
    <x v="0"/>
    <n v="23"/>
    <x v="10"/>
    <x v="0"/>
    <n v="0.40321267977840552"/>
    <n v="1.8641733623681154"/>
  </r>
  <r>
    <s v="C0100"/>
    <x v="3"/>
    <x v="3"/>
    <x v="7"/>
    <n v="846767"/>
    <n v="525831"/>
    <n v="1231302"/>
    <n v="17440"/>
    <n v="920"/>
    <n v="1640"/>
    <n v="3.803503406988177"/>
    <n v="386400"/>
    <n v="1149925"/>
    <n v="197.59963768115944"/>
    <d v="2026-01-01T00:00:00"/>
    <d v="2026-01-27T00:00:00"/>
    <x v="4"/>
    <n v="26"/>
    <x v="10"/>
    <x v="1"/>
    <n v="0.7348368582301158"/>
    <n v="2.1868718276404397"/>
  </r>
  <r>
    <s v="C0101"/>
    <x v="2"/>
    <x v="4"/>
    <x v="2"/>
    <n v="795666"/>
    <n v="199639"/>
    <n v="332993"/>
    <n v="21249"/>
    <n v="1691"/>
    <n v="1313"/>
    <n v="12.14842791238185"/>
    <n v="50616"/>
    <n v="135581"/>
    <n v="167.86194088825667"/>
    <d v="2025-05-09T00:00:00"/>
    <d v="2025-05-19T00:00:00"/>
    <x v="1"/>
    <n v="10"/>
    <x v="4"/>
    <x v="0"/>
    <n v="0.25353763543195468"/>
    <n v="0.67913083115022621"/>
  </r>
  <r>
    <s v="C0102"/>
    <x v="12"/>
    <x v="2"/>
    <x v="4"/>
    <n v="247893"/>
    <n v="163820"/>
    <n v="252120"/>
    <n v="6448"/>
    <n v="933"/>
    <n v="269"/>
    <n v="4.669759492125503"/>
    <n v="35656"/>
    <n v="47766"/>
    <n v="33.963428315010098"/>
    <d v="2026-04-10T00:00:00"/>
    <d v="2026-04-18T00:00:00"/>
    <x v="2"/>
    <n v="8"/>
    <x v="2"/>
    <x v="1"/>
    <n v="0.21765352215846662"/>
    <n v="0.29157612013185202"/>
  </r>
  <r>
    <s v="C0103"/>
    <x v="6"/>
    <x v="1"/>
    <x v="4"/>
    <n v="1111162"/>
    <n v="545819"/>
    <n v="670677"/>
    <n v="12769"/>
    <n v="383"/>
    <n v="844"/>
    <n v="2.5642200069986569"/>
    <n v="141211"/>
    <n v="408960"/>
    <n v="189.60916642471196"/>
    <d v="2025-01-03T00:00:00"/>
    <d v="2025-01-26T00:00:00"/>
    <x v="1"/>
    <n v="23"/>
    <x v="10"/>
    <x v="0"/>
    <n v="0.2587139692828575"/>
    <n v="0.74925936986436892"/>
  </r>
  <r>
    <s v="C0104"/>
    <x v="5"/>
    <x v="2"/>
    <x v="6"/>
    <n v="800224"/>
    <n v="640391"/>
    <n v="1416657"/>
    <n v="21028"/>
    <n v="2364"/>
    <n v="437"/>
    <n v="3.7210079467075587"/>
    <n v="248699"/>
    <n v="804084"/>
    <n v="223.31613717787366"/>
    <d v="2025-03-04T00:00:00"/>
    <d v="2025-03-16T00:00:00"/>
    <x v="5"/>
    <n v="12"/>
    <x v="9"/>
    <x v="0"/>
    <n v="0.38835492691183982"/>
    <n v="1.255614148231315"/>
  </r>
  <r>
    <s v="C0105"/>
    <x v="3"/>
    <x v="0"/>
    <x v="5"/>
    <n v="105327"/>
    <n v="41046"/>
    <n v="98298"/>
    <n v="6074"/>
    <n v="495"/>
    <n v="587"/>
    <n v="17.43409832870438"/>
    <n v="470213"/>
    <n v="1681491"/>
    <n v="257.60198037910482"/>
    <d v="2025-05-08T00:00:00"/>
    <d v="2025-05-23T00:00:00"/>
    <x v="6"/>
    <n v="15"/>
    <x v="4"/>
    <x v="0"/>
    <n v="11.455756955610779"/>
    <n v="40.966013740681184"/>
  </r>
  <r>
    <s v="C0106"/>
    <x v="5"/>
    <x v="4"/>
    <x v="1"/>
    <n v="595436"/>
    <n v="494012"/>
    <n v="674335"/>
    <n v="52582"/>
    <n v="2705"/>
    <n v="2389"/>
    <n v="11.67502003999903"/>
    <n v="333673"/>
    <n v="511009"/>
    <n v="53.146643570201967"/>
    <d v="2025-03-31T00:00:00"/>
    <d v="2025-04-14T00:00:00"/>
    <x v="0"/>
    <n v="14"/>
    <x v="9"/>
    <x v="0"/>
    <n v="0.67543500967587833"/>
    <n v="1.0344060468166765"/>
  </r>
  <r>
    <s v="C0107"/>
    <x v="10"/>
    <x v="0"/>
    <x v="2"/>
    <n v="595271"/>
    <n v="194165"/>
    <n v="504732"/>
    <n v="27678"/>
    <n v="3617"/>
    <n v="2699"/>
    <n v="17.507789766435764"/>
    <n v="208931"/>
    <n v="835270"/>
    <n v="299.78270338054188"/>
    <d v="2026-02-22T00:00:00"/>
    <d v="2026-03-09T00:00:00"/>
    <x v="4"/>
    <n v="15"/>
    <x v="1"/>
    <x v="1"/>
    <n v="1.0760487214482528"/>
    <n v="4.3018566682975816"/>
  </r>
  <r>
    <s v="C0108"/>
    <x v="8"/>
    <x v="0"/>
    <x v="5"/>
    <n v="1113588"/>
    <n v="725164"/>
    <n v="1324771"/>
    <n v="99679"/>
    <n v="7709"/>
    <n v="2180"/>
    <n v="15.109409733522346"/>
    <n v="343703"/>
    <n v="1167397"/>
    <n v="239.6528398064608"/>
    <d v="2025-12-06T00:00:00"/>
    <d v="2025-12-20T00:00:00"/>
    <x v="4"/>
    <n v="14"/>
    <x v="5"/>
    <x v="0"/>
    <n v="0.47396588909543219"/>
    <n v="1.609838602026576"/>
  </r>
  <r>
    <s v="C0109"/>
    <x v="8"/>
    <x v="1"/>
    <x v="0"/>
    <n v="1609491"/>
    <n v="1085841"/>
    <n v="2024375"/>
    <n v="139122"/>
    <n v="18859"/>
    <n v="11433"/>
    <n v="15.602100123314555"/>
    <n v="449938"/>
    <n v="952252"/>
    <n v="111.6407149429477"/>
    <d v="2025-03-29T00:00:00"/>
    <d v="2025-04-10T00:00:00"/>
    <x v="3"/>
    <n v="12"/>
    <x v="9"/>
    <x v="0"/>
    <n v="0.41436821781457872"/>
    <n v="0.87697185867912519"/>
  </r>
  <r>
    <s v="C0110"/>
    <x v="2"/>
    <x v="2"/>
    <x v="2"/>
    <n v="1577395"/>
    <n v="496395"/>
    <n v="674504"/>
    <n v="34529"/>
    <n v="2359"/>
    <n v="1616"/>
    <n v="7.7567259944197664"/>
    <n v="95394"/>
    <n v="286699"/>
    <n v="200.54196280688515"/>
    <d v="2025-05-29T00:00:00"/>
    <d v="2025-06-13T00:00:00"/>
    <x v="4"/>
    <n v="15"/>
    <x v="4"/>
    <x v="0"/>
    <n v="0.19217357145015562"/>
    <n v="0.57756222363238952"/>
  </r>
  <r>
    <s v="C0111"/>
    <x v="4"/>
    <x v="3"/>
    <x v="5"/>
    <n v="166906"/>
    <n v="91013"/>
    <n v="267350"/>
    <n v="5784"/>
    <n v="478"/>
    <n v="361"/>
    <n v="7.2769824091063917"/>
    <n v="162031"/>
    <n v="560511"/>
    <n v="245.92824829816516"/>
    <d v="2025-12-21T00:00:00"/>
    <d v="2026-01-01T00:00:00"/>
    <x v="7"/>
    <n v="11"/>
    <x v="5"/>
    <x v="0"/>
    <n v="1.7803061101161373"/>
    <n v="6.1585817410699573"/>
  </r>
  <r>
    <s v="C0112"/>
    <x v="4"/>
    <x v="1"/>
    <x v="3"/>
    <n v="1263482"/>
    <n v="1003495"/>
    <n v="1777670"/>
    <n v="80905"/>
    <n v="6529"/>
    <n v="4606"/>
    <n v="9.1719440555259357"/>
    <n v="295167"/>
    <n v="829902"/>
    <n v="181.16354470520076"/>
    <d v="2025-04-17T00:00:00"/>
    <d v="2025-05-13T00:00:00"/>
    <x v="2"/>
    <n v="26"/>
    <x v="2"/>
    <x v="0"/>
    <n v="0.29413898425004609"/>
    <n v="0.82701159447730188"/>
  </r>
  <r>
    <s v="C0113"/>
    <x v="0"/>
    <x v="1"/>
    <x v="2"/>
    <n v="1153743"/>
    <n v="909501"/>
    <n v="1637635"/>
    <n v="42406"/>
    <n v="5940"/>
    <n v="1564"/>
    <n v="5.4876245325733564"/>
    <n v="405196"/>
    <n v="457440"/>
    <n v="12.893513262717301"/>
    <d v="2026-04-26T00:00:00"/>
    <d v="2026-05-09T00:00:00"/>
    <x v="0"/>
    <n v="13"/>
    <x v="2"/>
    <x v="1"/>
    <n v="0.4455146283511508"/>
    <n v="0.50295711604495208"/>
  </r>
  <r>
    <s v="C0114"/>
    <x v="12"/>
    <x v="1"/>
    <x v="2"/>
    <n v="1838082"/>
    <n v="1189861"/>
    <n v="1801476"/>
    <n v="52300"/>
    <n v="6179"/>
    <n v="4225"/>
    <n v="5.2698592524673051"/>
    <n v="253808"/>
    <n v="479602"/>
    <n v="88.962522851919559"/>
    <d v="2025-04-27T00:00:00"/>
    <d v="2025-05-08T00:00:00"/>
    <x v="2"/>
    <n v="11"/>
    <x v="2"/>
    <x v="0"/>
    <n v="0.21330894953276056"/>
    <n v="0.40307397250603222"/>
  </r>
  <r>
    <s v="C0115"/>
    <x v="4"/>
    <x v="3"/>
    <x v="4"/>
    <n v="1257775"/>
    <n v="561345"/>
    <n v="1325233"/>
    <n v="44385"/>
    <n v="4325"/>
    <n v="3903"/>
    <n v="9.3726674326839987"/>
    <n v="383343"/>
    <n v="1475542"/>
    <n v="284.91429346564303"/>
    <d v="2025-11-22T00:00:00"/>
    <d v="2025-12-21T00:00:00"/>
    <x v="2"/>
    <n v="29"/>
    <x v="6"/>
    <x v="0"/>
    <n v="0.68290088982711172"/>
    <n v="2.6285831351486162"/>
  </r>
  <r>
    <s v="C0116"/>
    <x v="8"/>
    <x v="1"/>
    <x v="6"/>
    <n v="1122639"/>
    <n v="943573"/>
    <n v="1634296"/>
    <n v="90921"/>
    <n v="3600"/>
    <n v="5062"/>
    <n v="10.553820425128739"/>
    <n v="420520"/>
    <n v="1984189"/>
    <n v="371.84176733567961"/>
    <d v="2025-10-12T00:00:00"/>
    <d v="2025-11-08T00:00:00"/>
    <x v="3"/>
    <n v="27"/>
    <x v="8"/>
    <x v="0"/>
    <n v="0.44566769078810015"/>
    <n v="2.1028463086586835"/>
  </r>
  <r>
    <s v="C0117"/>
    <x v="4"/>
    <x v="1"/>
    <x v="7"/>
    <n v="1241861"/>
    <n v="479126"/>
    <n v="580857"/>
    <n v="45241"/>
    <n v="5155"/>
    <n v="1133"/>
    <n v="10.754791015307038"/>
    <n v="12324"/>
    <n v="50688"/>
    <n v="311.29503407984419"/>
    <d v="2025-09-09T00:00:00"/>
    <d v="2025-10-09T00:00:00"/>
    <x v="2"/>
    <n v="30"/>
    <x v="11"/>
    <x v="0"/>
    <n v="2.5721835174880928E-2"/>
    <n v="0.10579263074848787"/>
  </r>
  <r>
    <s v="C0118"/>
    <x v="13"/>
    <x v="3"/>
    <x v="5"/>
    <n v="1917997"/>
    <n v="782127"/>
    <n v="1417185"/>
    <n v="91504"/>
    <n v="10548"/>
    <n v="5945"/>
    <n v="13.808115561794951"/>
    <n v="393402"/>
    <n v="734548"/>
    <n v="86.716895186094632"/>
    <d v="2025-05-12T00:00:00"/>
    <d v="2025-05-23T00:00:00"/>
    <x v="3"/>
    <n v="11"/>
    <x v="4"/>
    <x v="0"/>
    <n v="0.50298992363132844"/>
    <n v="0.93916716850332493"/>
  </r>
  <r>
    <s v="C0119"/>
    <x v="0"/>
    <x v="4"/>
    <x v="2"/>
    <n v="937483"/>
    <n v="818266"/>
    <n v="1676473"/>
    <n v="54061"/>
    <n v="5698"/>
    <n v="5123"/>
    <n v="7.9292063949864708"/>
    <n v="59916"/>
    <n v="82941"/>
    <n v="38.42880032044863"/>
    <d v="2025-12-25T00:00:00"/>
    <d v="2026-01-19T00:00:00"/>
    <x v="2"/>
    <n v="25"/>
    <x v="5"/>
    <x v="0"/>
    <n v="7.3223132819889861E-2"/>
    <n v="0.10136190431962222"/>
  </r>
  <r>
    <s v="C0120"/>
    <x v="13"/>
    <x v="1"/>
    <x v="6"/>
    <n v="531707"/>
    <n v="333707"/>
    <n v="426047"/>
    <n v="42371"/>
    <n v="2605"/>
    <n v="1693"/>
    <n v="13.985022789453023"/>
    <n v="144068"/>
    <n v="330305"/>
    <n v="129.27020573618015"/>
    <d v="2025-02-08T00:00:00"/>
    <d v="2025-03-09T00:00:00"/>
    <x v="3"/>
    <n v="29"/>
    <x v="1"/>
    <x v="0"/>
    <n v="0.43172004183310508"/>
    <n v="0.98980542811508299"/>
  </r>
  <r>
    <s v="C0121"/>
    <x v="6"/>
    <x v="0"/>
    <x v="3"/>
    <n v="307527"/>
    <n v="109009"/>
    <n v="275215"/>
    <n v="13293"/>
    <n v="1128"/>
    <n v="731"/>
    <n v="13.899769743782622"/>
    <n v="339329"/>
    <n v="508883"/>
    <n v="49.967435733462217"/>
    <d v="2025-05-10T00:00:00"/>
    <d v="2025-05-29T00:00:00"/>
    <x v="4"/>
    <n v="19"/>
    <x v="4"/>
    <x v="0"/>
    <n v="3.1128530671779395"/>
    <n v="4.6682659229971835"/>
  </r>
  <r>
    <s v="C0122"/>
    <x v="11"/>
    <x v="0"/>
    <x v="1"/>
    <n v="925619"/>
    <n v="365903"/>
    <n v="617497"/>
    <n v="19300"/>
    <n v="595"/>
    <n v="1010"/>
    <n v="5.7132628046230831"/>
    <n v="415706"/>
    <n v="1117286"/>
    <n v="168.76831222065593"/>
    <d v="2025-02-01T00:00:00"/>
    <d v="2025-02-24T00:00:00"/>
    <x v="5"/>
    <n v="23"/>
    <x v="1"/>
    <x v="0"/>
    <n v="1.136109843319131"/>
    <n v="3.0535032508615672"/>
  </r>
  <r>
    <s v="C0123"/>
    <x v="9"/>
    <x v="1"/>
    <x v="6"/>
    <n v="537938"/>
    <n v="392106"/>
    <n v="1171839"/>
    <n v="54392"/>
    <n v="3349"/>
    <n v="5213"/>
    <n v="16.055352379203583"/>
    <n v="291777"/>
    <n v="809861"/>
    <n v="177.56163097159819"/>
    <d v="2025-08-22T00:00:00"/>
    <d v="2025-09-09T00:00:00"/>
    <x v="1"/>
    <n v="18"/>
    <x v="3"/>
    <x v="0"/>
    <n v="0.74412786338388093"/>
    <n v="2.0654134341224055"/>
  </r>
  <r>
    <s v="C0124"/>
    <x v="5"/>
    <x v="1"/>
    <x v="7"/>
    <n v="1850064"/>
    <n v="496253"/>
    <n v="814454"/>
    <n v="28865"/>
    <n v="2982"/>
    <n v="1651"/>
    <n v="6.7501858930827625"/>
    <n v="271170"/>
    <n v="530368"/>
    <n v="95.585057344101486"/>
    <d v="2026-01-18T00:00:00"/>
    <d v="2026-02-07T00:00:00"/>
    <x v="7"/>
    <n v="20"/>
    <x v="10"/>
    <x v="1"/>
    <n v="0.54643498376836008"/>
    <n v="1.0687451763515787"/>
  </r>
  <r>
    <s v="C0125"/>
    <x v="14"/>
    <x v="4"/>
    <x v="4"/>
    <n v="1196288"/>
    <n v="373637"/>
    <n v="941490"/>
    <n v="50726"/>
    <n v="2999"/>
    <n v="1457"/>
    <n v="14.768879955678907"/>
    <n v="20932"/>
    <n v="86413"/>
    <n v="312.82725014332124"/>
    <d v="2025-02-05T00:00:00"/>
    <d v="2025-02-18T00:00:00"/>
    <x v="7"/>
    <n v="13"/>
    <x v="1"/>
    <x v="0"/>
    <n v="5.6022289013133067E-2"/>
    <n v="0.23127527520026123"/>
  </r>
  <r>
    <s v="C0126"/>
    <x v="13"/>
    <x v="2"/>
    <x v="1"/>
    <n v="915712"/>
    <n v="463190"/>
    <n v="1041171"/>
    <n v="34014"/>
    <n v="2793"/>
    <n v="2294"/>
    <n v="8.4416762019905445"/>
    <n v="457644"/>
    <n v="2013880"/>
    <n v="340.05384097682912"/>
    <d v="2025-02-06T00:00:00"/>
    <d v="2025-02-19T00:00:00"/>
    <x v="0"/>
    <n v="13"/>
    <x v="1"/>
    <x v="0"/>
    <n v="0.988026511798614"/>
    <n v="4.3478486150391848"/>
  </r>
  <r>
    <s v="C0127"/>
    <x v="8"/>
    <x v="1"/>
    <x v="2"/>
    <n v="874354"/>
    <n v="570176"/>
    <n v="1431583"/>
    <n v="32334"/>
    <n v="4592"/>
    <n v="1986"/>
    <n v="6.8245594342799425"/>
    <n v="364479"/>
    <n v="1513542"/>
    <n v="315.26178462956716"/>
    <d v="2025-02-10T00:00:00"/>
    <d v="2025-03-06T00:00:00"/>
    <x v="3"/>
    <n v="24"/>
    <x v="1"/>
    <x v="0"/>
    <n v="0.63923946290268263"/>
    <n v="2.65451720170614"/>
  </r>
  <r>
    <s v="C0128"/>
    <x v="0"/>
    <x v="4"/>
    <x v="3"/>
    <n v="1036329"/>
    <n v="834439"/>
    <n v="2498783"/>
    <n v="99263"/>
    <n v="4689"/>
    <n v="2969"/>
    <n v="12.813519022960337"/>
    <n v="465071"/>
    <n v="2009868"/>
    <n v="332.16369113533204"/>
    <d v="2025-02-13T00:00:00"/>
    <d v="2025-02-24T00:00:00"/>
    <x v="5"/>
    <n v="11"/>
    <x v="1"/>
    <x v="0"/>
    <n v="0.55734571370705344"/>
    <n v="2.4086458087409626"/>
  </r>
  <r>
    <s v="C0129"/>
    <x v="11"/>
    <x v="0"/>
    <x v="4"/>
    <n v="124287"/>
    <n v="35011"/>
    <n v="46112"/>
    <n v="3156"/>
    <n v="420"/>
    <n v="179"/>
    <n v="10.725200651223901"/>
    <n v="298758"/>
    <n v="575994"/>
    <n v="92.796176169341066"/>
    <d v="2026-02-01T00:00:00"/>
    <d v="2026-02-10T00:00:00"/>
    <x v="0"/>
    <n v="9"/>
    <x v="1"/>
    <x v="1"/>
    <n v="8.5332609751221042"/>
    <n v="16.451800862586044"/>
  </r>
  <r>
    <s v="C0130"/>
    <x v="11"/>
    <x v="4"/>
    <x v="2"/>
    <n v="1884996"/>
    <n v="577615"/>
    <n v="1107347"/>
    <n v="49671"/>
    <n v="5462"/>
    <n v="3541"/>
    <n v="10.157977199345584"/>
    <n v="297476"/>
    <n v="730115"/>
    <n v="145.43660665062055"/>
    <d v="2025-08-19T00:00:00"/>
    <d v="2025-08-29T00:00:00"/>
    <x v="4"/>
    <n v="10"/>
    <x v="3"/>
    <x v="0"/>
    <n v="0.51500740112358578"/>
    <n v="1.2640166893172788"/>
  </r>
  <r>
    <s v="C0131"/>
    <x v="1"/>
    <x v="3"/>
    <x v="5"/>
    <n v="1767225"/>
    <n v="1230211"/>
    <n v="2093992"/>
    <n v="105392"/>
    <n v="13155"/>
    <n v="8038"/>
    <n v="10.289698271272165"/>
    <n v="20438"/>
    <n v="95355"/>
    <n v="366.55739309130053"/>
    <d v="2026-03-03T00:00:00"/>
    <d v="2026-03-11T00:00:00"/>
    <x v="3"/>
    <n v="8"/>
    <x v="9"/>
    <x v="1"/>
    <n v="1.6613410219872851E-2"/>
    <n v="7.7511093625402469E-2"/>
  </r>
  <r>
    <s v="C0132"/>
    <x v="1"/>
    <x v="3"/>
    <x v="6"/>
    <n v="861576"/>
    <n v="425358"/>
    <n v="1067912"/>
    <n v="36035"/>
    <n v="3327"/>
    <n v="3057"/>
    <n v="9.9725407774157304"/>
    <n v="223359"/>
    <n v="823459"/>
    <n v="268.67061546658067"/>
    <d v="2025-05-20T00:00:00"/>
    <d v="2025-05-30T00:00:00"/>
    <x v="3"/>
    <n v="10"/>
    <x v="4"/>
    <x v="0"/>
    <n v="0.52510826174657588"/>
    <n v="1.9359198604469647"/>
  </r>
  <r>
    <s v="C0133"/>
    <x v="12"/>
    <x v="2"/>
    <x v="2"/>
    <n v="940652"/>
    <n v="827971"/>
    <n v="2312941"/>
    <n v="25111"/>
    <n v="2622"/>
    <n v="1496"/>
    <n v="3.53019610590226"/>
    <n v="407895"/>
    <n v="1625155"/>
    <n v="298.42483972590986"/>
    <d v="2025-08-27T00:00:00"/>
    <d v="2025-09-05T00:00:00"/>
    <x v="4"/>
    <n v="9"/>
    <x v="3"/>
    <x v="0"/>
    <n v="0.49264406603612926"/>
    <n v="1.9628163305236537"/>
  </r>
  <r>
    <s v="C0134"/>
    <x v="11"/>
    <x v="3"/>
    <x v="0"/>
    <n v="1751093"/>
    <n v="1409624"/>
    <n v="2917086"/>
    <n v="192792"/>
    <n v="15988"/>
    <n v="19108"/>
    <n v="16.166580591703887"/>
    <n v="175981"/>
    <n v="609001"/>
    <n v="246.06065427517746"/>
    <d v="2025-06-25T00:00:00"/>
    <d v="2025-07-15T00:00:00"/>
    <x v="7"/>
    <n v="20"/>
    <x v="0"/>
    <x v="0"/>
    <n v="0.12484251119447455"/>
    <n v="0.43203081105316027"/>
  </r>
  <r>
    <s v="C0135"/>
    <x v="14"/>
    <x v="2"/>
    <x v="0"/>
    <n v="1870501"/>
    <n v="714206"/>
    <n v="1665661"/>
    <n v="33192"/>
    <n v="2023"/>
    <n v="2909"/>
    <n v="5.3379557158578894"/>
    <n v="317057"/>
    <n v="378129"/>
    <n v="19.262151600500857"/>
    <d v="2025-10-03T00:00:00"/>
    <d v="2025-10-30T00:00:00"/>
    <x v="3"/>
    <n v="27"/>
    <x v="8"/>
    <x v="0"/>
    <n v="0.44392934251462463"/>
    <n v="0.5294396854688983"/>
  </r>
  <r>
    <s v="C0136"/>
    <x v="9"/>
    <x v="0"/>
    <x v="0"/>
    <n v="1652789"/>
    <n v="1389611"/>
    <n v="1770610"/>
    <n v="205239"/>
    <n v="29834"/>
    <n v="6833"/>
    <n v="17.408181138462492"/>
    <n v="194997"/>
    <n v="735844"/>
    <n v="277.36170300055898"/>
    <d v="2025-11-20T00:00:00"/>
    <d v="2025-12-19T00:00:00"/>
    <x v="5"/>
    <n v="29"/>
    <x v="6"/>
    <x v="0"/>
    <n v="0.14032488228720125"/>
    <n v="0.52953236553251237"/>
  </r>
  <r>
    <s v="C0137"/>
    <x v="9"/>
    <x v="0"/>
    <x v="0"/>
    <n v="871356"/>
    <n v="580363"/>
    <n v="1513514"/>
    <n v="64606"/>
    <n v="4354"/>
    <n v="4083"/>
    <n v="12.585743750032307"/>
    <n v="295574"/>
    <n v="923840"/>
    <n v="212.55793811363651"/>
    <d v="2025-06-30T00:00:00"/>
    <d v="2025-07-17T00:00:00"/>
    <x v="0"/>
    <n v="17"/>
    <x v="0"/>
    <x v="0"/>
    <n v="0.50929159853402095"/>
    <n v="1.5918313193639153"/>
  </r>
  <r>
    <s v="C0138"/>
    <x v="6"/>
    <x v="3"/>
    <x v="6"/>
    <n v="452461"/>
    <n v="241554"/>
    <n v="698648"/>
    <n v="5104"/>
    <n v="205"/>
    <n v="325"/>
    <n v="2.332397724732358"/>
    <n v="101330"/>
    <n v="436373"/>
    <n v="330.64541596763053"/>
    <d v="2026-01-10T00:00:00"/>
    <d v="2026-02-02T00:00:00"/>
    <x v="6"/>
    <n v="23"/>
    <x v="10"/>
    <x v="1"/>
    <n v="0.41949212184439089"/>
    <n v="1.8065235930682166"/>
  </r>
  <r>
    <s v="C0139"/>
    <x v="6"/>
    <x v="0"/>
    <x v="0"/>
    <n v="311692"/>
    <n v="215510"/>
    <n v="414766"/>
    <n v="32116"/>
    <n v="3854"/>
    <n v="2741"/>
    <n v="17.962507540253352"/>
    <n v="106374"/>
    <n v="509568"/>
    <n v="379.03435049918215"/>
    <d v="2025-04-23T00:00:00"/>
    <d v="2025-05-17T00:00:00"/>
    <x v="3"/>
    <n v="24"/>
    <x v="2"/>
    <x v="0"/>
    <n v="0.49359194468934159"/>
    <n v="2.3644749663588698"/>
  </r>
  <r>
    <s v="C0140"/>
    <x v="11"/>
    <x v="2"/>
    <x v="0"/>
    <n v="1779393"/>
    <n v="1004925"/>
    <n v="2319906"/>
    <n v="73721"/>
    <n v="9736"/>
    <n v="3099"/>
    <n v="8.6131800880662723"/>
    <n v="236001"/>
    <n v="796099"/>
    <n v="237.32865538705346"/>
    <d v="2025-08-01T00:00:00"/>
    <d v="2025-08-25T00:00:00"/>
    <x v="5"/>
    <n v="24"/>
    <x v="3"/>
    <x v="0"/>
    <n v="0.2348443913724905"/>
    <n v="0.79219742766873147"/>
  </r>
  <r>
    <s v="C0141"/>
    <x v="10"/>
    <x v="2"/>
    <x v="3"/>
    <n v="1624654"/>
    <n v="1182024"/>
    <n v="1608313"/>
    <n v="94157"/>
    <n v="5879"/>
    <n v="4363"/>
    <n v="8.8322233727910771"/>
    <n v="120806"/>
    <n v="290775"/>
    <n v="140.69582636624008"/>
    <d v="2026-01-07T00:00:00"/>
    <d v="2026-02-01T00:00:00"/>
    <x v="7"/>
    <n v="25"/>
    <x v="10"/>
    <x v="1"/>
    <n v="0.102202662551691"/>
    <n v="0.24599754319709244"/>
  </r>
  <r>
    <s v="C0142"/>
    <x v="13"/>
    <x v="0"/>
    <x v="7"/>
    <n v="276906"/>
    <n v="155460"/>
    <n v="354401"/>
    <n v="15025"/>
    <n v="2249"/>
    <n v="1197"/>
    <n v="11.881512929370899"/>
    <n v="188276"/>
    <n v="269648"/>
    <n v="43.219528776901996"/>
    <d v="2025-03-02T00:00:00"/>
    <d v="2025-03-29T00:00:00"/>
    <x v="3"/>
    <n v="27"/>
    <x v="9"/>
    <x v="0"/>
    <n v="1.2110896693683262"/>
    <n v="1.7345169175350572"/>
  </r>
  <r>
    <s v="C0143"/>
    <x v="12"/>
    <x v="1"/>
    <x v="1"/>
    <n v="1044975"/>
    <n v="530577"/>
    <n v="1188800"/>
    <n v="15858"/>
    <n v="699"/>
    <n v="671"/>
    <n v="3.2470310624094147"/>
    <n v="225386"/>
    <n v="743550"/>
    <n v="229.90070368168384"/>
    <d v="2026-02-27T00:00:00"/>
    <d v="2026-03-19T00:00:00"/>
    <x v="4"/>
    <n v="20"/>
    <x v="1"/>
    <x v="1"/>
    <n v="0.42479413921070835"/>
    <n v="1.4013988544546785"/>
  </r>
  <r>
    <s v="C0144"/>
    <x v="5"/>
    <x v="1"/>
    <x v="6"/>
    <n v="1935350"/>
    <n v="841065"/>
    <n v="1221566"/>
    <n v="88276"/>
    <n v="3689"/>
    <n v="5805"/>
    <n v="11.62454744877031"/>
    <n v="106412"/>
    <n v="317604"/>
    <n v="198.46633838288915"/>
    <d v="2025-12-13T00:00:00"/>
    <d v="2025-12-23T00:00:00"/>
    <x v="2"/>
    <n v="10"/>
    <x v="5"/>
    <x v="0"/>
    <n v="0.12652054240754282"/>
    <n v="0.3776212302259635"/>
  </r>
  <r>
    <s v="C0145"/>
    <x v="8"/>
    <x v="2"/>
    <x v="0"/>
    <n v="110329"/>
    <n v="63800"/>
    <n v="169347"/>
    <n v="4070"/>
    <n v="533"/>
    <n v="113"/>
    <n v="7.391849529780564"/>
    <n v="23723"/>
    <n v="108769"/>
    <n v="358.49597437086373"/>
    <d v="2026-03-27T00:00:00"/>
    <d v="2026-04-08T00:00:00"/>
    <x v="1"/>
    <n v="12"/>
    <x v="9"/>
    <x v="1"/>
    <n v="0.37183385579937306"/>
    <n v="1.7048432601880879"/>
  </r>
  <r>
    <s v="C0146"/>
    <x v="5"/>
    <x v="1"/>
    <x v="0"/>
    <n v="57115"/>
    <n v="22174"/>
    <n v="44438"/>
    <n v="1933"/>
    <n v="215"/>
    <n v="65"/>
    <n v="9.9801569405610184"/>
    <n v="385137"/>
    <n v="1031052"/>
    <n v="167.71045108623684"/>
    <d v="2025-07-17T00:00:00"/>
    <d v="2025-08-10T00:00:00"/>
    <x v="4"/>
    <n v="24"/>
    <x v="7"/>
    <x v="0"/>
    <n v="17.368855416253268"/>
    <n v="46.498241183367909"/>
  </r>
  <r>
    <s v="C0147"/>
    <x v="12"/>
    <x v="1"/>
    <x v="5"/>
    <n v="1463908"/>
    <n v="595622"/>
    <n v="1424918"/>
    <n v="63865"/>
    <n v="5026"/>
    <n v="2144"/>
    <n v="11.926188085732225"/>
    <n v="248589"/>
    <n v="383044"/>
    <n v="54.087268543660414"/>
    <d v="2025-04-25T00:00:00"/>
    <d v="2025-05-21T00:00:00"/>
    <x v="5"/>
    <n v="26"/>
    <x v="2"/>
    <x v="0"/>
    <n v="0.41736033927558081"/>
    <n v="0.64309914677429647"/>
  </r>
  <r>
    <s v="C0148"/>
    <x v="10"/>
    <x v="4"/>
    <x v="4"/>
    <n v="924686"/>
    <n v="328980"/>
    <n v="399378"/>
    <n v="47853"/>
    <n v="2247"/>
    <n v="2141"/>
    <n v="15.879688734877501"/>
    <n v="179421"/>
    <n v="462669"/>
    <n v="157.8678081161068"/>
    <d v="2025-06-23T00:00:00"/>
    <d v="2025-07-16T00:00:00"/>
    <x v="4"/>
    <n v="23"/>
    <x v="0"/>
    <x v="0"/>
    <n v="0.54538573773481669"/>
    <n v="1.4063742476746306"/>
  </r>
  <r>
    <s v="C0149"/>
    <x v="13"/>
    <x v="4"/>
    <x v="2"/>
    <n v="1570849"/>
    <n v="545927"/>
    <n v="1465382"/>
    <n v="78300"/>
    <n v="4980"/>
    <n v="6221"/>
    <n v="16.394316456229497"/>
    <n v="378818"/>
    <n v="1562330"/>
    <n v="312.42232417678144"/>
    <d v="2025-10-07T00:00:00"/>
    <d v="2025-10-29T00:00:00"/>
    <x v="1"/>
    <n v="22"/>
    <x v="8"/>
    <x v="0"/>
    <n v="0.69389863479915814"/>
    <n v="2.8617928770696448"/>
  </r>
  <r>
    <s v="C0150"/>
    <x v="9"/>
    <x v="4"/>
    <x v="4"/>
    <n v="1966558"/>
    <n v="782455"/>
    <n v="1762615"/>
    <n v="39802"/>
    <n v="4032"/>
    <n v="3574"/>
    <n v="6.0588787853614585"/>
    <n v="136096"/>
    <n v="512183"/>
    <n v="276.33949565012932"/>
    <d v="2025-09-12T00:00:00"/>
    <d v="2025-10-10T00:00:00"/>
    <x v="2"/>
    <n v="28"/>
    <x v="11"/>
    <x v="0"/>
    <n v="0.17393460326791957"/>
    <n v="0.65458460869954183"/>
  </r>
  <r>
    <s v="C0151"/>
    <x v="11"/>
    <x v="4"/>
    <x v="3"/>
    <n v="1198012"/>
    <n v="885506"/>
    <n v="2182946"/>
    <n v="81161"/>
    <n v="5701"/>
    <n v="7553"/>
    <n v="10.662265416609261"/>
    <n v="440482"/>
    <n v="1101181"/>
    <n v="149.99455142321366"/>
    <d v="2026-03-10T00:00:00"/>
    <d v="2026-03-21T00:00:00"/>
    <x v="0"/>
    <n v="11"/>
    <x v="9"/>
    <x v="1"/>
    <n v="0.49743536463897475"/>
    <n v="1.2435613084496322"/>
  </r>
  <r>
    <s v="C0152"/>
    <x v="2"/>
    <x v="1"/>
    <x v="3"/>
    <n v="1629231"/>
    <n v="963834"/>
    <n v="1149759"/>
    <n v="119711"/>
    <n v="12723"/>
    <n v="3189"/>
    <n v="14.071198982397384"/>
    <n v="96110"/>
    <n v="373059"/>
    <n v="288.15836021225675"/>
    <d v="2025-05-07T00:00:00"/>
    <d v="2025-05-21T00:00:00"/>
    <x v="5"/>
    <n v="14"/>
    <x v="4"/>
    <x v="0"/>
    <n v="9.9716341195683081E-2"/>
    <n v="0.3870573148488225"/>
  </r>
  <r>
    <s v="C0153"/>
    <x v="13"/>
    <x v="0"/>
    <x v="3"/>
    <n v="1038878"/>
    <n v="758447"/>
    <n v="2171488"/>
    <n v="87195"/>
    <n v="5669"/>
    <n v="8531"/>
    <n v="13.36876538505657"/>
    <n v="103502"/>
    <n v="201297"/>
    <n v="94.486096887016686"/>
    <d v="2025-11-16T00:00:00"/>
    <d v="2025-12-05T00:00:00"/>
    <x v="3"/>
    <n v="19"/>
    <x v="6"/>
    <x v="0"/>
    <n v="0.13646569898753638"/>
    <n v="0.26540681155044454"/>
  </r>
  <r>
    <s v="C0154"/>
    <x v="13"/>
    <x v="4"/>
    <x v="2"/>
    <n v="1783462"/>
    <n v="1457265"/>
    <n v="1952374"/>
    <n v="48427"/>
    <n v="7262"/>
    <n v="2845"/>
    <n v="4.0167025215043246"/>
    <n v="345502"/>
    <n v="842400"/>
    <n v="143.81913852886527"/>
    <d v="2026-03-15T00:00:00"/>
    <d v="2026-03-23T00:00:00"/>
    <x v="2"/>
    <n v="8"/>
    <x v="9"/>
    <x v="1"/>
    <n v="0.23708934202084042"/>
    <n v="0.57806919125896805"/>
  </r>
  <r>
    <s v="C0155"/>
    <x v="11"/>
    <x v="1"/>
    <x v="4"/>
    <n v="905613"/>
    <n v="336146"/>
    <n v="955897"/>
    <n v="33856"/>
    <n v="1273"/>
    <n v="1377"/>
    <n v="10.860161953436899"/>
    <n v="250838"/>
    <n v="307969"/>
    <n v="22.776054664763713"/>
    <d v="2025-12-15T00:00:00"/>
    <d v="2025-12-24T00:00:00"/>
    <x v="0"/>
    <n v="9"/>
    <x v="5"/>
    <x v="0"/>
    <n v="0.74621741743171122"/>
    <n v="0.91617630434394581"/>
  </r>
  <r>
    <s v="C0156"/>
    <x v="12"/>
    <x v="3"/>
    <x v="3"/>
    <n v="1290432"/>
    <n v="952527"/>
    <n v="1735864"/>
    <n v="128303"/>
    <n v="5138"/>
    <n v="5147"/>
    <n v="14.549508832820488"/>
    <n v="189409"/>
    <n v="289380"/>
    <n v="52.780490895363997"/>
    <d v="2025-01-16T00:00:00"/>
    <d v="2025-01-30T00:00:00"/>
    <x v="1"/>
    <n v="14"/>
    <x v="10"/>
    <x v="0"/>
    <n v="0.1988489565125188"/>
    <n v="0.30380241190013513"/>
  </r>
  <r>
    <s v="C0157"/>
    <x v="12"/>
    <x v="1"/>
    <x v="1"/>
    <n v="63789"/>
    <n v="24586"/>
    <n v="29040"/>
    <n v="2895"/>
    <n v="273"/>
    <n v="111"/>
    <n v="13.336858374684779"/>
    <n v="389820"/>
    <n v="1752989"/>
    <n v="349.69190908624495"/>
    <d v="2025-06-22T00:00:00"/>
    <d v="2025-07-11T00:00:00"/>
    <x v="4"/>
    <n v="19"/>
    <x v="0"/>
    <x v="0"/>
    <n v="15.855364841779874"/>
    <n v="71.300292849589198"/>
  </r>
  <r>
    <s v="C0158"/>
    <x v="7"/>
    <x v="3"/>
    <x v="4"/>
    <n v="479472"/>
    <n v="191029"/>
    <n v="272617"/>
    <n v="26130"/>
    <n v="1695"/>
    <n v="748"/>
    <n v="14.957414842772563"/>
    <n v="395429"/>
    <n v="705640"/>
    <n v="78.449228559362112"/>
    <d v="2025-04-29T00:00:00"/>
    <d v="2025-05-27T00:00:00"/>
    <x v="3"/>
    <n v="28"/>
    <x v="2"/>
    <x v="0"/>
    <n v="2.0699946081485012"/>
    <n v="3.6938894094613905"/>
  </r>
  <r>
    <s v="C0159"/>
    <x v="13"/>
    <x v="4"/>
    <x v="2"/>
    <n v="920157"/>
    <n v="681533"/>
    <n v="1046376"/>
    <n v="101243"/>
    <n v="3692"/>
    <n v="4492"/>
    <n v="16.056009026708903"/>
    <n v="481762"/>
    <n v="1723819"/>
    <n v="257.81547735188741"/>
    <d v="2025-04-01T00:00:00"/>
    <d v="2025-04-30T00:00:00"/>
    <x v="6"/>
    <n v="29"/>
    <x v="2"/>
    <x v="0"/>
    <n v="0.70687993097913082"/>
    <n v="2.5293257993376694"/>
  </r>
  <r>
    <s v="C0160"/>
    <x v="8"/>
    <x v="2"/>
    <x v="6"/>
    <n v="171316"/>
    <n v="96797"/>
    <n v="212259"/>
    <n v="6211"/>
    <n v="343"/>
    <n v="549"/>
    <n v="7.3380373358678472"/>
    <n v="209227"/>
    <n v="617835"/>
    <n v="195.29410640118149"/>
    <d v="2025-10-02T00:00:00"/>
    <d v="2025-10-21T00:00:00"/>
    <x v="5"/>
    <n v="19"/>
    <x v="8"/>
    <x v="0"/>
    <n v="2.1615029391406759"/>
    <n v="6.3827907889707323"/>
  </r>
  <r>
    <s v="C0161"/>
    <x v="11"/>
    <x v="3"/>
    <x v="3"/>
    <n v="1144275"/>
    <n v="1012268"/>
    <n v="1867070"/>
    <n v="115566"/>
    <n v="7012"/>
    <n v="10691"/>
    <n v="13.165387031892738"/>
    <n v="14940"/>
    <n v="45726"/>
    <n v="206.06425702811245"/>
    <d v="2026-04-14T00:00:00"/>
    <d v="2026-05-02T00:00:00"/>
    <x v="1"/>
    <n v="18"/>
    <x v="2"/>
    <x v="1"/>
    <n v="1.4758937356510331E-2"/>
    <n v="4.5171831965447884E-2"/>
  </r>
  <r>
    <s v="C0162"/>
    <x v="13"/>
    <x v="3"/>
    <x v="4"/>
    <n v="1374064"/>
    <n v="641455"/>
    <n v="913301"/>
    <n v="18379"/>
    <n v="1710"/>
    <n v="708"/>
    <n v="3.2421604009634351"/>
    <n v="264486"/>
    <n v="1111869"/>
    <n v="320.388602799392"/>
    <d v="2025-09-22T00:00:00"/>
    <d v="2025-10-13T00:00:00"/>
    <x v="0"/>
    <n v="21"/>
    <x v="11"/>
    <x v="0"/>
    <n v="0.41232198673328607"/>
    <n v="1.7333546390627557"/>
  </r>
  <r>
    <s v="C0163"/>
    <x v="1"/>
    <x v="1"/>
    <x v="2"/>
    <n v="700363"/>
    <n v="362099"/>
    <n v="956070"/>
    <n v="30480"/>
    <n v="2256"/>
    <n v="2288"/>
    <n v="9.6724928817809488"/>
    <n v="241325"/>
    <n v="335944"/>
    <n v="39.208121827411169"/>
    <d v="2025-11-10T00:00:00"/>
    <d v="2025-11-27T00:00:00"/>
    <x v="6"/>
    <n v="17"/>
    <x v="6"/>
    <x v="0"/>
    <n v="0.66646138210820793"/>
    <n v="0.92776837273784241"/>
  </r>
  <r>
    <s v="C0164"/>
    <x v="0"/>
    <x v="2"/>
    <x v="6"/>
    <n v="877396"/>
    <n v="784761"/>
    <n v="1504537"/>
    <n v="52593"/>
    <n v="6400"/>
    <n v="2449"/>
    <n v="7.8293900945638217"/>
    <n v="260846"/>
    <n v="1153275"/>
    <n v="342.1286889582359"/>
    <d v="2025-06-15T00:00:00"/>
    <d v="2025-07-11T00:00:00"/>
    <x v="7"/>
    <n v="26"/>
    <x v="0"/>
    <x v="0"/>
    <n v="0.33238909680781792"/>
    <n v="1.4695875559565268"/>
  </r>
  <r>
    <s v="C0165"/>
    <x v="2"/>
    <x v="2"/>
    <x v="5"/>
    <n v="1195738"/>
    <n v="378007"/>
    <n v="454219"/>
    <n v="53703"/>
    <n v="3829"/>
    <n v="2002"/>
    <n v="15.749443793368906"/>
    <n v="397534"/>
    <n v="1623208"/>
    <n v="308.31928841306654"/>
    <d v="2026-02-03T00:00:00"/>
    <d v="2026-02-21T00:00:00"/>
    <x v="6"/>
    <n v="18"/>
    <x v="1"/>
    <x v="1"/>
    <n v="1.0516577735332944"/>
    <n v="4.2941215374318462"/>
  </r>
  <r>
    <s v="C0166"/>
    <x v="1"/>
    <x v="0"/>
    <x v="0"/>
    <n v="688981"/>
    <n v="616540"/>
    <n v="1137075"/>
    <n v="50070"/>
    <n v="3197"/>
    <n v="1058"/>
    <n v="8.8112693418107497"/>
    <n v="433599"/>
    <n v="895433"/>
    <n v="106.51177701055583"/>
    <d v="2025-08-04T00:00:00"/>
    <d v="2025-08-13T00:00:00"/>
    <x v="1"/>
    <n v="9"/>
    <x v="3"/>
    <x v="0"/>
    <n v="0.70327797061017938"/>
    <n v="1.4523518344308561"/>
  </r>
  <r>
    <s v="C0167"/>
    <x v="9"/>
    <x v="3"/>
    <x v="3"/>
    <n v="1582624"/>
    <n v="1175945"/>
    <n v="1683288"/>
    <n v="137929"/>
    <n v="20107"/>
    <n v="13317"/>
    <n v="14.571514824247734"/>
    <n v="239534"/>
    <n v="1028053"/>
    <n v="329.1887581721175"/>
    <d v="2025-01-29T00:00:00"/>
    <d v="2025-02-26T00:00:00"/>
    <x v="3"/>
    <n v="28"/>
    <x v="10"/>
    <x v="0"/>
    <n v="0.20369490069688634"/>
    <n v="0.8742356147608944"/>
  </r>
  <r>
    <s v="C0168"/>
    <x v="11"/>
    <x v="1"/>
    <x v="7"/>
    <n v="1978497"/>
    <n v="1063153"/>
    <n v="2982065"/>
    <n v="126099"/>
    <n v="5935"/>
    <n v="7467"/>
    <n v="13.121441598716272"/>
    <n v="160668"/>
    <n v="398380"/>
    <n v="147.9522991510444"/>
    <d v="2025-12-13T00:00:00"/>
    <d v="2025-12-25T00:00:00"/>
    <x v="1"/>
    <n v="12"/>
    <x v="5"/>
    <x v="0"/>
    <n v="0.15112406210583049"/>
    <n v="0.37471558656185894"/>
  </r>
  <r>
    <s v="C0169"/>
    <x v="2"/>
    <x v="3"/>
    <x v="6"/>
    <n v="165436"/>
    <n v="130976"/>
    <n v="221777"/>
    <n v="17411"/>
    <n v="787"/>
    <n v="996"/>
    <n v="14.654593207915953"/>
    <n v="252257"/>
    <n v="769083"/>
    <n v="204.88073670899124"/>
    <d v="2026-02-27T00:00:00"/>
    <d v="2026-03-29T00:00:00"/>
    <x v="3"/>
    <n v="30"/>
    <x v="1"/>
    <x v="1"/>
    <n v="1.9259788052773028"/>
    <n v="5.8719383703884684"/>
  </r>
  <r>
    <s v="C0170"/>
    <x v="10"/>
    <x v="4"/>
    <x v="5"/>
    <n v="547807"/>
    <n v="178820"/>
    <n v="414290"/>
    <n v="7757"/>
    <n v="666"/>
    <n v="392"/>
    <n v="4.9295380829884801"/>
    <n v="198932"/>
    <n v="889574"/>
    <n v="347.17491404097882"/>
    <d v="2025-10-10T00:00:00"/>
    <d v="2025-10-26T00:00:00"/>
    <x v="0"/>
    <n v="16"/>
    <x v="8"/>
    <x v="0"/>
    <n v="1.1124706408679119"/>
    <n v="4.9746896320322112"/>
  </r>
  <r>
    <s v="C0171"/>
    <x v="5"/>
    <x v="3"/>
    <x v="1"/>
    <n v="444229"/>
    <n v="276934"/>
    <n v="494471"/>
    <n v="14680"/>
    <n v="846"/>
    <n v="478"/>
    <n v="5.7789942730036756"/>
    <n v="298256"/>
    <n v="332099"/>
    <n v="11.346963682205891"/>
    <d v="2025-07-23T00:00:00"/>
    <d v="2025-08-08T00:00:00"/>
    <x v="0"/>
    <n v="16"/>
    <x v="7"/>
    <x v="0"/>
    <n v="1.0769930741620748"/>
    <n v="1.1991990871471181"/>
  </r>
  <r>
    <s v="C0172"/>
    <x v="0"/>
    <x v="0"/>
    <x v="3"/>
    <n v="987760"/>
    <n v="421104"/>
    <n v="1200869"/>
    <n v="55274"/>
    <n v="2857"/>
    <n v="2976"/>
    <n v="14.511142140658839"/>
    <n v="486092"/>
    <n v="1185580"/>
    <n v="143.90033162446616"/>
    <d v="2026-04-25T00:00:00"/>
    <d v="2026-05-06T00:00:00"/>
    <x v="5"/>
    <n v="11"/>
    <x v="2"/>
    <x v="1"/>
    <n v="1.154327672024013"/>
    <n v="2.8154090200995481"/>
  </r>
  <r>
    <s v="C0173"/>
    <x v="14"/>
    <x v="0"/>
    <x v="2"/>
    <n v="988195"/>
    <n v="555489"/>
    <n v="1596208"/>
    <n v="66784"/>
    <n v="4724"/>
    <n v="4196"/>
    <n v="13.628352676650662"/>
    <n v="431770"/>
    <n v="2075659"/>
    <n v="380.73256594946383"/>
    <d v="2025-12-18T00:00:00"/>
    <d v="2026-01-02T00:00:00"/>
    <x v="1"/>
    <n v="15"/>
    <x v="5"/>
    <x v="0"/>
    <n v="0.77727911803834104"/>
    <n v="3.7366338487350785"/>
  </r>
  <r>
    <s v="C0174"/>
    <x v="14"/>
    <x v="4"/>
    <x v="1"/>
    <n v="934900"/>
    <n v="460845"/>
    <n v="677176"/>
    <n v="41250"/>
    <n v="4715"/>
    <n v="1780"/>
    <n v="10.360316375353969"/>
    <n v="461574"/>
    <n v="1216696"/>
    <n v="163.59716968460097"/>
    <d v="2025-07-22T00:00:00"/>
    <d v="2025-07-30T00:00:00"/>
    <x v="3"/>
    <n v="8"/>
    <x v="7"/>
    <x v="0"/>
    <n v="1.0015818767698468"/>
    <n v="2.6401414792392237"/>
  </r>
  <r>
    <s v="C0175"/>
    <x v="14"/>
    <x v="4"/>
    <x v="1"/>
    <n v="972554"/>
    <n v="375985"/>
    <n v="946013"/>
    <n v="24101"/>
    <n v="3109"/>
    <n v="1837"/>
    <n v="7.7255741585435596"/>
    <n v="470807"/>
    <n v="1895831"/>
    <n v="302.67689307932977"/>
    <d v="2026-02-26T00:00:00"/>
    <d v="2026-03-13T00:00:00"/>
    <x v="5"/>
    <n v="15"/>
    <x v="1"/>
    <x v="1"/>
    <n v="1.2521962312326289"/>
    <n v="5.0423048791840097"/>
  </r>
  <r>
    <s v="C0176"/>
    <x v="7"/>
    <x v="4"/>
    <x v="2"/>
    <n v="1510888"/>
    <n v="1165155"/>
    <n v="2823255"/>
    <n v="131978"/>
    <n v="13874"/>
    <n v="8051"/>
    <n v="13.208800545850123"/>
    <n v="454951"/>
    <n v="1293284"/>
    <n v="184.26885532727698"/>
    <d v="2025-10-25T00:00:00"/>
    <d v="2025-11-09T00:00:00"/>
    <x v="5"/>
    <n v="15"/>
    <x v="8"/>
    <x v="0"/>
    <n v="0.39046392969175775"/>
    <n v="1.1099673434006634"/>
  </r>
  <r>
    <s v="C0177"/>
    <x v="7"/>
    <x v="0"/>
    <x v="7"/>
    <n v="379072"/>
    <n v="132948"/>
    <n v="255194"/>
    <n v="3960"/>
    <n v="269"/>
    <n v="79"/>
    <n v="3.2403646538496256"/>
    <n v="98400"/>
    <n v="205265"/>
    <n v="108.60264227642276"/>
    <d v="2025-01-30T00:00:00"/>
    <d v="2025-02-12T00:00:00"/>
    <x v="3"/>
    <n v="13"/>
    <x v="10"/>
    <x v="0"/>
    <n v="0.74013900171495617"/>
    <n v="1.5439495140957367"/>
  </r>
  <r>
    <s v="C0178"/>
    <x v="11"/>
    <x v="2"/>
    <x v="7"/>
    <n v="975519"/>
    <n v="475585"/>
    <n v="1289028"/>
    <n v="44242"/>
    <n v="3363"/>
    <n v="4389"/>
    <n v="10.932640852844392"/>
    <n v="256864"/>
    <n v="389338"/>
    <n v="51.573595365640955"/>
    <d v="2026-03-17T00:00:00"/>
    <d v="2026-04-05T00:00:00"/>
    <x v="7"/>
    <n v="19"/>
    <x v="9"/>
    <x v="1"/>
    <n v="0.54010113859772702"/>
    <n v="0.81865071438333836"/>
  </r>
  <r>
    <s v="C0179"/>
    <x v="4"/>
    <x v="0"/>
    <x v="2"/>
    <n v="917852"/>
    <n v="423859"/>
    <n v="656485"/>
    <n v="12933"/>
    <n v="804"/>
    <n v="1269"/>
    <n v="3.5403282695424658"/>
    <n v="245241"/>
    <n v="1219343"/>
    <n v="397.20193605473798"/>
    <d v="2025-05-27T00:00:00"/>
    <d v="2025-06-19T00:00:00"/>
    <x v="3"/>
    <n v="23"/>
    <x v="4"/>
    <x v="0"/>
    <n v="0.57859099370309464"/>
    <n v="2.8767656225301339"/>
  </r>
  <r>
    <s v="C0180"/>
    <x v="2"/>
    <x v="1"/>
    <x v="6"/>
    <n v="1541946"/>
    <n v="428152"/>
    <n v="954186"/>
    <n v="61087"/>
    <n v="4083"/>
    <n v="5618"/>
    <n v="16.533380668547618"/>
    <n v="28614"/>
    <n v="68241"/>
    <n v="138.48815265254771"/>
    <d v="2025-11-17T00:00:00"/>
    <d v="2025-12-16T00:00:00"/>
    <x v="2"/>
    <n v="29"/>
    <x v="6"/>
    <x v="0"/>
    <n v="6.6831405669014743E-2"/>
    <n v="0.1593849847717633"/>
  </r>
  <r>
    <s v="C0181"/>
    <x v="10"/>
    <x v="3"/>
    <x v="7"/>
    <n v="1911670"/>
    <n v="524398"/>
    <n v="1171894"/>
    <n v="63521"/>
    <n v="6699"/>
    <n v="4591"/>
    <n v="14.266072715761693"/>
    <n v="330068"/>
    <n v="839529"/>
    <n v="154.35031569252396"/>
    <d v="2026-05-13T00:00:00"/>
    <d v="2026-06-12T00:00:00"/>
    <x v="2"/>
    <n v="30"/>
    <x v="4"/>
    <x v="1"/>
    <n v="0.6294226903992769"/>
    <n v="1.6009386000709385"/>
  </r>
  <r>
    <s v="C0182"/>
    <x v="3"/>
    <x v="1"/>
    <x v="0"/>
    <n v="1811145"/>
    <n v="884515"/>
    <n v="1023183"/>
    <n v="100858"/>
    <n v="10371"/>
    <n v="7042"/>
    <n v="13.371282567282636"/>
    <n v="413807"/>
    <n v="1047787"/>
    <n v="153.20668814205655"/>
    <d v="2025-03-05T00:00:00"/>
    <d v="2025-03-12T00:00:00"/>
    <x v="7"/>
    <n v="7"/>
    <x v="9"/>
    <x v="0"/>
    <n v="0.46783491517950515"/>
    <n v="1.1845892946982244"/>
  </r>
  <r>
    <s v="C0183"/>
    <x v="10"/>
    <x v="3"/>
    <x v="0"/>
    <n v="180982"/>
    <n v="69366"/>
    <n v="200856"/>
    <n v="7138"/>
    <n v="220"/>
    <n v="634"/>
    <n v="11.521494680390971"/>
    <n v="197054"/>
    <n v="608296"/>
    <n v="208.69507850639928"/>
    <d v="2026-04-12T00:00:00"/>
    <d v="2026-04-22T00:00:00"/>
    <x v="3"/>
    <n v="10"/>
    <x v="2"/>
    <x v="1"/>
    <n v="2.8407865524896923"/>
    <n v="8.7693682784072884"/>
  </r>
  <r>
    <s v="C0184"/>
    <x v="2"/>
    <x v="1"/>
    <x v="5"/>
    <n v="261525"/>
    <n v="98359"/>
    <n v="293630"/>
    <n v="3963"/>
    <n v="132"/>
    <n v="98"/>
    <n v="4.2629550930773998"/>
    <n v="46424"/>
    <n v="154807"/>
    <n v="233.46329484749268"/>
    <d v="2026-03-11T00:00:00"/>
    <d v="2026-04-01T00:00:00"/>
    <x v="5"/>
    <n v="21"/>
    <x v="9"/>
    <x v="1"/>
    <n v="0.4719852784188534"/>
    <n v="1.5738976606106203"/>
  </r>
  <r>
    <s v="C0185"/>
    <x v="10"/>
    <x v="2"/>
    <x v="5"/>
    <n v="1896439"/>
    <n v="1321074"/>
    <n v="2955345"/>
    <n v="132724"/>
    <n v="13725"/>
    <n v="10238"/>
    <n v="11.860577075924589"/>
    <n v="86078"/>
    <n v="218815"/>
    <n v="154.20548804572599"/>
    <d v="2026-01-24T00:00:00"/>
    <d v="2026-02-08T00:00:00"/>
    <x v="5"/>
    <n v="15"/>
    <x v="10"/>
    <x v="1"/>
    <n v="6.5157591474815188E-2"/>
    <n v="0.16563417340739428"/>
  </r>
  <r>
    <s v="C0186"/>
    <x v="7"/>
    <x v="0"/>
    <x v="2"/>
    <n v="1085776"/>
    <n v="889042"/>
    <n v="2235770"/>
    <n v="51182"/>
    <n v="6410"/>
    <n v="1420"/>
    <n v="6.6377066550286719"/>
    <n v="381577"/>
    <n v="1030899"/>
    <n v="170.16801327124014"/>
    <d v="2025-03-26T00:00:00"/>
    <d v="2025-04-17T00:00:00"/>
    <x v="0"/>
    <n v="22"/>
    <x v="9"/>
    <x v="0"/>
    <n v="0.42920019526636538"/>
    <n v="1.1595616405074225"/>
  </r>
  <r>
    <s v="C0187"/>
    <x v="1"/>
    <x v="0"/>
    <x v="0"/>
    <n v="1693344"/>
    <n v="1044491"/>
    <n v="1239915"/>
    <n v="44459"/>
    <n v="5391"/>
    <n v="4357"/>
    <n v="5.1898005822931932"/>
    <n v="16111"/>
    <n v="25880"/>
    <n v="60.635590590279932"/>
    <d v="2025-03-31T00:00:00"/>
    <d v="2025-04-20T00:00:00"/>
    <x v="7"/>
    <n v="20"/>
    <x v="9"/>
    <x v="0"/>
    <n v="1.5424737982423975E-2"/>
    <n v="2.4777618955069983E-2"/>
  </r>
  <r>
    <s v="C0188"/>
    <x v="7"/>
    <x v="1"/>
    <x v="3"/>
    <n v="883853"/>
    <n v="365511"/>
    <n v="758615"/>
    <n v="12694"/>
    <n v="794"/>
    <n v="1222"/>
    <n v="4.0245026825458057"/>
    <n v="409380"/>
    <n v="880820"/>
    <n v="115.15950950217402"/>
    <d v="2025-04-29T00:00:00"/>
    <d v="2025-05-26T00:00:00"/>
    <x v="2"/>
    <n v="27"/>
    <x v="2"/>
    <x v="0"/>
    <n v="1.120021011679539"/>
    <n v="2.4098317150509834"/>
  </r>
  <r>
    <s v="C0189"/>
    <x v="13"/>
    <x v="4"/>
    <x v="1"/>
    <n v="938552"/>
    <n v="698157"/>
    <n v="1221649"/>
    <n v="92608"/>
    <n v="10335"/>
    <n v="8754"/>
    <n v="15.998836937823441"/>
    <n v="247979"/>
    <n v="1149225"/>
    <n v="363.43642001943715"/>
    <d v="2026-01-07T00:00:00"/>
    <d v="2026-01-17T00:00:00"/>
    <x v="2"/>
    <n v="10"/>
    <x v="10"/>
    <x v="1"/>
    <n v="0.35519088113418618"/>
    <n v="1.6460839037637667"/>
  </r>
  <r>
    <s v="C0190"/>
    <x v="4"/>
    <x v="3"/>
    <x v="0"/>
    <n v="1607251"/>
    <n v="492069"/>
    <n v="1273649"/>
    <n v="25104"/>
    <n v="1353"/>
    <n v="1767"/>
    <n v="5.735780957548636"/>
    <n v="334127"/>
    <n v="1421720"/>
    <n v="325.50287764831933"/>
    <d v="2025-03-08T00:00:00"/>
    <d v="2025-03-25T00:00:00"/>
    <x v="1"/>
    <n v="17"/>
    <x v="9"/>
    <x v="0"/>
    <n v="0.67902468962686124"/>
    <n v="2.8892695943048636"/>
  </r>
  <r>
    <s v="C0191"/>
    <x v="10"/>
    <x v="3"/>
    <x v="4"/>
    <n v="1111496"/>
    <n v="978370"/>
    <n v="2769869"/>
    <n v="44687"/>
    <n v="1436"/>
    <n v="1310"/>
    <n v="4.8481658268344292"/>
    <n v="201788"/>
    <n v="498616"/>
    <n v="147.09893551648264"/>
    <d v="2026-01-24T00:00:00"/>
    <d v="2026-02-08T00:00:00"/>
    <x v="1"/>
    <n v="15"/>
    <x v="10"/>
    <x v="1"/>
    <n v="0.20624916953708719"/>
    <n v="0.50963950243772804"/>
  </r>
  <r>
    <s v="C0192"/>
    <x v="13"/>
    <x v="3"/>
    <x v="6"/>
    <n v="506335"/>
    <n v="292088"/>
    <n v="453057"/>
    <n v="21317"/>
    <n v="2301"/>
    <n v="792"/>
    <n v="8.3570704719125732"/>
    <n v="489968"/>
    <n v="2249708"/>
    <n v="359.15406720438887"/>
    <d v="2026-03-13T00:00:00"/>
    <d v="2026-04-03T00:00:00"/>
    <x v="0"/>
    <n v="21"/>
    <x v="9"/>
    <x v="1"/>
    <n v="1.6774670647202212"/>
    <n v="7.7021582536769744"/>
  </r>
  <r>
    <s v="C0193"/>
    <x v="11"/>
    <x v="4"/>
    <x v="0"/>
    <n v="1825777"/>
    <n v="1115099"/>
    <n v="1701558"/>
    <n v="58541"/>
    <n v="4373"/>
    <n v="3518"/>
    <n v="5.9574979441287281"/>
    <n v="41378"/>
    <n v="199241"/>
    <n v="381.51433128715746"/>
    <d v="2025-06-09T00:00:00"/>
    <d v="2025-06-25T00:00:00"/>
    <x v="5"/>
    <n v="16"/>
    <x v="0"/>
    <x v="0"/>
    <n v="3.7107019197398616E-2"/>
    <n v="0.17867561534895107"/>
  </r>
  <r>
    <s v="C0194"/>
    <x v="5"/>
    <x v="2"/>
    <x v="4"/>
    <n v="244096"/>
    <n v="98073"/>
    <n v="282986"/>
    <n v="7551"/>
    <n v="670"/>
    <n v="655"/>
    <n v="9.0504012317355436"/>
    <n v="130937"/>
    <n v="457383"/>
    <n v="249.31531958117264"/>
    <d v="2025-05-25T00:00:00"/>
    <d v="2025-06-03T00:00:00"/>
    <x v="0"/>
    <n v="9"/>
    <x v="4"/>
    <x v="0"/>
    <n v="1.3350973254616458"/>
    <n v="4.6636994891560368"/>
  </r>
  <r>
    <s v="C0195"/>
    <x v="12"/>
    <x v="3"/>
    <x v="3"/>
    <n v="977102"/>
    <n v="566408"/>
    <n v="962858"/>
    <n v="84695"/>
    <n v="10906"/>
    <n v="6704"/>
    <n v="18.062068332368185"/>
    <n v="89539"/>
    <n v="301679"/>
    <n v="236.92469203363896"/>
    <d v="2025-08-23T00:00:00"/>
    <d v="2025-09-04T00:00:00"/>
    <x v="7"/>
    <n v="12"/>
    <x v="3"/>
    <x v="0"/>
    <n v="0.1580821598564992"/>
    <n v="0.53261783025663478"/>
  </r>
  <r>
    <s v="C0196"/>
    <x v="8"/>
    <x v="4"/>
    <x v="0"/>
    <n v="1916776"/>
    <n v="717363"/>
    <n v="1936568"/>
    <n v="46831"/>
    <n v="6609"/>
    <n v="2774"/>
    <n v="7.8362000828032672"/>
    <n v="166780"/>
    <n v="329418"/>
    <n v="97.516488787624411"/>
    <d v="2025-11-03T00:00:00"/>
    <d v="2025-11-16T00:00:00"/>
    <x v="6"/>
    <n v="13"/>
    <x v="6"/>
    <x v="0"/>
    <n v="0.23249038492367183"/>
    <n v="0.45920684507006915"/>
  </r>
  <r>
    <s v="C0197"/>
    <x v="11"/>
    <x v="1"/>
    <x v="3"/>
    <n v="69358"/>
    <n v="40778"/>
    <n v="110579"/>
    <n v="1087"/>
    <n v="136"/>
    <n v="24"/>
    <n v="3.0580214821717591"/>
    <n v="349710"/>
    <n v="564663"/>
    <n v="61.466071888135886"/>
    <d v="2025-08-31T00:00:00"/>
    <d v="2025-09-16T00:00:00"/>
    <x v="5"/>
    <n v="16"/>
    <x v="3"/>
    <x v="0"/>
    <n v="8.5759478149982833"/>
    <n v="13.847246064054147"/>
  </r>
  <r>
    <s v="C0198"/>
    <x v="14"/>
    <x v="0"/>
    <x v="7"/>
    <n v="1607929"/>
    <n v="581636"/>
    <n v="1507630"/>
    <n v="26567"/>
    <n v="2045"/>
    <n v="2015"/>
    <n v="5.2656644361765776"/>
    <n v="113631"/>
    <n v="380077"/>
    <n v="234.48354762344783"/>
    <d v="2025-07-11T00:00:00"/>
    <d v="2025-08-04T00:00:00"/>
    <x v="1"/>
    <n v="24"/>
    <x v="7"/>
    <x v="0"/>
    <n v="0.195364454744892"/>
    <n v="0.65346195902591997"/>
  </r>
  <r>
    <s v="C0199"/>
    <x v="12"/>
    <x v="1"/>
    <x v="4"/>
    <n v="844825"/>
    <n v="321666"/>
    <n v="668704"/>
    <n v="38799"/>
    <n v="5091"/>
    <n v="3309"/>
    <n v="14.673294659678051"/>
    <n v="16826"/>
    <n v="79771"/>
    <n v="374.09366456674195"/>
    <d v="2025-12-28T00:00:00"/>
    <d v="2026-01-08T00:00:00"/>
    <x v="2"/>
    <n v="11"/>
    <x v="5"/>
    <x v="0"/>
    <n v="5.2308916702418037E-2"/>
    <n v="0.24799326008965822"/>
  </r>
  <r>
    <s v="C0200"/>
    <x v="10"/>
    <x v="4"/>
    <x v="1"/>
    <n v="1433402"/>
    <n v="1227223"/>
    <n v="1785945"/>
    <n v="104865"/>
    <n v="10601"/>
    <n v="9853"/>
    <n v="10.211591536338545"/>
    <n v="223397"/>
    <n v="247899"/>
    <n v="10.967918100959279"/>
    <d v="2025-05-07T00:00:00"/>
    <d v="2025-06-06T00:00:00"/>
    <x v="3"/>
    <n v="30"/>
    <x v="4"/>
    <x v="0"/>
    <n v="0.18203456095591428"/>
    <n v="0.20199996251699975"/>
  </r>
  <r>
    <s v="C0201"/>
    <x v="8"/>
    <x v="4"/>
    <x v="1"/>
    <n v="533948"/>
    <n v="459867"/>
    <n v="520342"/>
    <n v="50019"/>
    <n v="6828"/>
    <n v="4337"/>
    <n v="13.304716363644269"/>
    <n v="63995"/>
    <n v="225135"/>
    <n v="251.80092194702709"/>
    <d v="2026-03-16T00:00:00"/>
    <d v="2026-04-13T00:00:00"/>
    <x v="4"/>
    <n v="28"/>
    <x v="9"/>
    <x v="1"/>
    <n v="0.13915980055102889"/>
    <n v="0.48956546131816375"/>
  </r>
  <r>
    <s v="C0202"/>
    <x v="3"/>
    <x v="3"/>
    <x v="2"/>
    <n v="92857"/>
    <n v="54499"/>
    <n v="123153"/>
    <n v="7407"/>
    <n v="720"/>
    <n v="259"/>
    <n v="15.387438301620213"/>
    <n v="105348"/>
    <n v="441520"/>
    <n v="319.10620040247562"/>
    <d v="2025-09-24T00:00:00"/>
    <d v="2025-10-01T00:00:00"/>
    <x v="4"/>
    <n v="7"/>
    <x v="11"/>
    <x v="0"/>
    <n v="1.9330262940604415"/>
    <n v="8.1014330538175017"/>
  </r>
  <r>
    <s v="C0203"/>
    <x v="0"/>
    <x v="1"/>
    <x v="4"/>
    <n v="227439"/>
    <n v="177637"/>
    <n v="455785"/>
    <n v="18137"/>
    <n v="2272"/>
    <n v="1109"/>
    <n v="12.113467351959333"/>
    <n v="342980"/>
    <n v="581807"/>
    <n v="69.632923202519095"/>
    <d v="2025-11-21T00:00:00"/>
    <d v="2025-12-01T00:00:00"/>
    <x v="4"/>
    <n v="10"/>
    <x v="6"/>
    <x v="0"/>
    <n v="1.9307914454758863"/>
    <n v="3.2752579699049185"/>
  </r>
  <r>
    <s v="C0204"/>
    <x v="3"/>
    <x v="4"/>
    <x v="4"/>
    <n v="466760"/>
    <n v="206458"/>
    <n v="249903"/>
    <n v="17903"/>
    <n v="699"/>
    <n v="1663"/>
    <n v="9.8155557062453376"/>
    <n v="450463"/>
    <n v="1347391"/>
    <n v="199.11246872662127"/>
    <d v="2025-09-27T00:00:00"/>
    <d v="2025-10-10T00:00:00"/>
    <x v="6"/>
    <n v="13"/>
    <x v="11"/>
    <x v="0"/>
    <n v="2.1818626548741147"/>
    <n v="6.5262232512181653"/>
  </r>
  <r>
    <s v="C0205"/>
    <x v="5"/>
    <x v="2"/>
    <x v="3"/>
    <n v="1867806"/>
    <n v="823853"/>
    <n v="1744136"/>
    <n v="22650"/>
    <n v="1972"/>
    <n v="1202"/>
    <n v="3.1345397783342417"/>
    <n v="475223"/>
    <n v="1278853"/>
    <n v="169.10587240095703"/>
    <d v="2025-08-10T00:00:00"/>
    <d v="2025-09-07T00:00:00"/>
    <x v="5"/>
    <n v="28"/>
    <x v="3"/>
    <x v="0"/>
    <n v="0.5768298470722325"/>
    <n v="1.5522829922328376"/>
  </r>
  <r>
    <s v="C0206"/>
    <x v="13"/>
    <x v="3"/>
    <x v="6"/>
    <n v="1175142"/>
    <n v="700199"/>
    <n v="1824546"/>
    <n v="25888"/>
    <n v="2149"/>
    <n v="1911"/>
    <n v="4.2770698044413091"/>
    <n v="18105"/>
    <n v="31098"/>
    <n v="71.764705882352942"/>
    <d v="2026-01-24T00:00:00"/>
    <d v="2026-02-17T00:00:00"/>
    <x v="1"/>
    <n v="24"/>
    <x v="10"/>
    <x v="1"/>
    <n v="2.5856934957062205E-2"/>
    <n v="4.4413088279189203E-2"/>
  </r>
  <r>
    <s v="C0207"/>
    <x v="14"/>
    <x v="3"/>
    <x v="4"/>
    <n v="665753"/>
    <n v="528909"/>
    <n v="1375402"/>
    <n v="52827"/>
    <n v="5984"/>
    <n v="4327"/>
    <n v="11.937403220591822"/>
    <n v="136030"/>
    <n v="475038"/>
    <n v="249.21561420274938"/>
    <d v="2025-07-12T00:00:00"/>
    <d v="2025-07-30T00:00:00"/>
    <x v="7"/>
    <n v="18"/>
    <x v="7"/>
    <x v="0"/>
    <n v="0.25718980013575116"/>
    <n v="0.89814694021088692"/>
  </r>
  <r>
    <s v="C0208"/>
    <x v="1"/>
    <x v="4"/>
    <x v="4"/>
    <n v="1290027"/>
    <n v="753331"/>
    <n v="1208778"/>
    <n v="100630"/>
    <n v="8556"/>
    <n v="8019"/>
    <n v="15.558234029928411"/>
    <n v="477998"/>
    <n v="1889403"/>
    <n v="295.27424800940588"/>
    <d v="2025-05-23T00:00:00"/>
    <d v="2025-06-09T00:00:00"/>
    <x v="1"/>
    <n v="17"/>
    <x v="4"/>
    <x v="0"/>
    <n v="0.6345125847734927"/>
    <n v="2.5080648479884671"/>
  </r>
  <r>
    <s v="C0209"/>
    <x v="2"/>
    <x v="1"/>
    <x v="0"/>
    <n v="1673030"/>
    <n v="508483"/>
    <n v="1496834"/>
    <n v="34039"/>
    <n v="4724"/>
    <n v="2531"/>
    <n v="8.1210187951219606"/>
    <n v="246122"/>
    <n v="918789"/>
    <n v="273.30632775615345"/>
    <d v="2025-02-12T00:00:00"/>
    <d v="2025-03-01T00:00:00"/>
    <x v="0"/>
    <n v="17"/>
    <x v="1"/>
    <x v="0"/>
    <n v="0.48403191453794914"/>
    <n v="1.8069217653294209"/>
  </r>
  <r>
    <s v="C0210"/>
    <x v="1"/>
    <x v="4"/>
    <x v="0"/>
    <n v="1314889"/>
    <n v="922966"/>
    <n v="1715269"/>
    <n v="21937"/>
    <n v="2977"/>
    <n v="910"/>
    <n v="2.7979362186689434"/>
    <n v="83730"/>
    <n v="104095"/>
    <n v="24.322226203272422"/>
    <d v="2025-02-18T00:00:00"/>
    <d v="2025-03-07T00:00:00"/>
    <x v="2"/>
    <n v="17"/>
    <x v="1"/>
    <x v="0"/>
    <n v="9.0718401327892897E-2"/>
    <n v="0.1127831361068555"/>
  </r>
  <r>
    <s v="C0211"/>
    <x v="11"/>
    <x v="2"/>
    <x v="1"/>
    <n v="1445758"/>
    <n v="447218"/>
    <n v="628700"/>
    <n v="51575"/>
    <n v="1694"/>
    <n v="2059"/>
    <n v="12.371595061021694"/>
    <n v="373498"/>
    <n v="716327"/>
    <n v="91.78871105066159"/>
    <d v="2025-03-28T00:00:00"/>
    <d v="2025-04-24T00:00:00"/>
    <x v="7"/>
    <n v="27"/>
    <x v="9"/>
    <x v="0"/>
    <n v="0.83515869218144168"/>
    <n v="1.6017400909623494"/>
  </r>
  <r>
    <s v="C0212"/>
    <x v="7"/>
    <x v="4"/>
    <x v="7"/>
    <n v="1903737"/>
    <n v="851043"/>
    <n v="2314167"/>
    <n v="19033"/>
    <n v="1058"/>
    <n v="745"/>
    <n v="2.4482899218958387"/>
    <n v="158682"/>
    <n v="354284"/>
    <n v="123.26665910437227"/>
    <d v="2025-01-08T00:00:00"/>
    <d v="2025-01-24T00:00:00"/>
    <x v="0"/>
    <n v="16"/>
    <x v="10"/>
    <x v="0"/>
    <n v="0.18645591350848312"/>
    <n v="0.41629388879292822"/>
  </r>
  <r>
    <s v="C0213"/>
    <x v="10"/>
    <x v="3"/>
    <x v="3"/>
    <n v="1839283"/>
    <n v="1048897"/>
    <n v="2561657"/>
    <n v="94555"/>
    <n v="7266"/>
    <n v="3361"/>
    <n v="10.02786736924598"/>
    <n v="93215"/>
    <n v="271036"/>
    <n v="190.76436195891219"/>
    <d v="2026-04-18T00:00:00"/>
    <d v="2026-05-11T00:00:00"/>
    <x v="0"/>
    <n v="23"/>
    <x v="2"/>
    <x v="1"/>
    <n v="8.8869545818130849E-2"/>
    <n v="0.25840096787387129"/>
  </r>
  <r>
    <s v="C0214"/>
    <x v="6"/>
    <x v="0"/>
    <x v="5"/>
    <n v="557266"/>
    <n v="466814"/>
    <n v="1330577"/>
    <n v="25627"/>
    <n v="3280"/>
    <n v="514"/>
    <n v="6.3025102074916353"/>
    <n v="413887"/>
    <n v="1111364"/>
    <n v="168.51870196454587"/>
    <d v="2025-06-16T00:00:00"/>
    <d v="2025-07-14T00:00:00"/>
    <x v="7"/>
    <n v="28"/>
    <x v="0"/>
    <x v="0"/>
    <n v="0.88662079543458427"/>
    <n v="2.3807426512486773"/>
  </r>
  <r>
    <s v="C0215"/>
    <x v="14"/>
    <x v="0"/>
    <x v="4"/>
    <n v="1949766"/>
    <n v="899119"/>
    <n v="1854676"/>
    <n v="28607"/>
    <n v="1307"/>
    <n v="2408"/>
    <n v="3.5948522943014218"/>
    <n v="158076"/>
    <n v="318982"/>
    <n v="101.79027809408132"/>
    <d v="2025-08-13T00:00:00"/>
    <d v="2025-08-20T00:00:00"/>
    <x v="7"/>
    <n v="7"/>
    <x v="3"/>
    <x v="0"/>
    <n v="0.17581210051172314"/>
    <n v="0.35477172654565192"/>
  </r>
  <r>
    <s v="C0216"/>
    <x v="11"/>
    <x v="0"/>
    <x v="1"/>
    <n v="205943"/>
    <n v="155027"/>
    <n v="282294"/>
    <n v="14417"/>
    <n v="1423"/>
    <n v="765"/>
    <n v="10.711037432189231"/>
    <n v="58006"/>
    <n v="240853"/>
    <n v="315.22083922352857"/>
    <d v="2026-04-03T00:00:00"/>
    <d v="2026-04-23T00:00:00"/>
    <x v="3"/>
    <n v="20"/>
    <x v="2"/>
    <x v="1"/>
    <n v="0.37416708057306147"/>
    <n v="1.5536196920536423"/>
  </r>
  <r>
    <s v="C0217"/>
    <x v="13"/>
    <x v="3"/>
    <x v="0"/>
    <n v="1583153"/>
    <n v="1422849"/>
    <n v="1966651"/>
    <n v="140078"/>
    <n v="17065"/>
    <n v="7718"/>
    <n v="11.586682775192589"/>
    <n v="60804"/>
    <n v="82874"/>
    <n v="36.296954147753432"/>
    <d v="2026-03-05T00:00:00"/>
    <d v="2026-03-25T00:00:00"/>
    <x v="7"/>
    <n v="20"/>
    <x v="9"/>
    <x v="1"/>
    <n v="4.2733979501689917E-2"/>
    <n v="5.8245112446928662E-2"/>
  </r>
  <r>
    <s v="C0218"/>
    <x v="6"/>
    <x v="0"/>
    <x v="7"/>
    <n v="928392"/>
    <n v="269621"/>
    <n v="667421"/>
    <n v="11587"/>
    <n v="599"/>
    <n v="345"/>
    <n v="4.6476350135931552"/>
    <n v="329184"/>
    <n v="682011"/>
    <n v="107.18230533683291"/>
    <d v="2026-03-22T00:00:00"/>
    <d v="2026-04-08T00:00:00"/>
    <x v="3"/>
    <n v="17"/>
    <x v="9"/>
    <x v="1"/>
    <n v="1.2209138012246821"/>
    <n v="2.529517359552854"/>
  </r>
  <r>
    <s v="C0219"/>
    <x v="9"/>
    <x v="1"/>
    <x v="4"/>
    <n v="508629"/>
    <n v="200631"/>
    <n v="514865"/>
    <n v="22546"/>
    <n v="2497"/>
    <n v="503"/>
    <n v="12.732827927887516"/>
    <n v="167042"/>
    <n v="617453"/>
    <n v="269.63937213395434"/>
    <d v="2025-03-29T00:00:00"/>
    <d v="2025-04-13T00:00:00"/>
    <x v="6"/>
    <n v="15"/>
    <x v="9"/>
    <x v="0"/>
    <n v="0.83258320000398744"/>
    <n v="3.0775553129875242"/>
  </r>
  <r>
    <s v="C0220"/>
    <x v="4"/>
    <x v="0"/>
    <x v="7"/>
    <n v="1431368"/>
    <n v="626069"/>
    <n v="1816338"/>
    <n v="61670"/>
    <n v="5527"/>
    <n v="4110"/>
    <n v="11.389639161178721"/>
    <n v="227368"/>
    <n v="918370"/>
    <n v="303.91347946940641"/>
    <d v="2025-04-06T00:00:00"/>
    <d v="2025-05-03T00:00:00"/>
    <x v="1"/>
    <n v="27"/>
    <x v="2"/>
    <x v="0"/>
    <n v="0.36316763807184194"/>
    <n v="1.4668830432428375"/>
  </r>
  <r>
    <s v="C0221"/>
    <x v="10"/>
    <x v="2"/>
    <x v="2"/>
    <n v="722923"/>
    <n v="504457"/>
    <n v="928616"/>
    <n v="17714"/>
    <n v="1544"/>
    <n v="1421"/>
    <n v="4.0992592034603543"/>
    <n v="95429"/>
    <n v="208764"/>
    <n v="118.76368818702909"/>
    <d v="2025-11-02T00:00:00"/>
    <d v="2025-11-14T00:00:00"/>
    <x v="6"/>
    <n v="12"/>
    <x v="6"/>
    <x v="0"/>
    <n v="0.18917172325887044"/>
    <n v="0.41383903880806489"/>
  </r>
  <r>
    <s v="C0222"/>
    <x v="8"/>
    <x v="1"/>
    <x v="2"/>
    <n v="579945"/>
    <n v="347914"/>
    <n v="1018340"/>
    <n v="48770"/>
    <n v="1811"/>
    <n v="3324"/>
    <n v="15.493771449266196"/>
    <n v="377647"/>
    <n v="1412194"/>
    <n v="273.9455099603598"/>
    <d v="2025-10-31T00:00:00"/>
    <d v="2025-11-14T00:00:00"/>
    <x v="2"/>
    <n v="14"/>
    <x v="8"/>
    <x v="0"/>
    <n v="1.085460774789172"/>
    <n v="4.0590318297050416"/>
  </r>
  <r>
    <s v="C0223"/>
    <x v="3"/>
    <x v="4"/>
    <x v="0"/>
    <n v="635034"/>
    <n v="158865"/>
    <n v="239336"/>
    <n v="7987"/>
    <n v="376"/>
    <n v="653"/>
    <n v="5.6752588675919808"/>
    <n v="114779"/>
    <n v="451124"/>
    <n v="293.03705381646472"/>
    <d v="2025-06-10T00:00:00"/>
    <d v="2025-06-27T00:00:00"/>
    <x v="3"/>
    <n v="17"/>
    <x v="0"/>
    <x v="0"/>
    <n v="0.72249394139678347"/>
    <n v="2.8396689012683725"/>
  </r>
  <r>
    <s v="C0224"/>
    <x v="4"/>
    <x v="1"/>
    <x v="5"/>
    <n v="1860857"/>
    <n v="1099312"/>
    <n v="2541533"/>
    <n v="44809"/>
    <n v="6635"/>
    <n v="4332"/>
    <n v="5.0737188350531968"/>
    <n v="315473"/>
    <n v="1389916"/>
    <n v="340.5816028630025"/>
    <d v="2025-03-12T00:00:00"/>
    <d v="2025-04-06T00:00:00"/>
    <x v="7"/>
    <n v="25"/>
    <x v="9"/>
    <x v="0"/>
    <n v="0.28697312500909661"/>
    <n v="1.2643507939511258"/>
  </r>
  <r>
    <s v="C0225"/>
    <x v="14"/>
    <x v="1"/>
    <x v="5"/>
    <n v="978946"/>
    <n v="655596"/>
    <n v="1530875"/>
    <n v="84105"/>
    <n v="3834"/>
    <n v="6827"/>
    <n v="14.45493871225572"/>
    <n v="392307"/>
    <n v="1133683"/>
    <n v="188.97852956995413"/>
    <d v="2026-02-24T00:00:00"/>
    <d v="2026-03-12T00:00:00"/>
    <x v="1"/>
    <n v="16"/>
    <x v="1"/>
    <x v="1"/>
    <n v="0.59839748869730747"/>
    <n v="1.7292402638210118"/>
  </r>
  <r>
    <s v="C0226"/>
    <x v="4"/>
    <x v="2"/>
    <x v="0"/>
    <n v="51874"/>
    <n v="43340"/>
    <n v="55231"/>
    <n v="5657"/>
    <n v="358"/>
    <n v="358"/>
    <n v="14.704660821412091"/>
    <n v="395343"/>
    <n v="1646847"/>
    <n v="316.56156805609305"/>
    <d v="2025-09-23T00:00:00"/>
    <d v="2025-10-02T00:00:00"/>
    <x v="7"/>
    <n v="9"/>
    <x v="11"/>
    <x v="0"/>
    <n v="9.1218966312874947"/>
    <n v="37.998315643747112"/>
  </r>
  <r>
    <s v="C0227"/>
    <x v="6"/>
    <x v="0"/>
    <x v="6"/>
    <n v="778447"/>
    <n v="352593"/>
    <n v="419177"/>
    <n v="22591"/>
    <n v="1263"/>
    <n v="1275"/>
    <n v="7.1269140340279025"/>
    <n v="273558"/>
    <n v="645123"/>
    <n v="135.82677165354332"/>
    <d v="2025-05-15T00:00:00"/>
    <d v="2025-05-24T00:00:00"/>
    <x v="0"/>
    <n v="9"/>
    <x v="4"/>
    <x v="0"/>
    <n v="0.77584637244641841"/>
    <n v="1.8296534531315143"/>
  </r>
  <r>
    <s v="C0228"/>
    <x v="1"/>
    <x v="0"/>
    <x v="0"/>
    <n v="898763"/>
    <n v="246868"/>
    <n v="343319"/>
    <n v="28264"/>
    <n v="1538"/>
    <n v="2664"/>
    <n v="13.151157703712105"/>
    <n v="98917"/>
    <n v="145713"/>
    <n v="47.30834942426479"/>
    <d v="2025-10-02T00:00:00"/>
    <d v="2025-10-18T00:00:00"/>
    <x v="5"/>
    <n v="16"/>
    <x v="8"/>
    <x v="0"/>
    <n v="0.40068781697101286"/>
    <n v="0.59024660952411812"/>
  </r>
  <r>
    <s v="C0229"/>
    <x v="3"/>
    <x v="0"/>
    <x v="4"/>
    <n v="374999"/>
    <n v="295893"/>
    <n v="472467"/>
    <n v="30401"/>
    <n v="2551"/>
    <n v="1704"/>
    <n v="11.712341961452282"/>
    <n v="108465"/>
    <n v="239846"/>
    <n v="121.12755266675886"/>
    <d v="2025-05-13T00:00:00"/>
    <d v="2025-06-06T00:00:00"/>
    <x v="5"/>
    <n v="24"/>
    <x v="4"/>
    <x v="0"/>
    <n v="0.3665683203049751"/>
    <n v="0.8105835555420372"/>
  </r>
  <r>
    <s v="C0230"/>
    <x v="1"/>
    <x v="4"/>
    <x v="2"/>
    <n v="83566"/>
    <n v="64640"/>
    <n v="73521"/>
    <n v="4116"/>
    <n v="261"/>
    <n v="337"/>
    <n v="7.2926980198019802"/>
    <n v="302413"/>
    <n v="653369"/>
    <n v="116.05188930370056"/>
    <d v="2026-04-12T00:00:00"/>
    <d v="2026-05-01T00:00:00"/>
    <x v="0"/>
    <n v="19"/>
    <x v="2"/>
    <x v="1"/>
    <n v="4.6784189356435641"/>
    <n v="10.1078125"/>
  </r>
  <r>
    <s v="C0231"/>
    <x v="14"/>
    <x v="3"/>
    <x v="1"/>
    <n v="1048430"/>
    <n v="568140"/>
    <n v="636849"/>
    <n v="53712"/>
    <n v="3038"/>
    <n v="3919"/>
    <n v="10.678529939803569"/>
    <n v="90063"/>
    <n v="361299"/>
    <n v="301.16251956963458"/>
    <d v="2025-08-17T00:00:00"/>
    <d v="2025-09-14T00:00:00"/>
    <x v="0"/>
    <n v="28"/>
    <x v="3"/>
    <x v="0"/>
    <n v="0.15852254725947829"/>
    <n v="0.63593304467208789"/>
  </r>
  <r>
    <s v="C0232"/>
    <x v="4"/>
    <x v="2"/>
    <x v="4"/>
    <n v="1150577"/>
    <n v="899442"/>
    <n v="1273915"/>
    <n v="114469"/>
    <n v="5377"/>
    <n v="4965"/>
    <n v="13.876492314123645"/>
    <n v="18622"/>
    <n v="80366"/>
    <n v="331.56481580925788"/>
    <d v="2025-03-20T00:00:00"/>
    <d v="2025-04-11T00:00:00"/>
    <x v="0"/>
    <n v="22"/>
    <x v="9"/>
    <x v="0"/>
    <n v="2.0703947558597443E-2"/>
    <n v="8.9350953146506387E-2"/>
  </r>
  <r>
    <s v="C0233"/>
    <x v="9"/>
    <x v="2"/>
    <x v="5"/>
    <n v="1967190"/>
    <n v="560581"/>
    <n v="1565205"/>
    <n v="66393"/>
    <n v="2442"/>
    <n v="4196"/>
    <n v="13.027733726259004"/>
    <n v="266129"/>
    <n v="398789"/>
    <n v="49.848006042182554"/>
    <d v="2025-01-30T00:00:00"/>
    <d v="2025-02-20T00:00:00"/>
    <x v="3"/>
    <n v="21"/>
    <x v="10"/>
    <x v="0"/>
    <n v="0.47473781665807441"/>
    <n v="0.71138515219031684"/>
  </r>
  <r>
    <s v="C0234"/>
    <x v="12"/>
    <x v="3"/>
    <x v="4"/>
    <n v="596158"/>
    <n v="333293"/>
    <n v="855497"/>
    <n v="47879"/>
    <n v="4452"/>
    <n v="3969"/>
    <n v="16.892043937316416"/>
    <n v="393701"/>
    <n v="967977"/>
    <n v="145.86602523234637"/>
    <d v="2025-11-03T00:00:00"/>
    <d v="2025-11-19T00:00:00"/>
    <x v="2"/>
    <n v="16"/>
    <x v="6"/>
    <x v="0"/>
    <n v="1.1812459307576217"/>
    <n v="2.904282418172599"/>
  </r>
  <r>
    <s v="C0235"/>
    <x v="12"/>
    <x v="0"/>
    <x v="7"/>
    <n v="1427975"/>
    <n v="814015"/>
    <n v="2143848"/>
    <n v="56745"/>
    <n v="4849"/>
    <n v="4960"/>
    <n v="8.176016412473972"/>
    <n v="343328"/>
    <n v="407034"/>
    <n v="18.55543387081741"/>
    <d v="2025-10-15T00:00:00"/>
    <d v="2025-11-09T00:00:00"/>
    <x v="0"/>
    <n v="25"/>
    <x v="8"/>
    <x v="0"/>
    <n v="0.42177109758419684"/>
    <n v="0.50003255468265329"/>
  </r>
  <r>
    <s v="C0236"/>
    <x v="3"/>
    <x v="1"/>
    <x v="6"/>
    <n v="743151"/>
    <n v="611378"/>
    <n v="952131"/>
    <n v="13211"/>
    <n v="1804"/>
    <n v="443"/>
    <n v="2.5283866936657842"/>
    <n v="36905"/>
    <n v="152720"/>
    <n v="313.81926568215687"/>
    <d v="2025-01-27T00:00:00"/>
    <d v="2025-02-07T00:00:00"/>
    <x v="4"/>
    <n v="11"/>
    <x v="10"/>
    <x v="0"/>
    <n v="6.0363637553199491E-2"/>
    <n v="0.24979636166168884"/>
  </r>
  <r>
    <s v="C0237"/>
    <x v="5"/>
    <x v="1"/>
    <x v="6"/>
    <n v="1598000"/>
    <n v="752874"/>
    <n v="987111"/>
    <n v="73021"/>
    <n v="5306"/>
    <n v="1834"/>
    <n v="10.647332754219166"/>
    <n v="29093"/>
    <n v="139286"/>
    <n v="378.76121403774101"/>
    <d v="2025-10-26T00:00:00"/>
    <d v="2025-11-03T00:00:00"/>
    <x v="6"/>
    <n v="8"/>
    <x v="8"/>
    <x v="0"/>
    <n v="3.8642588268422075E-2"/>
    <n v="0.18500572472950322"/>
  </r>
  <r>
    <s v="C0238"/>
    <x v="1"/>
    <x v="3"/>
    <x v="5"/>
    <n v="1305721"/>
    <n v="472745"/>
    <n v="718057"/>
    <n v="70454"/>
    <n v="4412"/>
    <n v="2609"/>
    <n v="16.388327745401853"/>
    <n v="426263"/>
    <n v="1566815"/>
    <n v="267.57002132486281"/>
    <d v="2025-05-22T00:00:00"/>
    <d v="2025-06-14T00:00:00"/>
    <x v="3"/>
    <n v="23"/>
    <x v="4"/>
    <x v="0"/>
    <n v="0.90167637944346313"/>
    <n v="3.3142920602015886"/>
  </r>
  <r>
    <s v="C0239"/>
    <x v="9"/>
    <x v="4"/>
    <x v="0"/>
    <n v="1453369"/>
    <n v="805492"/>
    <n v="1266755"/>
    <n v="111052"/>
    <n v="7355"/>
    <n v="10600"/>
    <n v="16.015925670273575"/>
    <n v="160341"/>
    <n v="298317"/>
    <n v="86.051602522124725"/>
    <d v="2025-01-03T00:00:00"/>
    <d v="2025-01-17T00:00:00"/>
    <x v="4"/>
    <n v="14"/>
    <x v="10"/>
    <x v="0"/>
    <n v="0.19905970512432153"/>
    <n v="0.37035377135961622"/>
  </r>
  <r>
    <s v="C0240"/>
    <x v="11"/>
    <x v="1"/>
    <x v="2"/>
    <n v="152289"/>
    <n v="80098"/>
    <n v="155421"/>
    <n v="10295"/>
    <n v="1087"/>
    <n v="301"/>
    <n v="14.585882294189616"/>
    <n v="292180"/>
    <n v="906962"/>
    <n v="210.41207474844273"/>
    <d v="2025-02-24T00:00:00"/>
    <d v="2025-03-19T00:00:00"/>
    <x v="7"/>
    <n v="23"/>
    <x v="1"/>
    <x v="0"/>
    <n v="3.6477814677020648"/>
    <n v="11.323154136183176"/>
  </r>
  <r>
    <s v="C0241"/>
    <x v="2"/>
    <x v="3"/>
    <x v="0"/>
    <n v="266847"/>
    <n v="198550"/>
    <n v="239109"/>
    <n v="17550"/>
    <n v="1734"/>
    <n v="1175"/>
    <n v="10.304205489801058"/>
    <n v="470483"/>
    <n v="1563035"/>
    <n v="232.2192300253144"/>
    <d v="2025-01-27T00:00:00"/>
    <d v="2025-02-26T00:00:00"/>
    <x v="7"/>
    <n v="30"/>
    <x v="10"/>
    <x v="0"/>
    <n v="2.3695945605640896"/>
    <n v="7.8722488038277509"/>
  </r>
  <r>
    <s v="C0242"/>
    <x v="13"/>
    <x v="2"/>
    <x v="4"/>
    <n v="342242"/>
    <n v="251020"/>
    <n v="636495"/>
    <n v="14212"/>
    <n v="1741"/>
    <n v="1053"/>
    <n v="6.7747589833479411"/>
    <n v="272244"/>
    <n v="383177"/>
    <n v="40.74763814813182"/>
    <d v="2025-09-06T00:00:00"/>
    <d v="2025-09-22T00:00:00"/>
    <x v="0"/>
    <n v="16"/>
    <x v="11"/>
    <x v="0"/>
    <n v="1.0845510317902955"/>
    <n v="1.5264799617560354"/>
  </r>
  <r>
    <s v="C0243"/>
    <x v="0"/>
    <x v="3"/>
    <x v="0"/>
    <n v="1540963"/>
    <n v="1133212"/>
    <n v="2646389"/>
    <n v="72420"/>
    <n v="5573"/>
    <n v="5694"/>
    <n v="7.3849376815635557"/>
    <n v="295184"/>
    <n v="520268"/>
    <n v="76.252100384844709"/>
    <d v="2025-12-30T00:00:00"/>
    <d v="2026-01-17T00:00:00"/>
    <x v="6"/>
    <n v="18"/>
    <x v="5"/>
    <x v="0"/>
    <n v="0.26048435773712242"/>
    <n v="0.45910915168565103"/>
  </r>
  <r>
    <s v="C0244"/>
    <x v="0"/>
    <x v="3"/>
    <x v="6"/>
    <n v="411358"/>
    <n v="154885"/>
    <n v="406483"/>
    <n v="20944"/>
    <n v="1620"/>
    <n v="896"/>
    <n v="15.146721761306775"/>
    <n v="175107"/>
    <n v="696878"/>
    <n v="297.9726681400515"/>
    <d v="2026-04-26T00:00:00"/>
    <d v="2026-05-04T00:00:00"/>
    <x v="7"/>
    <n v="8"/>
    <x v="2"/>
    <x v="1"/>
    <n v="1.1305613842528328"/>
    <n v="4.499325305872099"/>
  </r>
  <r>
    <s v="C0245"/>
    <x v="11"/>
    <x v="4"/>
    <x v="6"/>
    <n v="427779"/>
    <n v="267510"/>
    <n v="486552"/>
    <n v="9117"/>
    <n v="336"/>
    <n v="368"/>
    <n v="3.6712646256214718"/>
    <n v="230947"/>
    <n v="433173"/>
    <n v="87.563813342455205"/>
    <d v="2025-01-02T00:00:00"/>
    <d v="2025-01-14T00:00:00"/>
    <x v="7"/>
    <n v="12"/>
    <x v="10"/>
    <x v="0"/>
    <n v="0.86332099734589363"/>
    <n v="1.6192777840080745"/>
  </r>
  <r>
    <s v="C0246"/>
    <x v="8"/>
    <x v="3"/>
    <x v="0"/>
    <n v="908528"/>
    <n v="269793"/>
    <n v="685288"/>
    <n v="14117"/>
    <n v="906"/>
    <n v="889"/>
    <n v="5.8978550221836743"/>
    <n v="175004"/>
    <n v="341524"/>
    <n v="95.152110808895799"/>
    <d v="2025-12-18T00:00:00"/>
    <d v="2026-01-04T00:00:00"/>
    <x v="1"/>
    <n v="17"/>
    <x v="5"/>
    <x v="0"/>
    <n v="0.64866026916932606"/>
    <n v="1.265874207262605"/>
  </r>
  <r>
    <s v="C0247"/>
    <x v="3"/>
    <x v="4"/>
    <x v="5"/>
    <n v="1400359"/>
    <n v="401850"/>
    <n v="576861"/>
    <n v="15651"/>
    <n v="1739"/>
    <n v="465"/>
    <n v="4.4432001990792589"/>
    <n v="92533"/>
    <n v="385314"/>
    <n v="316.40711962218882"/>
    <d v="2025-12-07T00:00:00"/>
    <d v="2025-12-31T00:00:00"/>
    <x v="0"/>
    <n v="24"/>
    <x v="5"/>
    <x v="0"/>
    <n v="0.23026751275351498"/>
    <n v="0.95885031728256809"/>
  </r>
  <r>
    <s v="C0248"/>
    <x v="0"/>
    <x v="0"/>
    <x v="3"/>
    <n v="139235"/>
    <n v="118032"/>
    <n v="252875"/>
    <n v="16647"/>
    <n v="2166"/>
    <n v="1553"/>
    <n v="17.254642808729837"/>
    <n v="483718"/>
    <n v="1315237"/>
    <n v="171.90160382702317"/>
    <d v="2025-05-25T00:00:00"/>
    <d v="2025-06-20T00:00:00"/>
    <x v="2"/>
    <n v="26"/>
    <x v="4"/>
    <x v="0"/>
    <n v="4.0981937101802899"/>
    <n v="11.143054425918395"/>
  </r>
  <r>
    <s v="C0249"/>
    <x v="14"/>
    <x v="0"/>
    <x v="0"/>
    <n v="1978307"/>
    <n v="1753392"/>
    <n v="3871518"/>
    <n v="73563"/>
    <n v="5743"/>
    <n v="6578"/>
    <n v="4.898163103287799"/>
    <n v="446646"/>
    <n v="1266755"/>
    <n v="183.61498815616841"/>
    <d v="2025-03-11T00:00:00"/>
    <d v="2025-03-23T00:00:00"/>
    <x v="2"/>
    <n v="12"/>
    <x v="9"/>
    <x v="0"/>
    <n v="0.25473254126858114"/>
    <n v="0.72245966674879325"/>
  </r>
  <r>
    <s v="C0250"/>
    <x v="14"/>
    <x v="2"/>
    <x v="6"/>
    <n v="1526346"/>
    <n v="1215329"/>
    <n v="2582693"/>
    <n v="76976"/>
    <n v="9835"/>
    <n v="6792"/>
    <n v="7.7018650916747644"/>
    <n v="116215"/>
    <n v="175191"/>
    <n v="50.747321774297639"/>
    <d v="2025-10-19T00:00:00"/>
    <d v="2025-11-17T00:00:00"/>
    <x v="4"/>
    <n v="29"/>
    <x v="8"/>
    <x v="0"/>
    <n v="9.5624312428980132E-2"/>
    <n v="0.14415108995177436"/>
  </r>
  <r>
    <s v="C0251"/>
    <x v="4"/>
    <x v="0"/>
    <x v="3"/>
    <n v="678879"/>
    <n v="584143"/>
    <n v="1381940"/>
    <n v="43317"/>
    <n v="2497"/>
    <n v="2090"/>
    <n v="8.2007316701561077"/>
    <n v="434337"/>
    <n v="1654349"/>
    <n v="280.89064482187791"/>
    <d v="2026-04-24T00:00:00"/>
    <d v="2026-05-18T00:00:00"/>
    <x v="7"/>
    <n v="24"/>
    <x v="2"/>
    <x v="1"/>
    <n v="0.74354567289174056"/>
    <n v="2.8320959080225219"/>
  </r>
  <r>
    <s v="C0252"/>
    <x v="13"/>
    <x v="3"/>
    <x v="6"/>
    <n v="746728"/>
    <n v="460958"/>
    <n v="929735"/>
    <n v="16027"/>
    <n v="1434"/>
    <n v="363"/>
    <n v="3.8667297237492355"/>
    <n v="485716"/>
    <n v="1077092"/>
    <n v="121.75345263487304"/>
    <d v="2026-01-24T00:00:00"/>
    <d v="2026-02-19T00:00:00"/>
    <x v="3"/>
    <n v="26"/>
    <x v="10"/>
    <x v="1"/>
    <n v="1.0537098824621767"/>
    <n v="2.3366380451147393"/>
  </r>
  <r>
    <s v="C0253"/>
    <x v="5"/>
    <x v="1"/>
    <x v="4"/>
    <n v="1290553"/>
    <n v="649036"/>
    <n v="1827192"/>
    <n v="22732"/>
    <n v="1362"/>
    <n v="1001"/>
    <n v="3.8665035529616234"/>
    <n v="493180"/>
    <n v="2013711"/>
    <n v="308.31156981223893"/>
    <d v="2025-10-09T00:00:00"/>
    <d v="2025-11-07T00:00:00"/>
    <x v="4"/>
    <n v="29"/>
    <x v="8"/>
    <x v="0"/>
    <n v="0.75986540037840733"/>
    <n v="3.1026183447451299"/>
  </r>
  <r>
    <s v="C0254"/>
    <x v="9"/>
    <x v="3"/>
    <x v="0"/>
    <n v="1607246"/>
    <n v="556467"/>
    <n v="899397"/>
    <n v="14043"/>
    <n v="1468"/>
    <n v="808"/>
    <n v="2.9326087620649566"/>
    <n v="136133"/>
    <n v="239109"/>
    <n v="75.643671997237988"/>
    <d v="2025-05-01T00:00:00"/>
    <d v="2025-05-22T00:00:00"/>
    <x v="0"/>
    <n v="21"/>
    <x v="4"/>
    <x v="0"/>
    <n v="0.24463804682038648"/>
    <n v="0.42969124853764912"/>
  </r>
  <r>
    <s v="C0255"/>
    <x v="10"/>
    <x v="1"/>
    <x v="7"/>
    <n v="1296689"/>
    <n v="888032"/>
    <n v="2409037"/>
    <n v="93888"/>
    <n v="12354"/>
    <n v="7280"/>
    <n v="12.783548340600341"/>
    <n v="16044"/>
    <n v="72102"/>
    <n v="349.4016454749439"/>
    <d v="2026-01-18T00:00:00"/>
    <d v="2026-01-27T00:00:00"/>
    <x v="1"/>
    <n v="9"/>
    <x v="10"/>
    <x v="1"/>
    <n v="1.8066916507513242E-2"/>
    <n v="8.1193020071348779E-2"/>
  </r>
  <r>
    <s v="C0256"/>
    <x v="13"/>
    <x v="4"/>
    <x v="3"/>
    <n v="1157958"/>
    <n v="307322"/>
    <n v="419083"/>
    <n v="12284"/>
    <n v="596"/>
    <n v="777"/>
    <n v="4.4438732013978823"/>
    <n v="124286"/>
    <n v="213957"/>
    <n v="72.148914600196321"/>
    <d v="2025-05-21T00:00:00"/>
    <d v="2025-06-05T00:00:00"/>
    <x v="1"/>
    <n v="15"/>
    <x v="4"/>
    <x v="0"/>
    <n v="0.4044162149146498"/>
    <n v="0.69619812444276685"/>
  </r>
  <r>
    <s v="C0257"/>
    <x v="2"/>
    <x v="2"/>
    <x v="5"/>
    <n v="1613412"/>
    <n v="968579"/>
    <n v="1852079"/>
    <n v="136740"/>
    <n v="4202"/>
    <n v="10774"/>
    <n v="15.663771359899398"/>
    <n v="358911"/>
    <n v="1296253"/>
    <n v="261.16279523335868"/>
    <d v="2026-04-25T00:00:00"/>
    <d v="2026-05-03T00:00:00"/>
    <x v="6"/>
    <n v="8"/>
    <x v="2"/>
    <x v="1"/>
    <n v="0.37055418298352533"/>
    <n v="1.3383038451174349"/>
  </r>
  <r>
    <s v="C0258"/>
    <x v="14"/>
    <x v="1"/>
    <x v="5"/>
    <n v="462073"/>
    <n v="373233"/>
    <n v="1025664"/>
    <n v="43745"/>
    <n v="1930"/>
    <n v="3996"/>
    <n v="13.30830875083393"/>
    <n v="72666"/>
    <n v="108777"/>
    <n v="49.694492610023943"/>
    <d v="2026-03-23T00:00:00"/>
    <d v="2026-04-04T00:00:00"/>
    <x v="5"/>
    <n v="12"/>
    <x v="9"/>
    <x v="1"/>
    <n v="0.19469339527855253"/>
    <n v="0.29144529020745752"/>
  </r>
  <r>
    <s v="C0259"/>
    <x v="8"/>
    <x v="2"/>
    <x v="1"/>
    <n v="1884301"/>
    <n v="958163"/>
    <n v="2414029"/>
    <n v="20430"/>
    <n v="2071"/>
    <n v="1376"/>
    <n v="2.491955961563951"/>
    <n v="211005"/>
    <n v="421847"/>
    <n v="99.92275064571929"/>
    <d v="2025-06-15T00:00:00"/>
    <d v="2025-07-04T00:00:00"/>
    <x v="2"/>
    <n v="19"/>
    <x v="0"/>
    <x v="0"/>
    <n v="0.22021827183892512"/>
    <n v="0.44026642648484654"/>
  </r>
  <r>
    <s v="C0260"/>
    <x v="0"/>
    <x v="2"/>
    <x v="7"/>
    <n v="256590"/>
    <n v="161818"/>
    <n v="268237"/>
    <n v="20678"/>
    <n v="1917"/>
    <n v="1803"/>
    <n v="15.077432671272664"/>
    <n v="419915"/>
    <n v="1251226"/>
    <n v="197.97125608754155"/>
    <d v="2026-02-13T00:00:00"/>
    <d v="2026-03-12T00:00:00"/>
    <x v="3"/>
    <n v="27"/>
    <x v="1"/>
    <x v="1"/>
    <n v="2.5949832527901715"/>
    <n v="7.7323041936002177"/>
  </r>
  <r>
    <s v="C0261"/>
    <x v="4"/>
    <x v="1"/>
    <x v="3"/>
    <n v="1213092"/>
    <n v="581083"/>
    <n v="1362986"/>
    <n v="69757"/>
    <n v="6307"/>
    <n v="1406"/>
    <n v="13.33200248501505"/>
    <n v="465086"/>
    <n v="2169741"/>
    <n v="366.52468575704279"/>
    <d v="2026-03-03T00:00:00"/>
    <d v="2026-03-19T00:00:00"/>
    <x v="2"/>
    <n v="16"/>
    <x v="9"/>
    <x v="1"/>
    <n v="0.80037791503107125"/>
    <n v="3.7339605529674764"/>
  </r>
  <r>
    <s v="C0262"/>
    <x v="7"/>
    <x v="0"/>
    <x v="0"/>
    <n v="909210"/>
    <n v="780177"/>
    <n v="1194095"/>
    <n v="85100"/>
    <n v="3561"/>
    <n v="4257"/>
    <n v="11.909861480151299"/>
    <n v="318596"/>
    <n v="481891"/>
    <n v="51.254566912327839"/>
    <d v="2026-05-06T00:00:00"/>
    <d v="2026-05-25T00:00:00"/>
    <x v="4"/>
    <n v="19"/>
    <x v="4"/>
    <x v="1"/>
    <n v="0.40836374309932233"/>
    <n v="0.61766881105185101"/>
  </r>
  <r>
    <s v="C0263"/>
    <x v="10"/>
    <x v="2"/>
    <x v="4"/>
    <n v="524425"/>
    <n v="312108"/>
    <n v="820107"/>
    <n v="39658"/>
    <n v="5869"/>
    <n v="1399"/>
    <n v="15.035180129955016"/>
    <n v="54664"/>
    <n v="206239"/>
    <n v="277.28486755451485"/>
    <d v="2025-02-04T00:00:00"/>
    <d v="2025-02-27T00:00:00"/>
    <x v="5"/>
    <n v="23"/>
    <x v="1"/>
    <x v="0"/>
    <n v="0.17514450126238354"/>
    <n v="0.66079369961679935"/>
  </r>
  <r>
    <s v="C0264"/>
    <x v="5"/>
    <x v="3"/>
    <x v="0"/>
    <n v="1779263"/>
    <n v="1019071"/>
    <n v="2746274"/>
    <n v="50656"/>
    <n v="3137"/>
    <n v="3547"/>
    <n v="5.6266933314754315"/>
    <n v="409128"/>
    <n v="1645146"/>
    <n v="302.11034199565904"/>
    <d v="2025-02-18T00:00:00"/>
    <d v="2025-03-20T00:00:00"/>
    <x v="3"/>
    <n v="30"/>
    <x v="1"/>
    <x v="0"/>
    <n v="0.40147153633063837"/>
    <n v="1.6143585677543566"/>
  </r>
  <r>
    <s v="C0265"/>
    <x v="2"/>
    <x v="0"/>
    <x v="4"/>
    <n v="855428"/>
    <n v="279586"/>
    <n v="485539"/>
    <n v="15534"/>
    <n v="2107"/>
    <n v="921"/>
    <n v="6.6391021009635676"/>
    <n v="370378"/>
    <n v="1618571"/>
    <n v="337.0051676935455"/>
    <d v="2025-09-08T00:00:00"/>
    <d v="2025-10-04T00:00:00"/>
    <x v="6"/>
    <n v="26"/>
    <x v="11"/>
    <x v="0"/>
    <n v="1.3247372901361298"/>
    <n v="5.7891704162583251"/>
  </r>
  <r>
    <s v="C0266"/>
    <x v="2"/>
    <x v="1"/>
    <x v="4"/>
    <n v="859246"/>
    <n v="565927"/>
    <n v="1564132"/>
    <n v="28152"/>
    <n v="3284"/>
    <n v="2215"/>
    <n v="5.9461732696973284"/>
    <n v="338617"/>
    <n v="1429288"/>
    <n v="322.09576010655104"/>
    <d v="2025-02-01T00:00:00"/>
    <d v="2025-02-28T00:00:00"/>
    <x v="6"/>
    <n v="27"/>
    <x v="1"/>
    <x v="0"/>
    <n v="0.59834042199789017"/>
    <n v="2.5255695522567398"/>
  </r>
  <r>
    <s v="C0267"/>
    <x v="14"/>
    <x v="4"/>
    <x v="0"/>
    <n v="685701"/>
    <n v="330125"/>
    <n v="726346"/>
    <n v="30736"/>
    <n v="3682"/>
    <n v="2388"/>
    <n v="11.149110185535783"/>
    <n v="71052"/>
    <n v="186782"/>
    <n v="162.88070708776669"/>
    <d v="2026-02-04T00:00:00"/>
    <d v="2026-02-28T00:00:00"/>
    <x v="6"/>
    <n v="24"/>
    <x v="1"/>
    <x v="1"/>
    <n v="0.21522756531616813"/>
    <n v="0.5657917455509277"/>
  </r>
  <r>
    <s v="C0268"/>
    <x v="6"/>
    <x v="2"/>
    <x v="7"/>
    <n v="1518140"/>
    <n v="1295846"/>
    <n v="1960851"/>
    <n v="68910"/>
    <n v="7762"/>
    <n v="4544"/>
    <n v="6.2674114053676133"/>
    <n v="341725"/>
    <n v="995692"/>
    <n v="191.37230228985297"/>
    <d v="2025-05-03T00:00:00"/>
    <d v="2025-06-02T00:00:00"/>
    <x v="5"/>
    <n v="30"/>
    <x v="4"/>
    <x v="0"/>
    <n v="0.26370803320764968"/>
    <n v="0.76837216768041883"/>
  </r>
  <r>
    <s v="C0269"/>
    <x v="12"/>
    <x v="1"/>
    <x v="0"/>
    <n v="482334"/>
    <n v="278428"/>
    <n v="368297"/>
    <n v="6012"/>
    <n v="543"/>
    <n v="461"/>
    <n v="2.5198615081816484"/>
    <n v="219058"/>
    <n v="647552"/>
    <n v="195.60755598973788"/>
    <d v="2025-05-08T00:00:00"/>
    <d v="2025-06-03T00:00:00"/>
    <x v="0"/>
    <n v="26"/>
    <x v="4"/>
    <x v="0"/>
    <n v="0.78676713548924682"/>
    <n v="2.3257431005502318"/>
  </r>
  <r>
    <s v="C0270"/>
    <x v="14"/>
    <x v="1"/>
    <x v="6"/>
    <n v="1318302"/>
    <n v="1029488"/>
    <n v="1666169"/>
    <n v="57897"/>
    <n v="7291"/>
    <n v="4525"/>
    <n v="6.7716185132803881"/>
    <n v="329900"/>
    <n v="1547963"/>
    <n v="369.22188541982422"/>
    <d v="2025-11-22T00:00:00"/>
    <d v="2025-12-07T00:00:00"/>
    <x v="1"/>
    <n v="15"/>
    <x v="6"/>
    <x v="0"/>
    <n v="0.32045055406182493"/>
    <n v="1.5036241316071679"/>
  </r>
  <r>
    <s v="C0271"/>
    <x v="14"/>
    <x v="0"/>
    <x v="3"/>
    <n v="1766927"/>
    <n v="1421520"/>
    <n v="4049078"/>
    <n v="140997"/>
    <n v="8553"/>
    <n v="9345"/>
    <n v="11.177823737970623"/>
    <n v="260533"/>
    <n v="303488"/>
    <n v="16.487354768877648"/>
    <d v="2025-11-27T00:00:00"/>
    <d v="2025-12-13T00:00:00"/>
    <x v="5"/>
    <n v="16"/>
    <x v="6"/>
    <x v="0"/>
    <n v="0.1832777590185154"/>
    <n v="0.21349541336034666"/>
  </r>
  <r>
    <s v="C0272"/>
    <x v="7"/>
    <x v="4"/>
    <x v="1"/>
    <n v="895840"/>
    <n v="259313"/>
    <n v="692175"/>
    <n v="21030"/>
    <n v="1532"/>
    <n v="1583"/>
    <n v="9.3111413619833954"/>
    <n v="120413"/>
    <n v="346374"/>
    <n v="187.65498741830203"/>
    <d v="2026-03-07T00:00:00"/>
    <d v="2026-03-19T00:00:00"/>
    <x v="2"/>
    <n v="12"/>
    <x v="9"/>
    <x v="1"/>
    <n v="0.46435388892959473"/>
    <n v="1.3357371207768218"/>
  </r>
  <r>
    <s v="C0273"/>
    <x v="6"/>
    <x v="4"/>
    <x v="3"/>
    <n v="715760"/>
    <n v="307142"/>
    <n v="433421"/>
    <n v="9867"/>
    <n v="526"/>
    <n v="247"/>
    <n v="3.4641957140345507"/>
    <n v="84900"/>
    <n v="142287"/>
    <n v="67.593639575971736"/>
    <d v="2026-01-25T00:00:00"/>
    <d v="2026-02-02T00:00:00"/>
    <x v="0"/>
    <n v="8"/>
    <x v="10"/>
    <x v="1"/>
    <n v="0.27641937605407269"/>
    <n v="0.46326129282221251"/>
  </r>
  <r>
    <s v="C0274"/>
    <x v="8"/>
    <x v="3"/>
    <x v="0"/>
    <n v="1720813"/>
    <n v="1104019"/>
    <n v="2240544"/>
    <n v="42452"/>
    <n v="3606"/>
    <n v="2028"/>
    <n v="4.3555409825374385"/>
    <n v="448049"/>
    <n v="1248693"/>
    <n v="178.69563373648865"/>
    <d v="2025-08-10T00:00:00"/>
    <d v="2025-08-18T00:00:00"/>
    <x v="0"/>
    <n v="8"/>
    <x v="3"/>
    <x v="0"/>
    <n v="0.40583450103666696"/>
    <n v="1.1310430345854554"/>
  </r>
  <r>
    <s v="C0275"/>
    <x v="6"/>
    <x v="0"/>
    <x v="0"/>
    <n v="142461"/>
    <n v="126649"/>
    <n v="311066"/>
    <n v="5431"/>
    <n v="529"/>
    <n v="430"/>
    <n v="5.0454405482869982"/>
    <n v="498366"/>
    <n v="1075609"/>
    <n v="115.82712303808846"/>
    <d v="2025-07-08T00:00:00"/>
    <d v="2025-07-30T00:00:00"/>
    <x v="6"/>
    <n v="22"/>
    <x v="7"/>
    <x v="0"/>
    <n v="3.9350172524062565"/>
    <n v="8.4928345269208592"/>
  </r>
  <r>
    <s v="C0276"/>
    <x v="6"/>
    <x v="0"/>
    <x v="1"/>
    <n v="616332"/>
    <n v="268023"/>
    <n v="312067"/>
    <n v="27430"/>
    <n v="1357"/>
    <n v="2325"/>
    <n v="11.607959018442447"/>
    <n v="57179"/>
    <n v="233990"/>
    <n v="309.22366603123527"/>
    <d v="2025-10-07T00:00:00"/>
    <d v="2025-11-05T00:00:00"/>
    <x v="4"/>
    <n v="29"/>
    <x v="8"/>
    <x v="0"/>
    <n v="0.21333616891087706"/>
    <n v="0.87302209138767939"/>
  </r>
  <r>
    <s v="C0277"/>
    <x v="10"/>
    <x v="4"/>
    <x v="2"/>
    <n v="605640"/>
    <n v="417434"/>
    <n v="1000177"/>
    <n v="24764"/>
    <n v="3407"/>
    <n v="1815"/>
    <n v="7.1834110302466971"/>
    <n v="175956"/>
    <n v="606696"/>
    <n v="244.79983632271703"/>
    <d v="2025-03-05T00:00:00"/>
    <d v="2025-03-13T00:00:00"/>
    <x v="0"/>
    <n v="8"/>
    <x v="9"/>
    <x v="0"/>
    <n v="0.42151813220772627"/>
    <n v="1.4533938299228142"/>
  </r>
  <r>
    <s v="C0278"/>
    <x v="13"/>
    <x v="2"/>
    <x v="4"/>
    <n v="546833"/>
    <n v="310460"/>
    <n v="572488"/>
    <n v="22587"/>
    <n v="1420"/>
    <n v="1431"/>
    <n v="8.1936481350254464"/>
    <n v="352943"/>
    <n v="636717"/>
    <n v="80.402217921874069"/>
    <d v="2026-02-28T00:00:00"/>
    <d v="2026-03-08T00:00:00"/>
    <x v="5"/>
    <n v="8"/>
    <x v="1"/>
    <x v="1"/>
    <n v="1.1368388842362944"/>
    <n v="2.0508825613605617"/>
  </r>
  <r>
    <s v="C0279"/>
    <x v="3"/>
    <x v="1"/>
    <x v="4"/>
    <n v="1695113"/>
    <n v="1154813"/>
    <n v="2860102"/>
    <n v="132533"/>
    <n v="7106"/>
    <n v="8050"/>
    <n v="12.788997006441734"/>
    <n v="351920"/>
    <n v="1613412"/>
    <n v="358.45987724482836"/>
    <d v="2025-05-06T00:00:00"/>
    <d v="2025-06-01T00:00:00"/>
    <x v="4"/>
    <n v="26"/>
    <x v="4"/>
    <x v="0"/>
    <n v="0.30474197987033397"/>
    <n v="1.3971197068269927"/>
  </r>
  <r>
    <s v="C0280"/>
    <x v="0"/>
    <x v="2"/>
    <x v="3"/>
    <n v="1261302"/>
    <n v="728514"/>
    <n v="2173175"/>
    <n v="59468"/>
    <n v="7220"/>
    <n v="5880"/>
    <n v="9.9610988944618768"/>
    <n v="458267"/>
    <n v="2180897"/>
    <n v="375.90094857364812"/>
    <d v="2025-12-17T00:00:00"/>
    <d v="2026-01-08T00:00:00"/>
    <x v="0"/>
    <n v="22"/>
    <x v="5"/>
    <x v="0"/>
    <n v="0.62904350499784489"/>
    <n v="2.9936240072256677"/>
  </r>
  <r>
    <s v="C0281"/>
    <x v="6"/>
    <x v="0"/>
    <x v="0"/>
    <n v="265102"/>
    <n v="205728"/>
    <n v="399116"/>
    <n v="17831"/>
    <n v="1819"/>
    <n v="1467"/>
    <n v="10.264524031731218"/>
    <n v="228752"/>
    <n v="434784"/>
    <n v="90.067846401342948"/>
    <d v="2025-08-20T00:00:00"/>
    <d v="2025-09-13T00:00:00"/>
    <x v="3"/>
    <n v="24"/>
    <x v="3"/>
    <x v="0"/>
    <n v="1.1119147612381397"/>
    <n v="2.1133924405039664"/>
  </r>
  <r>
    <s v="C0282"/>
    <x v="13"/>
    <x v="2"/>
    <x v="2"/>
    <n v="1066284"/>
    <n v="279535"/>
    <n v="701368"/>
    <n v="11628"/>
    <n v="939"/>
    <n v="336"/>
    <n v="4.6158799434775615"/>
    <n v="134085"/>
    <n v="502898"/>
    <n v="275.05910429951149"/>
    <d v="2025-10-01T00:00:00"/>
    <d v="2025-10-14T00:00:00"/>
    <x v="4"/>
    <n v="13"/>
    <x v="8"/>
    <x v="0"/>
    <n v="0.4796715974743771"/>
    <n v="1.7990519970665571"/>
  </r>
  <r>
    <s v="C0283"/>
    <x v="10"/>
    <x v="4"/>
    <x v="5"/>
    <n v="720138"/>
    <n v="334862"/>
    <n v="891394"/>
    <n v="21546"/>
    <n v="1502"/>
    <n v="1067"/>
    <n v="7.2014740400523207"/>
    <n v="371678"/>
    <n v="1366949"/>
    <n v="267.77775386221407"/>
    <d v="2025-07-29T00:00:00"/>
    <d v="2025-08-20T00:00:00"/>
    <x v="0"/>
    <n v="22"/>
    <x v="7"/>
    <x v="0"/>
    <n v="1.109943797743548"/>
    <n v="4.0821263684741771"/>
  </r>
  <r>
    <s v="C0284"/>
    <x v="7"/>
    <x v="4"/>
    <x v="1"/>
    <n v="1364101"/>
    <n v="1047931"/>
    <n v="2500684"/>
    <n v="118218"/>
    <n v="4198"/>
    <n v="8265"/>
    <n v="12.470382114852981"/>
    <n v="179242"/>
    <n v="390576"/>
    <n v="117.90428582586669"/>
    <d v="2026-04-01T00:00:00"/>
    <d v="2026-04-19T00:00:00"/>
    <x v="3"/>
    <n v="18"/>
    <x v="2"/>
    <x v="1"/>
    <n v="0.17104370421334991"/>
    <n v="0.37271156211620804"/>
  </r>
  <r>
    <s v="C0285"/>
    <x v="8"/>
    <x v="3"/>
    <x v="6"/>
    <n v="1385607"/>
    <n v="682239"/>
    <n v="1237943"/>
    <n v="20977"/>
    <n v="1933"/>
    <n v="1201"/>
    <n v="3.5340987542488773"/>
    <n v="405457"/>
    <n v="638939"/>
    <n v="57.584898028644218"/>
    <d v="2025-05-01T00:00:00"/>
    <d v="2025-05-14T00:00:00"/>
    <x v="6"/>
    <n v="13"/>
    <x v="4"/>
    <x v="0"/>
    <n v="0.59430346256956867"/>
    <n v="0.93653250547095668"/>
  </r>
  <r>
    <s v="C0286"/>
    <x v="3"/>
    <x v="2"/>
    <x v="6"/>
    <n v="829507"/>
    <n v="562959"/>
    <n v="684300"/>
    <n v="82498"/>
    <n v="8503"/>
    <n v="2634"/>
    <n v="16.632649979838675"/>
    <n v="316834"/>
    <n v="1405827"/>
    <n v="343.71090223902735"/>
    <d v="2026-02-21T00:00:00"/>
    <d v="2026-03-06T00:00:00"/>
    <x v="4"/>
    <n v="13"/>
    <x v="1"/>
    <x v="1"/>
    <n v="0.56280119866633271"/>
    <n v="2.4972102764144459"/>
  </r>
  <r>
    <s v="C0287"/>
    <x v="9"/>
    <x v="3"/>
    <x v="0"/>
    <n v="487343"/>
    <n v="344680"/>
    <n v="600393"/>
    <n v="17555"/>
    <n v="1986"/>
    <n v="1701"/>
    <n v="6.1628176859695953"/>
    <n v="61348"/>
    <n v="250298"/>
    <n v="307.99700071721981"/>
    <d v="2025-06-19T00:00:00"/>
    <d v="2025-07-11T00:00:00"/>
    <x v="1"/>
    <n v="22"/>
    <x v="0"/>
    <x v="0"/>
    <n v="0.17798537774167345"/>
    <n v="0.72617500290124171"/>
  </r>
  <r>
    <s v="C0288"/>
    <x v="0"/>
    <x v="2"/>
    <x v="2"/>
    <n v="536995"/>
    <n v="294529"/>
    <n v="798540"/>
    <n v="30421"/>
    <n v="3426"/>
    <n v="1194"/>
    <n v="11.897300435610756"/>
    <n v="55353"/>
    <n v="129418"/>
    <n v="133.80485249218651"/>
    <d v="2025-08-13T00:00:00"/>
    <d v="2025-08-31T00:00:00"/>
    <x v="7"/>
    <n v="18"/>
    <x v="3"/>
    <x v="0"/>
    <n v="0.18793735082114155"/>
    <n v="0.43940664586509309"/>
  </r>
  <r>
    <s v="C0289"/>
    <x v="4"/>
    <x v="0"/>
    <x v="2"/>
    <n v="1480293"/>
    <n v="1221336"/>
    <n v="2729978"/>
    <n v="103253"/>
    <n v="5742"/>
    <n v="9245"/>
    <n v="9.6812015694288878"/>
    <n v="12531"/>
    <n v="45347"/>
    <n v="261.87854121777991"/>
    <d v="2026-02-22T00:00:00"/>
    <d v="2026-03-09T00:00:00"/>
    <x v="5"/>
    <n v="15"/>
    <x v="1"/>
    <x v="1"/>
    <n v="1.0260075851362771E-2"/>
    <n v="3.7129012818749307E-2"/>
  </r>
  <r>
    <s v="C0290"/>
    <x v="2"/>
    <x v="3"/>
    <x v="5"/>
    <n v="1574368"/>
    <n v="1193124"/>
    <n v="2768635"/>
    <n v="103577"/>
    <n v="9320"/>
    <n v="5057"/>
    <n v="9.8861476258963865"/>
    <n v="66174"/>
    <n v="289446"/>
    <n v="337.40139631879589"/>
    <d v="2025-02-01T00:00:00"/>
    <d v="2025-03-03T00:00:00"/>
    <x v="0"/>
    <n v="30"/>
    <x v="1"/>
    <x v="0"/>
    <n v="5.5462801854627014E-2"/>
    <n v="0.24259506974966558"/>
  </r>
  <r>
    <s v="C0291"/>
    <x v="11"/>
    <x v="0"/>
    <x v="0"/>
    <n v="158601"/>
    <n v="58542"/>
    <n v="134759"/>
    <n v="3529"/>
    <n v="106"/>
    <n v="224"/>
    <n v="6.5918485873390038"/>
    <n v="236564"/>
    <n v="507338"/>
    <n v="114.4612028880134"/>
    <d v="2025-09-11T00:00:00"/>
    <d v="2025-10-08T00:00:00"/>
    <x v="3"/>
    <n v="27"/>
    <x v="11"/>
    <x v="0"/>
    <n v="4.0409278808376889"/>
    <n v="8.6662225410816163"/>
  </r>
  <r>
    <s v="C0292"/>
    <x v="6"/>
    <x v="2"/>
    <x v="2"/>
    <n v="1344243"/>
    <n v="982473"/>
    <n v="2052386"/>
    <n v="106103"/>
    <n v="6556"/>
    <n v="4108"/>
    <n v="11.88500854476408"/>
    <n v="298093"/>
    <n v="506611"/>
    <n v="69.950652984135814"/>
    <d v="2026-02-15T00:00:00"/>
    <d v="2026-03-16T00:00:00"/>
    <x v="5"/>
    <n v="29"/>
    <x v="1"/>
    <x v="1"/>
    <n v="0.30341088253824788"/>
    <n v="0.51564877609868154"/>
  </r>
  <r>
    <s v="C0293"/>
    <x v="11"/>
    <x v="2"/>
    <x v="7"/>
    <n v="375287"/>
    <n v="288922"/>
    <n v="546794"/>
    <n v="42247"/>
    <n v="3576"/>
    <n v="2544"/>
    <n v="16.740504357577475"/>
    <n v="50879"/>
    <n v="191167"/>
    <n v="275.72868963619567"/>
    <d v="2025-02-22T00:00:00"/>
    <d v="2025-03-02T00:00:00"/>
    <x v="6"/>
    <n v="8"/>
    <x v="1"/>
    <x v="0"/>
    <n v="0.17609943168052278"/>
    <n v="0.66165608711001589"/>
  </r>
  <r>
    <s v="C0294"/>
    <x v="7"/>
    <x v="1"/>
    <x v="7"/>
    <n v="971975"/>
    <n v="363868"/>
    <n v="401820"/>
    <n v="15796"/>
    <n v="2148"/>
    <n v="491"/>
    <n v="5.0663977046621307"/>
    <n v="330645"/>
    <n v="518344"/>
    <n v="56.767530130502507"/>
    <d v="2025-12-08T00:00:00"/>
    <d v="2025-12-24T00:00:00"/>
    <x v="1"/>
    <n v="16"/>
    <x v="5"/>
    <x v="0"/>
    <n v="0.90869491134147551"/>
    <n v="1.4245385689315906"/>
  </r>
  <r>
    <s v="C0295"/>
    <x v="7"/>
    <x v="0"/>
    <x v="3"/>
    <n v="1634818"/>
    <n v="1129946"/>
    <n v="1362515"/>
    <n v="122574"/>
    <n v="9241"/>
    <n v="11038"/>
    <n v="12.642462560157741"/>
    <n v="117168"/>
    <n v="529151"/>
    <n v="351.61733579134238"/>
    <d v="2025-06-15T00:00:00"/>
    <d v="2025-07-01T00:00:00"/>
    <x v="4"/>
    <n v="16"/>
    <x v="0"/>
    <x v="0"/>
    <n v="0.10369345083747365"/>
    <n v="0.46829760006230386"/>
  </r>
  <r>
    <s v="C0296"/>
    <x v="12"/>
    <x v="3"/>
    <x v="6"/>
    <n v="863789"/>
    <n v="482383"/>
    <n v="1194343"/>
    <n v="71064"/>
    <n v="7041"/>
    <n v="1463"/>
    <n v="16.494776971825292"/>
    <n v="289230"/>
    <n v="324038"/>
    <n v="12.034712858278878"/>
    <d v="2025-03-09T00:00:00"/>
    <d v="2025-03-25T00:00:00"/>
    <x v="5"/>
    <n v="16"/>
    <x v="9"/>
    <x v="0"/>
    <n v="0.59958580629914404"/>
    <n v="0.67174423642624226"/>
  </r>
  <r>
    <s v="C0297"/>
    <x v="4"/>
    <x v="1"/>
    <x v="6"/>
    <n v="1713272"/>
    <n v="625918"/>
    <n v="851510"/>
    <n v="79992"/>
    <n v="4259"/>
    <n v="4058"/>
    <n v="14.10871711629958"/>
    <n v="138886"/>
    <n v="306027"/>
    <n v="120.34402315568164"/>
    <d v="2026-01-11T00:00:00"/>
    <d v="2026-02-04T00:00:00"/>
    <x v="5"/>
    <n v="24"/>
    <x v="10"/>
    <x v="1"/>
    <n v="0.22189168549234883"/>
    <n v="0.48892506686179338"/>
  </r>
  <r>
    <s v="C0298"/>
    <x v="3"/>
    <x v="2"/>
    <x v="4"/>
    <n v="1413954"/>
    <n v="1139362"/>
    <n v="1261498"/>
    <n v="24229"/>
    <n v="3108"/>
    <n v="688"/>
    <n v="2.4597099078256077"/>
    <n v="273602"/>
    <n v="323908"/>
    <n v="18.386561501743408"/>
    <d v="2025-07-17T00:00:00"/>
    <d v="2025-08-04T00:00:00"/>
    <x v="0"/>
    <n v="18"/>
    <x v="7"/>
    <x v="0"/>
    <n v="0.24013614636963493"/>
    <n v="0.28428892660980443"/>
  </r>
  <r>
    <s v="C0299"/>
    <x v="14"/>
    <x v="1"/>
    <x v="4"/>
    <n v="1137138"/>
    <n v="806614"/>
    <n v="1608370"/>
    <n v="37524"/>
    <n v="2378"/>
    <n v="2665"/>
    <n v="5.2772453738715166"/>
    <n v="281760"/>
    <n v="1205946"/>
    <n v="328.00468483816013"/>
    <d v="2025-09-23T00:00:00"/>
    <d v="2025-10-15T00:00:00"/>
    <x v="1"/>
    <n v="22"/>
    <x v="11"/>
    <x v="0"/>
    <n v="0.34931206252309033"/>
    <n v="1.4950719923036297"/>
  </r>
  <r>
    <s v="C0300"/>
    <x v="2"/>
    <x v="4"/>
    <x v="3"/>
    <n v="662869"/>
    <n v="183525"/>
    <n v="529454"/>
    <n v="18590"/>
    <n v="1756"/>
    <n v="585"/>
    <n v="11.404985696771556"/>
    <n v="489181"/>
    <n v="1910238"/>
    <n v="290.49717793618311"/>
    <d v="2025-07-01T00:00:00"/>
    <d v="2025-07-14T00:00:00"/>
    <x v="7"/>
    <n v="13"/>
    <x v="7"/>
    <x v="0"/>
    <n v="2.6654733687508512"/>
    <n v="10.408598283612587"/>
  </r>
  <r>
    <s v="C0301"/>
    <x v="10"/>
    <x v="1"/>
    <x v="0"/>
    <n v="1167847"/>
    <n v="1017010"/>
    <n v="2783673"/>
    <n v="49837"/>
    <n v="7376"/>
    <n v="4596"/>
    <n v="6.0775213616385289"/>
    <n v="283930"/>
    <n v="1323111"/>
    <n v="365.99901384143976"/>
    <d v="2025-02-02T00:00:00"/>
    <d v="2025-03-03T00:00:00"/>
    <x v="7"/>
    <n v="29"/>
    <x v="1"/>
    <x v="0"/>
    <n v="0.27918112899578174"/>
    <n v="1.3009813079517409"/>
  </r>
  <r>
    <s v="C0302"/>
    <x v="5"/>
    <x v="3"/>
    <x v="3"/>
    <n v="403175"/>
    <n v="144241"/>
    <n v="387089"/>
    <n v="11885"/>
    <n v="1763"/>
    <n v="1154"/>
    <n v="10.261992082694935"/>
    <n v="367128"/>
    <n v="883328"/>
    <n v="140.60491163844762"/>
    <d v="2025-07-13T00:00:00"/>
    <d v="2025-08-09T00:00:00"/>
    <x v="2"/>
    <n v="27"/>
    <x v="7"/>
    <x v="0"/>
    <n v="2.5452402576243927"/>
    <n v="6.1239730728433663"/>
  </r>
  <r>
    <s v="C0303"/>
    <x v="13"/>
    <x v="1"/>
    <x v="3"/>
    <n v="1381461"/>
    <n v="831085"/>
    <n v="1702347"/>
    <n v="59211"/>
    <n v="7946"/>
    <n v="1849"/>
    <n v="8.3031218226775838"/>
    <n v="179929"/>
    <n v="264264"/>
    <n v="46.871265888211461"/>
    <d v="2025-08-23T00:00:00"/>
    <d v="2025-09-10T00:00:00"/>
    <x v="3"/>
    <n v="18"/>
    <x v="3"/>
    <x v="0"/>
    <n v="0.21649891407016131"/>
    <n v="0.31797469572907705"/>
  </r>
  <r>
    <s v="C0304"/>
    <x v="5"/>
    <x v="0"/>
    <x v="7"/>
    <n v="1817955"/>
    <n v="769943"/>
    <n v="1219653"/>
    <n v="99147"/>
    <n v="11065"/>
    <n v="7709"/>
    <n v="15.315549332872694"/>
    <n v="276781"/>
    <n v="739033"/>
    <n v="167.01001875128711"/>
    <d v="2025-02-28T00:00:00"/>
    <d v="2025-03-08T00:00:00"/>
    <x v="5"/>
    <n v="8"/>
    <x v="1"/>
    <x v="0"/>
    <n v="0.35948245519473521"/>
    <n v="0.95985417102304971"/>
  </r>
  <r>
    <s v="C0305"/>
    <x v="11"/>
    <x v="3"/>
    <x v="2"/>
    <n v="993027"/>
    <n v="401220"/>
    <n v="562119"/>
    <n v="26917"/>
    <n v="2957"/>
    <n v="955"/>
    <n v="7.6838143661831424"/>
    <n v="426436"/>
    <n v="1223931"/>
    <n v="187.0139950660826"/>
    <d v="2026-02-27T00:00:00"/>
    <d v="2026-03-22T00:00:00"/>
    <x v="2"/>
    <n v="23"/>
    <x v="1"/>
    <x v="1"/>
    <n v="1.0628483126464283"/>
    <n v="3.0505234036189623"/>
  </r>
  <r>
    <s v="C0306"/>
    <x v="1"/>
    <x v="0"/>
    <x v="3"/>
    <n v="138130"/>
    <n v="65073"/>
    <n v="113221"/>
    <n v="6756"/>
    <n v="596"/>
    <n v="584"/>
    <n v="12.195534246154319"/>
    <n v="385679"/>
    <n v="672414"/>
    <n v="74.34550494063717"/>
    <d v="2025-12-26T00:00:00"/>
    <d v="2026-01-12T00:00:00"/>
    <x v="7"/>
    <n v="17"/>
    <x v="5"/>
    <x v="0"/>
    <n v="5.9268667496503928"/>
    <n v="10.333225761836706"/>
  </r>
  <r>
    <s v="C0307"/>
    <x v="3"/>
    <x v="0"/>
    <x v="5"/>
    <n v="681307"/>
    <n v="539083"/>
    <n v="1503698"/>
    <n v="70750"/>
    <n v="7825"/>
    <n v="3955"/>
    <n v="15.309330845157424"/>
    <n v="253738"/>
    <n v="481665"/>
    <n v="89.827696285144526"/>
    <d v="2026-03-22T00:00:00"/>
    <d v="2026-04-11T00:00:00"/>
    <x v="2"/>
    <n v="20"/>
    <x v="9"/>
    <x v="1"/>
    <n v="0.47068447715843387"/>
    <n v="0.89348949976163228"/>
  </r>
  <r>
    <s v="C0308"/>
    <x v="7"/>
    <x v="1"/>
    <x v="0"/>
    <n v="864679"/>
    <n v="244509"/>
    <n v="435403"/>
    <n v="6014"/>
    <n v="843"/>
    <n v="322"/>
    <n v="2.9360882421505958"/>
    <n v="335125"/>
    <n v="1630475"/>
    <n v="386.52741514360309"/>
    <d v="2025-03-07T00:00:00"/>
    <d v="2025-04-04T00:00:00"/>
    <x v="7"/>
    <n v="28"/>
    <x v="9"/>
    <x v="0"/>
    <n v="1.3706039450490575"/>
    <n v="6.6683639457034305"/>
  </r>
  <r>
    <s v="C0309"/>
    <x v="13"/>
    <x v="4"/>
    <x v="0"/>
    <n v="1912401"/>
    <n v="1645503"/>
    <n v="3683317"/>
    <n v="197100"/>
    <n v="21364"/>
    <n v="16715"/>
    <n v="14.292225538330833"/>
    <n v="425922"/>
    <n v="1483433"/>
    <n v="248.28747986720572"/>
    <d v="2025-05-24T00:00:00"/>
    <d v="2025-06-05T00:00:00"/>
    <x v="7"/>
    <n v="12"/>
    <x v="4"/>
    <x v="0"/>
    <n v="0.25884000211485486"/>
    <n v="0.90150732025405"/>
  </r>
  <r>
    <s v="C0310"/>
    <x v="1"/>
    <x v="1"/>
    <x v="5"/>
    <n v="1192106"/>
    <n v="999985"/>
    <n v="2991568"/>
    <n v="83679"/>
    <n v="5447"/>
    <n v="3143"/>
    <n v="9.2270384055760832"/>
    <n v="469838"/>
    <n v="1630922"/>
    <n v="247.12432795984998"/>
    <d v="2025-10-24T00:00:00"/>
    <d v="2025-11-17T00:00:00"/>
    <x v="3"/>
    <n v="24"/>
    <x v="8"/>
    <x v="0"/>
    <n v="0.46984504767571511"/>
    <n v="1.6309464641969629"/>
  </r>
  <r>
    <s v="C0311"/>
    <x v="3"/>
    <x v="3"/>
    <x v="5"/>
    <n v="1849089"/>
    <n v="990494"/>
    <n v="2967942"/>
    <n v="59380"/>
    <n v="6485"/>
    <n v="5552"/>
    <n v="7.2102405466363244"/>
    <n v="305171"/>
    <n v="504671"/>
    <n v="65.373184214751731"/>
    <d v="2025-05-06T00:00:00"/>
    <d v="2025-05-30T00:00:00"/>
    <x v="0"/>
    <n v="24"/>
    <x v="4"/>
    <x v="0"/>
    <n v="0.30809979666711762"/>
    <n v="0.50951444430758797"/>
  </r>
  <r>
    <s v="C0312"/>
    <x v="13"/>
    <x v="1"/>
    <x v="4"/>
    <n v="477438"/>
    <n v="244137"/>
    <n v="518217"/>
    <n v="19040"/>
    <n v="1527"/>
    <n v="1333"/>
    <n v="8.9703731921011567"/>
    <n v="407405"/>
    <n v="1741932"/>
    <n v="327.56765380886344"/>
    <d v="2025-02-05T00:00:00"/>
    <d v="2025-02-25T00:00:00"/>
    <x v="1"/>
    <n v="20"/>
    <x v="1"/>
    <x v="0"/>
    <n v="1.6687556576840052"/>
    <n v="7.1350594133621694"/>
  </r>
  <r>
    <s v="C0313"/>
    <x v="9"/>
    <x v="2"/>
    <x v="2"/>
    <n v="1996966"/>
    <n v="1269064"/>
    <n v="3341548"/>
    <n v="97362"/>
    <n v="12172"/>
    <n v="5486"/>
    <n v="9.0633726904238081"/>
    <n v="488728"/>
    <n v="692992"/>
    <n v="41.795027090733491"/>
    <d v="2026-01-07T00:00:00"/>
    <d v="2026-01-27T00:00:00"/>
    <x v="3"/>
    <n v="20"/>
    <x v="10"/>
    <x v="1"/>
    <n v="0.38510902523434593"/>
    <n v="0.54606544665990053"/>
  </r>
  <r>
    <s v="C0314"/>
    <x v="5"/>
    <x v="2"/>
    <x v="5"/>
    <n v="507615"/>
    <n v="308861"/>
    <n v="467143"/>
    <n v="15320"/>
    <n v="1636"/>
    <n v="426"/>
    <n v="5.627774306241319"/>
    <n v="41659"/>
    <n v="201445"/>
    <n v="383.55697448330494"/>
    <d v="2025-04-08T00:00:00"/>
    <d v="2025-05-05T00:00:00"/>
    <x v="5"/>
    <n v="27"/>
    <x v="2"/>
    <x v="0"/>
    <n v="0.1348794441512525"/>
    <n v="0.65221895933769558"/>
  </r>
  <r>
    <s v="C0315"/>
    <x v="7"/>
    <x v="2"/>
    <x v="7"/>
    <n v="1745540"/>
    <n v="842812"/>
    <n v="1799921"/>
    <n v="35403"/>
    <n v="5230"/>
    <n v="2954"/>
    <n v="5.1716159712960899"/>
    <n v="154266"/>
    <n v="312516"/>
    <n v="102.58255221500525"/>
    <d v="2025-10-09T00:00:00"/>
    <d v="2025-11-08T00:00:00"/>
    <x v="6"/>
    <n v="30"/>
    <x v="8"/>
    <x v="0"/>
    <n v="0.18303726097872361"/>
    <n v="0.37080155479513816"/>
  </r>
  <r>
    <s v="C0316"/>
    <x v="5"/>
    <x v="3"/>
    <x v="1"/>
    <n v="100618"/>
    <n v="35574"/>
    <n v="98429"/>
    <n v="1962"/>
    <n v="271"/>
    <n v="129"/>
    <n v="6.6396806656546916"/>
    <n v="30366"/>
    <n v="47360"/>
    <n v="55.9639070012514"/>
    <d v="2025-05-16T00:00:00"/>
    <d v="2025-06-10T00:00:00"/>
    <x v="4"/>
    <n v="25"/>
    <x v="4"/>
    <x v="0"/>
    <n v="0.85360094451003543"/>
    <n v="1.3313093832574352"/>
  </r>
  <r>
    <s v="C0317"/>
    <x v="4"/>
    <x v="0"/>
    <x v="1"/>
    <n v="1939718"/>
    <n v="571153"/>
    <n v="653560"/>
    <n v="80559"/>
    <n v="9162"/>
    <n v="2486"/>
    <n v="16.144010449039047"/>
    <n v="200256"/>
    <n v="234411"/>
    <n v="17.055668744007672"/>
    <d v="2025-01-30T00:00:00"/>
    <d v="2025-03-01T00:00:00"/>
    <x v="0"/>
    <n v="30"/>
    <x v="10"/>
    <x v="0"/>
    <n v="0.3506170850892843"/>
    <n v="0.41041717368200814"/>
  </r>
  <r>
    <s v="C0318"/>
    <x v="10"/>
    <x v="1"/>
    <x v="3"/>
    <n v="1961155"/>
    <n v="724578"/>
    <n v="1847501"/>
    <n v="21647"/>
    <n v="2308"/>
    <n v="869"/>
    <n v="3.4259941648794192"/>
    <n v="317983"/>
    <n v="931564"/>
    <n v="192.96031548856385"/>
    <d v="2025-05-20T00:00:00"/>
    <d v="2025-06-15T00:00:00"/>
    <x v="7"/>
    <n v="26"/>
    <x v="4"/>
    <x v="0"/>
    <n v="0.43885268390704657"/>
    <n v="1.2856642073041136"/>
  </r>
  <r>
    <s v="C0319"/>
    <x v="6"/>
    <x v="4"/>
    <x v="6"/>
    <n v="386165"/>
    <n v="98487"/>
    <n v="132942"/>
    <n v="8585"/>
    <n v="1177"/>
    <n v="529"/>
    <n v="10.449094804390427"/>
    <n v="74478"/>
    <n v="144864"/>
    <n v="94.50576009022798"/>
    <d v="2025-01-16T00:00:00"/>
    <d v="2025-02-07T00:00:00"/>
    <x v="7"/>
    <n v="22"/>
    <x v="10"/>
    <x v="0"/>
    <n v="0.75622163331201075"/>
    <n v="1.4708946358402633"/>
  </r>
  <r>
    <s v="C0320"/>
    <x v="7"/>
    <x v="4"/>
    <x v="6"/>
    <n v="1011855"/>
    <n v="585873"/>
    <n v="1506048"/>
    <n v="87815"/>
    <n v="3317"/>
    <n v="8197"/>
    <n v="16.954015631374034"/>
    <n v="362603"/>
    <n v="1550865"/>
    <n v="327.70330085520527"/>
    <d v="2026-04-21T00:00:00"/>
    <d v="2026-05-12T00:00:00"/>
    <x v="0"/>
    <n v="21"/>
    <x v="2"/>
    <x v="1"/>
    <n v="0.6189105830103111"/>
    <n v="2.6471009928772959"/>
  </r>
  <r>
    <s v="C0321"/>
    <x v="6"/>
    <x v="2"/>
    <x v="7"/>
    <n v="550121"/>
    <n v="143878"/>
    <n v="406857"/>
    <n v="13305"/>
    <n v="588"/>
    <n v="471"/>
    <n v="9.9834582076481464"/>
    <n v="201847"/>
    <n v="286824"/>
    <n v="42.099709185670335"/>
    <d v="2025-10-05T00:00:00"/>
    <d v="2025-10-19T00:00:00"/>
    <x v="1"/>
    <n v="14"/>
    <x v="8"/>
    <x v="0"/>
    <n v="1.4029038490943717"/>
    <n v="1.9935222897176774"/>
  </r>
  <r>
    <s v="C0322"/>
    <x v="14"/>
    <x v="1"/>
    <x v="3"/>
    <n v="1510444"/>
    <n v="972560"/>
    <n v="2584817"/>
    <n v="76970"/>
    <n v="7835"/>
    <n v="2047"/>
    <n v="8.9302459488360615"/>
    <n v="469228"/>
    <n v="967717"/>
    <n v="106.23598762222204"/>
    <d v="2025-01-31T00:00:00"/>
    <d v="2025-02-15T00:00:00"/>
    <x v="3"/>
    <n v="15"/>
    <x v="10"/>
    <x v="0"/>
    <n v="0.48246689150283789"/>
    <n v="0.99502035864111216"/>
  </r>
  <r>
    <s v="C0323"/>
    <x v="10"/>
    <x v="3"/>
    <x v="2"/>
    <n v="1141526"/>
    <n v="734662"/>
    <n v="1458119"/>
    <n v="27687"/>
    <n v="861"/>
    <n v="1264"/>
    <n v="4.0579205131067075"/>
    <n v="88337"/>
    <n v="152571"/>
    <n v="72.714717502292359"/>
    <d v="2025-10-02T00:00:00"/>
    <d v="2025-10-13T00:00:00"/>
    <x v="7"/>
    <n v="11"/>
    <x v="8"/>
    <x v="0"/>
    <n v="0.12024168937552235"/>
    <n v="0.2076750941249173"/>
  </r>
  <r>
    <s v="C0324"/>
    <x v="13"/>
    <x v="2"/>
    <x v="0"/>
    <n v="1029293"/>
    <n v="455010"/>
    <n v="1027381"/>
    <n v="33843"/>
    <n v="4743"/>
    <n v="869"/>
    <n v="8.6712379947693456"/>
    <n v="207965"/>
    <n v="755934"/>
    <n v="263.49097203856417"/>
    <d v="2025-09-04T00:00:00"/>
    <d v="2025-09-27T00:00:00"/>
    <x v="0"/>
    <n v="23"/>
    <x v="11"/>
    <x v="0"/>
    <n v="0.45705588888156307"/>
    <n v="1.6613568932550933"/>
  </r>
  <r>
    <s v="C0325"/>
    <x v="14"/>
    <x v="1"/>
    <x v="1"/>
    <n v="1676533"/>
    <n v="1066667"/>
    <n v="3167641"/>
    <n v="71023"/>
    <n v="9529"/>
    <n v="1875"/>
    <n v="7.7275288351472389"/>
    <n v="422467"/>
    <n v="1295513"/>
    <n v="206.65424755069628"/>
    <d v="2025-09-20T00:00:00"/>
    <d v="2025-10-04T00:00:00"/>
    <x v="4"/>
    <n v="14"/>
    <x v="11"/>
    <x v="0"/>
    <n v="0.39606268873040978"/>
    <n v="1.2145430579552945"/>
  </r>
  <r>
    <s v="C0326"/>
    <x v="3"/>
    <x v="1"/>
    <x v="3"/>
    <n v="1655164"/>
    <n v="920422"/>
    <n v="1064222"/>
    <n v="110889"/>
    <n v="6405"/>
    <n v="2682"/>
    <n v="13.034890517610402"/>
    <n v="193017"/>
    <n v="652151"/>
    <n v="237.87231176528491"/>
    <d v="2026-04-26T00:00:00"/>
    <d v="2026-05-17T00:00:00"/>
    <x v="4"/>
    <n v="21"/>
    <x v="2"/>
    <x v="1"/>
    <n v="0.20970489623238037"/>
    <n v="0.70853478078533538"/>
  </r>
  <r>
    <s v="C0327"/>
    <x v="3"/>
    <x v="0"/>
    <x v="4"/>
    <n v="1806048"/>
    <n v="1338940"/>
    <n v="2947185"/>
    <n v="50575"/>
    <n v="3299"/>
    <n v="4127"/>
    <n v="4.3318595306735181"/>
    <n v="128807"/>
    <n v="620044"/>
    <n v="381.37445946260686"/>
    <d v="2025-07-01T00:00:00"/>
    <d v="2025-07-17T00:00:00"/>
    <x v="6"/>
    <n v="16"/>
    <x v="7"/>
    <x v="0"/>
    <n v="9.6200725947391222E-2"/>
    <n v="0.46308572452835828"/>
  </r>
  <r>
    <s v="C0328"/>
    <x v="14"/>
    <x v="4"/>
    <x v="6"/>
    <n v="1204957"/>
    <n v="639061"/>
    <n v="1784304"/>
    <n v="51455"/>
    <n v="6638"/>
    <n v="4567"/>
    <n v="9.8050107892673779"/>
    <n v="459603"/>
    <n v="533087"/>
    <n v="15.988581449642409"/>
    <d v="2025-07-18T00:00:00"/>
    <d v="2025-08-04T00:00:00"/>
    <x v="7"/>
    <n v="17"/>
    <x v="7"/>
    <x v="0"/>
    <n v="0.71918486654638603"/>
    <n v="0.83417232470765701"/>
  </r>
  <r>
    <s v="C0329"/>
    <x v="4"/>
    <x v="4"/>
    <x v="5"/>
    <n v="1123364"/>
    <n v="724500"/>
    <n v="921325"/>
    <n v="32096"/>
    <n v="2408"/>
    <n v="1453"/>
    <n v="4.9630089717046237"/>
    <n v="483058"/>
    <n v="2221746"/>
    <n v="359.93358975526746"/>
    <d v="2025-09-21T00:00:00"/>
    <d v="2025-10-02T00:00:00"/>
    <x v="5"/>
    <n v="11"/>
    <x v="11"/>
    <x v="0"/>
    <n v="0.66674672187715667"/>
    <n v="3.0665921325051761"/>
  </r>
  <r>
    <s v="C0330"/>
    <x v="6"/>
    <x v="3"/>
    <x v="1"/>
    <n v="1021687"/>
    <n v="429854"/>
    <n v="1108232"/>
    <n v="44694"/>
    <n v="3227"/>
    <n v="3662"/>
    <n v="12.000120971306536"/>
    <n v="325123"/>
    <n v="412585"/>
    <n v="26.901203544504693"/>
    <d v="2025-12-30T00:00:00"/>
    <d v="2026-01-28T00:00:00"/>
    <x v="5"/>
    <n v="29"/>
    <x v="5"/>
    <x v="0"/>
    <n v="0.75635680952137241"/>
    <n v="0.95982589437343846"/>
  </r>
  <r>
    <s v="C0331"/>
    <x v="2"/>
    <x v="2"/>
    <x v="2"/>
    <n v="799729"/>
    <n v="641047"/>
    <n v="1410799"/>
    <n v="30298"/>
    <n v="1936"/>
    <n v="2517"/>
    <n v="5.4209753731005685"/>
    <n v="31080"/>
    <n v="86956"/>
    <n v="179.78120978120978"/>
    <d v="2025-05-30T00:00:00"/>
    <d v="2025-06-08T00:00:00"/>
    <x v="6"/>
    <n v="9"/>
    <x v="4"/>
    <x v="0"/>
    <n v="4.8483184540291116E-2"/>
    <n v="0.13564684024728296"/>
  </r>
  <r>
    <s v="C0332"/>
    <x v="11"/>
    <x v="4"/>
    <x v="2"/>
    <n v="1154091"/>
    <n v="420650"/>
    <n v="806312"/>
    <n v="59563"/>
    <n v="2362"/>
    <n v="5271"/>
    <n v="15.97432544871033"/>
    <n v="433188"/>
    <n v="1188162"/>
    <n v="174.28322114185988"/>
    <d v="2025-05-22T00:00:00"/>
    <d v="2025-06-20T00:00:00"/>
    <x v="0"/>
    <n v="29"/>
    <x v="4"/>
    <x v="0"/>
    <n v="1.0298062522286937"/>
    <n v="2.8245857601331275"/>
  </r>
  <r>
    <s v="C0333"/>
    <x v="8"/>
    <x v="4"/>
    <x v="0"/>
    <n v="812533"/>
    <n v="381139"/>
    <n v="1053171"/>
    <n v="47076"/>
    <n v="5911"/>
    <n v="4588"/>
    <n v="15.106037429914021"/>
    <n v="18472"/>
    <n v="63928"/>
    <n v="246.08055435253357"/>
    <d v="2025-09-02T00:00:00"/>
    <d v="2025-09-19T00:00:00"/>
    <x v="3"/>
    <n v="17"/>
    <x v="11"/>
    <x v="0"/>
    <n v="4.8465258081697229E-2"/>
    <n v="0.16772883383752385"/>
  </r>
  <r>
    <s v="C0334"/>
    <x v="11"/>
    <x v="4"/>
    <x v="2"/>
    <n v="1060411"/>
    <n v="792856"/>
    <n v="2104764"/>
    <n v="77292"/>
    <n v="7301"/>
    <n v="6884"/>
    <n v="11.537656270495525"/>
    <n v="461469"/>
    <n v="876805"/>
    <n v="90.003012119990728"/>
    <d v="2025-06-15T00:00:00"/>
    <d v="2025-07-01T00:00:00"/>
    <x v="4"/>
    <n v="16"/>
    <x v="0"/>
    <x v="0"/>
    <n v="0.58203381194062986"/>
    <n v="1.1058817742439988"/>
  </r>
  <r>
    <s v="C0335"/>
    <x v="7"/>
    <x v="0"/>
    <x v="6"/>
    <n v="1335309"/>
    <n v="1097717"/>
    <n v="1574100"/>
    <n v="87982"/>
    <n v="6988"/>
    <n v="3771"/>
    <n v="8.9951235154415947"/>
    <n v="119058"/>
    <n v="264638"/>
    <n v="122.27653748593124"/>
    <d v="2025-11-22T00:00:00"/>
    <d v="2025-12-04T00:00:00"/>
    <x v="1"/>
    <n v="12"/>
    <x v="6"/>
    <x v="0"/>
    <n v="0.10845964852507523"/>
    <n v="0.2410803513109481"/>
  </r>
  <r>
    <s v="C0336"/>
    <x v="6"/>
    <x v="2"/>
    <x v="2"/>
    <n v="1794710"/>
    <n v="1063930"/>
    <n v="1240002"/>
    <n v="46582"/>
    <n v="5365"/>
    <n v="1489"/>
    <n v="5.0225108794751536"/>
    <n v="343015"/>
    <n v="513821"/>
    <n v="49.79548999314899"/>
    <d v="2026-01-20T00:00:00"/>
    <d v="2026-01-30T00:00:00"/>
    <x v="4"/>
    <n v="10"/>
    <x v="10"/>
    <x v="1"/>
    <n v="0.32240372956867464"/>
    <n v="0.48294624646358314"/>
  </r>
  <r>
    <s v="C0337"/>
    <x v="7"/>
    <x v="4"/>
    <x v="0"/>
    <n v="1681698"/>
    <n v="1211826"/>
    <n v="2239123"/>
    <n v="92226"/>
    <n v="11044"/>
    <n v="7161"/>
    <n v="9.1127769168180919"/>
    <n v="271117"/>
    <n v="816297"/>
    <n v="201.08661574154331"/>
    <d v="2025-11-18T00:00:00"/>
    <d v="2025-12-05T00:00:00"/>
    <x v="6"/>
    <n v="17"/>
    <x v="6"/>
    <x v="0"/>
    <n v="0.22372601347058077"/>
    <n v="0.67360908249204099"/>
  </r>
  <r>
    <s v="C0338"/>
    <x v="14"/>
    <x v="1"/>
    <x v="6"/>
    <n v="763748"/>
    <n v="367175"/>
    <n v="631450"/>
    <n v="15654"/>
    <n v="1583"/>
    <n v="928"/>
    <n v="4.947232246204126"/>
    <n v="274625"/>
    <n v="1240227"/>
    <n v="351.60746472462449"/>
    <d v="2025-03-12T00:00:00"/>
    <d v="2025-03-20T00:00:00"/>
    <x v="0"/>
    <n v="8"/>
    <x v="9"/>
    <x v="0"/>
    <n v="0.74794035541635462"/>
    <n v="3.3777544767481444"/>
  </r>
  <r>
    <s v="C0339"/>
    <x v="5"/>
    <x v="3"/>
    <x v="0"/>
    <n v="1464526"/>
    <n v="633673"/>
    <n v="803159"/>
    <n v="76377"/>
    <n v="3873"/>
    <n v="6491"/>
    <n v="13.688605952912622"/>
    <n v="437006"/>
    <n v="1246604"/>
    <n v="185.26015661112206"/>
    <d v="2025-03-04T00:00:00"/>
    <d v="2025-03-15T00:00:00"/>
    <x v="0"/>
    <n v="11"/>
    <x v="9"/>
    <x v="0"/>
    <n v="0.68963960907281829"/>
    <n v="1.9672670288934513"/>
  </r>
  <r>
    <s v="C0340"/>
    <x v="9"/>
    <x v="4"/>
    <x v="7"/>
    <n v="1365161"/>
    <n v="955239"/>
    <n v="2545533"/>
    <n v="121489"/>
    <n v="11302"/>
    <n v="9035"/>
    <n v="14.847174372068142"/>
    <n v="217593"/>
    <n v="310401"/>
    <n v="42.652107374777678"/>
    <d v="2025-12-01T00:00:00"/>
    <d v="2025-12-22T00:00:00"/>
    <x v="2"/>
    <n v="21"/>
    <x v="5"/>
    <x v="0"/>
    <n v="0.22778906640118338"/>
    <n v="0.32494590359061976"/>
  </r>
  <r>
    <s v="C0341"/>
    <x v="0"/>
    <x v="0"/>
    <x v="1"/>
    <n v="1228328"/>
    <n v="581424"/>
    <n v="1731730"/>
    <n v="73757"/>
    <n v="6229"/>
    <n v="2010"/>
    <n v="14.102617023033105"/>
    <n v="483325"/>
    <n v="1448061"/>
    <n v="199.60399317229607"/>
    <d v="2025-09-04T00:00:00"/>
    <d v="2025-09-16T00:00:00"/>
    <x v="2"/>
    <n v="12"/>
    <x v="11"/>
    <x v="0"/>
    <n v="0.83127803461845395"/>
    <n v="2.4905421860810701"/>
  </r>
  <r>
    <s v="C0342"/>
    <x v="12"/>
    <x v="2"/>
    <x v="1"/>
    <n v="360849"/>
    <n v="230377"/>
    <n v="590420"/>
    <n v="19954"/>
    <n v="1631"/>
    <n v="593"/>
    <n v="9.6268290671377788"/>
    <n v="374732"/>
    <n v="982200"/>
    <n v="162.10731936423898"/>
    <d v="2025-02-01T00:00:00"/>
    <d v="2025-02-13T00:00:00"/>
    <x v="5"/>
    <n v="12"/>
    <x v="1"/>
    <x v="0"/>
    <n v="1.6266033501608232"/>
    <n v="4.26344643779544"/>
  </r>
  <r>
    <s v="C0343"/>
    <x v="10"/>
    <x v="2"/>
    <x v="5"/>
    <n v="350447"/>
    <n v="149360"/>
    <n v="317534"/>
    <n v="12603"/>
    <n v="688"/>
    <n v="1001"/>
    <n v="9.5688269951794318"/>
    <n v="340907"/>
    <n v="1524490"/>
    <n v="347.18647607705327"/>
    <d v="2025-03-30T00:00:00"/>
    <d v="2025-04-21T00:00:00"/>
    <x v="4"/>
    <n v="22"/>
    <x v="9"/>
    <x v="0"/>
    <n v="2.2824517943224425"/>
    <n v="10.206815747188003"/>
  </r>
  <r>
    <s v="C0344"/>
    <x v="4"/>
    <x v="2"/>
    <x v="6"/>
    <n v="1039887"/>
    <n v="525301"/>
    <n v="637232"/>
    <n v="43921"/>
    <n v="5407"/>
    <n v="1566"/>
    <n v="9.6885404748896349"/>
    <n v="326743"/>
    <n v="1020925"/>
    <n v="212.45504876921621"/>
    <d v="2025-04-30T00:00:00"/>
    <d v="2025-05-30T00:00:00"/>
    <x v="1"/>
    <n v="30"/>
    <x v="2"/>
    <x v="0"/>
    <n v="0.62201099940795845"/>
    <n v="1.9435047715500255"/>
  </r>
  <r>
    <s v="C0345"/>
    <x v="3"/>
    <x v="3"/>
    <x v="7"/>
    <n v="550461"/>
    <n v="388388"/>
    <n v="1078597"/>
    <n v="39380"/>
    <n v="3046"/>
    <n v="2992"/>
    <n v="11.693976126965817"/>
    <n v="479588"/>
    <n v="1179620"/>
    <n v="145.96528687123114"/>
    <d v="2026-04-28T00:00:00"/>
    <d v="2026-05-06T00:00:00"/>
    <x v="3"/>
    <n v="8"/>
    <x v="2"/>
    <x v="1"/>
    <n v="1.2348167296620904"/>
    <n v="3.0372205114473156"/>
  </r>
  <r>
    <s v="C0346"/>
    <x v="12"/>
    <x v="4"/>
    <x v="7"/>
    <n v="1615219"/>
    <n v="1077554"/>
    <n v="2832778"/>
    <n v="30256"/>
    <n v="4279"/>
    <n v="1173"/>
    <n v="3.3138014428975251"/>
    <n v="491273"/>
    <n v="1862306"/>
    <n v="279.07762079332673"/>
    <d v="2026-04-15T00:00:00"/>
    <d v="2026-04-26T00:00:00"/>
    <x v="2"/>
    <n v="11"/>
    <x v="2"/>
    <x v="1"/>
    <n v="0.45591497038663492"/>
    <n v="1.7282716225822556"/>
  </r>
  <r>
    <s v="C0347"/>
    <x v="4"/>
    <x v="3"/>
    <x v="0"/>
    <n v="1749034"/>
    <n v="686064"/>
    <n v="1733310"/>
    <n v="26473"/>
    <n v="3707"/>
    <n v="2298"/>
    <n v="4.7339606800531726"/>
    <n v="192059"/>
    <n v="929600"/>
    <n v="384.01793198964901"/>
    <d v="2025-10-21T00:00:00"/>
    <d v="2025-11-09T00:00:00"/>
    <x v="3"/>
    <n v="19"/>
    <x v="8"/>
    <x v="0"/>
    <n v="0.27994327059866136"/>
    <n v="1.3549756290958277"/>
  </r>
  <r>
    <s v="C0348"/>
    <x v="10"/>
    <x v="3"/>
    <x v="4"/>
    <n v="74338"/>
    <n v="53154"/>
    <n v="72525"/>
    <n v="4798"/>
    <n v="667"/>
    <n v="164"/>
    <n v="10.589983820596757"/>
    <n v="301001"/>
    <n v="880018"/>
    <n v="192.36381274480817"/>
    <d v="2025-10-11T00:00:00"/>
    <d v="2025-11-03T00:00:00"/>
    <x v="4"/>
    <n v="23"/>
    <x v="8"/>
    <x v="0"/>
    <n v="5.6628099484516685"/>
    <n v="16.556007073785604"/>
  </r>
  <r>
    <s v="C0349"/>
    <x v="4"/>
    <x v="4"/>
    <x v="7"/>
    <n v="988558"/>
    <n v="846820"/>
    <n v="1699247"/>
    <n v="45584"/>
    <n v="1739"/>
    <n v="1528"/>
    <n v="5.7687584138305663"/>
    <n v="385603"/>
    <n v="859542"/>
    <n v="122.90853546263905"/>
    <d v="2025-06-13T00:00:00"/>
    <d v="2025-06-22T00:00:00"/>
    <x v="1"/>
    <n v="9"/>
    <x v="0"/>
    <x v="0"/>
    <n v="0.45535414846130229"/>
    <n v="1.0150232635034599"/>
  </r>
  <r>
    <s v="C0350"/>
    <x v="0"/>
    <x v="1"/>
    <x v="2"/>
    <n v="1916524"/>
    <n v="1073444"/>
    <n v="1337384"/>
    <n v="158880"/>
    <n v="10748"/>
    <n v="9212"/>
    <n v="16.660394021485985"/>
    <n v="73260"/>
    <n v="335547"/>
    <n v="358.02211302211305"/>
    <d v="2026-01-05T00:00:00"/>
    <d v="2026-01-13T00:00:00"/>
    <x v="2"/>
    <n v="8"/>
    <x v="10"/>
    <x v="1"/>
    <n v="6.8247621673790157E-2"/>
    <n v="0.31258919887763126"/>
  </r>
  <r>
    <s v="C0351"/>
    <x v="3"/>
    <x v="0"/>
    <x v="2"/>
    <n v="567845"/>
    <n v="399439"/>
    <n v="513704"/>
    <n v="27496"/>
    <n v="1821"/>
    <n v="1041"/>
    <n v="7.6001592233106932"/>
    <n v="411604"/>
    <n v="693853"/>
    <n v="68.572948756571847"/>
    <d v="2025-10-12T00:00:00"/>
    <d v="2025-11-06T00:00:00"/>
    <x v="7"/>
    <n v="25"/>
    <x v="8"/>
    <x v="0"/>
    <n v="1.0304552134368452"/>
    <n v="1.7370687389063162"/>
  </r>
  <r>
    <s v="C0352"/>
    <x v="0"/>
    <x v="0"/>
    <x v="5"/>
    <n v="1299458"/>
    <n v="335286"/>
    <n v="373992"/>
    <n v="27285"/>
    <n v="1683"/>
    <n v="1933"/>
    <n v="9.2163108510346401"/>
    <n v="144022"/>
    <n v="655997"/>
    <n v="355.48388440654901"/>
    <d v="2025-09-03T00:00:00"/>
    <d v="2025-09-13T00:00:00"/>
    <x v="6"/>
    <n v="10"/>
    <x v="11"/>
    <x v="0"/>
    <n v="0.42954969786987823"/>
    <n v="1.9565296493143167"/>
  </r>
  <r>
    <s v="C0353"/>
    <x v="4"/>
    <x v="2"/>
    <x v="4"/>
    <n v="1287983"/>
    <n v="750186"/>
    <n v="985462"/>
    <n v="56284"/>
    <n v="5776"/>
    <n v="1182"/>
    <n v="8.4301759830228757"/>
    <n v="78138"/>
    <n v="177997"/>
    <n v="127.79825437047276"/>
    <d v="2025-04-03T00:00:00"/>
    <d v="2025-05-03T00:00:00"/>
    <x v="2"/>
    <n v="30"/>
    <x v="2"/>
    <x v="0"/>
    <n v="0.10415816877414401"/>
    <n v="0.2372704902517509"/>
  </r>
  <r>
    <s v="C0354"/>
    <x v="11"/>
    <x v="0"/>
    <x v="1"/>
    <n v="505724"/>
    <n v="240077"/>
    <n v="594168"/>
    <n v="24293"/>
    <n v="2966"/>
    <n v="1499"/>
    <n v="11.978656847594731"/>
    <n v="346470"/>
    <n v="1593190"/>
    <n v="359.83490634109734"/>
    <d v="2025-06-23T00:00:00"/>
    <d v="2025-07-06T00:00:00"/>
    <x v="6"/>
    <n v="13"/>
    <x v="0"/>
    <x v="0"/>
    <n v="1.4431619855296425"/>
    <n v="6.6361625645105526"/>
  </r>
  <r>
    <s v="C0355"/>
    <x v="11"/>
    <x v="4"/>
    <x v="7"/>
    <n v="817246"/>
    <n v="548913"/>
    <n v="1350796"/>
    <n v="29549"/>
    <n v="2045"/>
    <n v="1526"/>
    <n v="6.0337430521776678"/>
    <n v="476562"/>
    <n v="1661415"/>
    <n v="248.62515265589789"/>
    <d v="2025-09-23T00:00:00"/>
    <d v="2025-10-04T00:00:00"/>
    <x v="4"/>
    <n v="11"/>
    <x v="11"/>
    <x v="0"/>
    <n v="0.86819222718354272"/>
    <n v="3.0267364773652656"/>
  </r>
  <r>
    <s v="C0356"/>
    <x v="13"/>
    <x v="1"/>
    <x v="0"/>
    <n v="307779"/>
    <n v="258502"/>
    <n v="335162"/>
    <n v="17228"/>
    <n v="2329"/>
    <n v="1502"/>
    <n v="8.1465520576243122"/>
    <n v="17635"/>
    <n v="57573"/>
    <n v="226.47008789339381"/>
    <d v="2025-02-14T00:00:00"/>
    <d v="2025-02-23T00:00:00"/>
    <x v="6"/>
    <n v="9"/>
    <x v="1"/>
    <x v="0"/>
    <n v="6.8219975087233362E-2"/>
    <n v="0.22271781262814214"/>
  </r>
  <r>
    <s v="C0357"/>
    <x v="1"/>
    <x v="1"/>
    <x v="2"/>
    <n v="777978"/>
    <n v="241529"/>
    <n v="602523"/>
    <n v="27969"/>
    <n v="1829"/>
    <n v="2174"/>
    <n v="13.23733381912731"/>
    <n v="106874"/>
    <n v="431677"/>
    <n v="303.91208338791478"/>
    <d v="2025-12-27T00:00:00"/>
    <d v="2026-01-06T00:00:00"/>
    <x v="1"/>
    <n v="10"/>
    <x v="5"/>
    <x v="0"/>
    <n v="0.4424893077021807"/>
    <n v="1.7872677815086386"/>
  </r>
  <r>
    <s v="C0358"/>
    <x v="6"/>
    <x v="1"/>
    <x v="0"/>
    <n v="518096"/>
    <n v="308458"/>
    <n v="747421"/>
    <n v="17829"/>
    <n v="1329"/>
    <n v="1527"/>
    <n v="6.7059372750909372"/>
    <n v="55622"/>
    <n v="104108"/>
    <n v="87.170544029340917"/>
    <d v="2025-11-12T00:00:00"/>
    <d v="2025-12-12T00:00:00"/>
    <x v="0"/>
    <n v="30"/>
    <x v="6"/>
    <x v="0"/>
    <n v="0.18032276679483106"/>
    <n v="0.337511103618645"/>
  </r>
  <r>
    <s v="C0359"/>
    <x v="5"/>
    <x v="3"/>
    <x v="0"/>
    <n v="1981334"/>
    <n v="1059763"/>
    <n v="1826442"/>
    <n v="153442"/>
    <n v="18276"/>
    <n v="13156"/>
    <n v="17.444843799981694"/>
    <n v="390352"/>
    <n v="1461621"/>
    <n v="274.43666229454442"/>
    <d v="2025-08-30T00:00:00"/>
    <d v="2025-09-18T00:00:00"/>
    <x v="2"/>
    <n v="19"/>
    <x v="3"/>
    <x v="0"/>
    <n v="0.36833895880494033"/>
    <n v="1.3791961032796956"/>
  </r>
  <r>
    <s v="C0360"/>
    <x v="4"/>
    <x v="0"/>
    <x v="4"/>
    <n v="962198"/>
    <n v="306743"/>
    <n v="451991"/>
    <n v="42318"/>
    <n v="1809"/>
    <n v="1679"/>
    <n v="14.933022106453937"/>
    <n v="442595"/>
    <n v="1389710"/>
    <n v="213.99134649058396"/>
    <d v="2025-02-07T00:00:00"/>
    <d v="2025-02-21T00:00:00"/>
    <x v="6"/>
    <n v="14"/>
    <x v="1"/>
    <x v="0"/>
    <n v="1.4428854122180457"/>
    <n v="4.5305353341396541"/>
  </r>
  <r>
    <s v="C0361"/>
    <x v="7"/>
    <x v="3"/>
    <x v="6"/>
    <n v="771754"/>
    <n v="504968"/>
    <n v="818858"/>
    <n v="66425"/>
    <n v="7108"/>
    <n v="6305"/>
    <n v="15.810506804391567"/>
    <n v="211643"/>
    <n v="384772"/>
    <n v="81.802374753712613"/>
    <d v="2025-05-20T00:00:00"/>
    <d v="2025-06-17T00:00:00"/>
    <x v="0"/>
    <n v="28"/>
    <x v="4"/>
    <x v="0"/>
    <n v="0.41912160770583484"/>
    <n v="0.76197303591514709"/>
  </r>
  <r>
    <s v="C0362"/>
    <x v="1"/>
    <x v="2"/>
    <x v="7"/>
    <n v="554830"/>
    <n v="219423"/>
    <n v="441855"/>
    <n v="31532"/>
    <n v="3730"/>
    <n v="2283"/>
    <n v="17.11078601605119"/>
    <n v="256337"/>
    <n v="1096399"/>
    <n v="327.717808978025"/>
    <d v="2026-04-01T00:00:00"/>
    <d v="2026-04-14T00:00:00"/>
    <x v="4"/>
    <n v="13"/>
    <x v="2"/>
    <x v="1"/>
    <n v="1.1682321361024142"/>
    <n v="4.9967368963144247"/>
  </r>
  <r>
    <s v="C0363"/>
    <x v="1"/>
    <x v="2"/>
    <x v="3"/>
    <n v="1120619"/>
    <n v="919847"/>
    <n v="2055616"/>
    <n v="49918"/>
    <n v="2110"/>
    <n v="1766"/>
    <n v="5.8481464852306955"/>
    <n v="392151"/>
    <n v="1802051"/>
    <n v="359.52987497163082"/>
    <d v="2026-03-10T00:00:00"/>
    <d v="2026-03-18T00:00:00"/>
    <x v="2"/>
    <n v="8"/>
    <x v="9"/>
    <x v="1"/>
    <n v="0.42632198615639338"/>
    <n v="1.9590768899610478"/>
  </r>
  <r>
    <s v="C0364"/>
    <x v="13"/>
    <x v="4"/>
    <x v="0"/>
    <n v="1396868"/>
    <n v="480807"/>
    <n v="1100782"/>
    <n v="11547"/>
    <n v="591"/>
    <n v="454"/>
    <n v="2.6189302568390227"/>
    <n v="335097"/>
    <n v="548623"/>
    <n v="63.720654019582391"/>
    <d v="2026-02-03T00:00:00"/>
    <d v="2026-02-21T00:00:00"/>
    <x v="0"/>
    <n v="18"/>
    <x v="1"/>
    <x v="1"/>
    <n v="0.69694700784306385"/>
    <n v="1.1410461994105743"/>
  </r>
  <r>
    <s v="C0365"/>
    <x v="11"/>
    <x v="3"/>
    <x v="4"/>
    <n v="1803518"/>
    <n v="1177571"/>
    <n v="2093732"/>
    <n v="144772"/>
    <n v="17682"/>
    <n v="11168"/>
    <n v="14.744079125589879"/>
    <n v="41160"/>
    <n v="106159"/>
    <n v="157.91788143828961"/>
    <d v="2025-07-19T00:00:00"/>
    <d v="2025-08-16T00:00:00"/>
    <x v="7"/>
    <n v="28"/>
    <x v="7"/>
    <x v="0"/>
    <n v="3.4953306424835531E-2"/>
    <n v="9.0150827423569363E-2"/>
  </r>
  <r>
    <s v="C0366"/>
    <x v="6"/>
    <x v="1"/>
    <x v="6"/>
    <n v="217345"/>
    <n v="132957"/>
    <n v="394488"/>
    <n v="10258"/>
    <n v="469"/>
    <n v="219"/>
    <n v="8.232736899899967"/>
    <n v="227099"/>
    <n v="942091"/>
    <n v="314.83714151097098"/>
    <d v="2026-01-20T00:00:00"/>
    <d v="2026-02-08T00:00:00"/>
    <x v="4"/>
    <n v="19"/>
    <x v="10"/>
    <x v="1"/>
    <n v="1.7080635092548719"/>
    <n v="7.0856818369848895"/>
  </r>
  <r>
    <s v="C0367"/>
    <x v="7"/>
    <x v="1"/>
    <x v="3"/>
    <n v="814242"/>
    <n v="687849"/>
    <n v="1687987"/>
    <n v="65562"/>
    <n v="7582"/>
    <n v="5350"/>
    <n v="11.411516190326656"/>
    <n v="451131"/>
    <n v="1606935"/>
    <n v="256.20141378003285"/>
    <d v="2025-02-12T00:00:00"/>
    <d v="2025-02-22T00:00:00"/>
    <x v="3"/>
    <n v="10"/>
    <x v="1"/>
    <x v="0"/>
    <n v="0.65585760828321327"/>
    <n v="2.3361740730887157"/>
  </r>
  <r>
    <s v="C0368"/>
    <x v="5"/>
    <x v="2"/>
    <x v="0"/>
    <n v="671836"/>
    <n v="327529"/>
    <n v="551467"/>
    <n v="39985"/>
    <n v="4840"/>
    <n v="2612"/>
    <n v="14.483297662191744"/>
    <n v="128372"/>
    <n v="244008"/>
    <n v="90.078833390458982"/>
    <d v="2025-03-09T00:00:00"/>
    <d v="2025-04-03T00:00:00"/>
    <x v="0"/>
    <n v="25"/>
    <x v="9"/>
    <x v="0"/>
    <n v="0.39194086630496844"/>
    <n v="0.7449966262529425"/>
  </r>
  <r>
    <s v="C0369"/>
    <x v="0"/>
    <x v="1"/>
    <x v="0"/>
    <n v="950400"/>
    <n v="322616"/>
    <n v="718365"/>
    <n v="20028"/>
    <n v="631"/>
    <n v="564"/>
    <n v="6.578409006372901"/>
    <n v="128988"/>
    <n v="574555"/>
    <n v="345.43290848761126"/>
    <d v="2026-05-04T00:00:00"/>
    <d v="2026-05-17T00:00:00"/>
    <x v="1"/>
    <n v="13"/>
    <x v="4"/>
    <x v="1"/>
    <n v="0.39981897983980957"/>
    <n v="1.7809253105859597"/>
  </r>
  <r>
    <s v="C0370"/>
    <x v="7"/>
    <x v="3"/>
    <x v="3"/>
    <n v="808415"/>
    <n v="474220"/>
    <n v="1065416"/>
    <n v="22296"/>
    <n v="3034"/>
    <n v="467"/>
    <n v="5.4398802243684363"/>
    <n v="114697"/>
    <n v="133689"/>
    <n v="16.558410420499229"/>
    <d v="2026-04-07T00:00:00"/>
    <d v="2026-05-01T00:00:00"/>
    <x v="1"/>
    <n v="24"/>
    <x v="2"/>
    <x v="1"/>
    <n v="0.24186453544768252"/>
    <n v="0.28191345788874361"/>
  </r>
  <r>
    <s v="C0371"/>
    <x v="12"/>
    <x v="3"/>
    <x v="3"/>
    <n v="400498"/>
    <n v="210605"/>
    <n v="250276"/>
    <n v="16880"/>
    <n v="1485"/>
    <n v="1432"/>
    <n v="9.4000617269295592"/>
    <n v="231381"/>
    <n v="445798"/>
    <n v="92.668369485826403"/>
    <d v="2025-08-25T00:00:00"/>
    <d v="2025-09-08T00:00:00"/>
    <x v="6"/>
    <n v="14"/>
    <x v="3"/>
    <x v="0"/>
    <n v="1.0986491298877046"/>
    <n v="2.1167493649248592"/>
  </r>
  <r>
    <s v="C0372"/>
    <x v="1"/>
    <x v="2"/>
    <x v="4"/>
    <n v="240122"/>
    <n v="186983"/>
    <n v="295514"/>
    <n v="14081"/>
    <n v="1202"/>
    <n v="589"/>
    <n v="8.4884722140515443"/>
    <n v="36590"/>
    <n v="124689"/>
    <n v="240.77343536485381"/>
    <d v="2025-05-01T00:00:00"/>
    <d v="2025-05-18T00:00:00"/>
    <x v="3"/>
    <n v="17"/>
    <x v="4"/>
    <x v="0"/>
    <n v="0.19568623885593878"/>
    <n v="0.66684671868565593"/>
  </r>
  <r>
    <s v="C0373"/>
    <x v="1"/>
    <x v="4"/>
    <x v="6"/>
    <n v="1069360"/>
    <n v="826277"/>
    <n v="1787383"/>
    <n v="103015"/>
    <n v="4118"/>
    <n v="4477"/>
    <n v="13.507576756947126"/>
    <n v="209048"/>
    <n v="836249"/>
    <n v="300.02726646511803"/>
    <d v="2025-08-31T00:00:00"/>
    <d v="2025-09-30T00:00:00"/>
    <x v="5"/>
    <n v="30"/>
    <x v="3"/>
    <x v="0"/>
    <n v="0.2529999019699205"/>
    <n v="1.0120685920097015"/>
  </r>
  <r>
    <s v="C0374"/>
    <x v="5"/>
    <x v="0"/>
    <x v="3"/>
    <n v="1291676"/>
    <n v="621071"/>
    <n v="1838597"/>
    <n v="17098"/>
    <n v="1227"/>
    <n v="379"/>
    <n v="3.0115719458805836"/>
    <n v="249200"/>
    <n v="736874"/>
    <n v="195.69582664526484"/>
    <d v="2026-01-03T00:00:00"/>
    <d v="2026-01-20T00:00:00"/>
    <x v="2"/>
    <n v="17"/>
    <x v="10"/>
    <x v="1"/>
    <n v="0.40124237003498797"/>
    <n v="1.1864569429260101"/>
  </r>
  <r>
    <s v="C0375"/>
    <x v="2"/>
    <x v="0"/>
    <x v="3"/>
    <n v="1181890"/>
    <n v="757013"/>
    <n v="1382824"/>
    <n v="23438"/>
    <n v="3326"/>
    <n v="1189"/>
    <n v="3.6925389656452401"/>
    <n v="477083"/>
    <n v="1074161"/>
    <n v="125.15180796632872"/>
    <d v="2025-04-05T00:00:00"/>
    <d v="2025-04-17T00:00:00"/>
    <x v="1"/>
    <n v="12"/>
    <x v="2"/>
    <x v="0"/>
    <n v="0.63021771092438306"/>
    <n v="1.4189465702702595"/>
  </r>
  <r>
    <s v="C0376"/>
    <x v="5"/>
    <x v="0"/>
    <x v="6"/>
    <n v="1346161"/>
    <n v="738941"/>
    <n v="1332350"/>
    <n v="73515"/>
    <n v="8503"/>
    <n v="3599"/>
    <n v="11.586446008544661"/>
    <n v="64267"/>
    <n v="254688"/>
    <n v="296.29669970591436"/>
    <d v="2025-10-14T00:00:00"/>
    <d v="2025-10-21T00:00:00"/>
    <x v="4"/>
    <n v="7"/>
    <x v="8"/>
    <x v="0"/>
    <n v="8.6971760938965359E-2"/>
    <n v="0.34466621827723731"/>
  </r>
  <r>
    <s v="C0377"/>
    <x v="5"/>
    <x v="3"/>
    <x v="6"/>
    <n v="1954523"/>
    <n v="1263806"/>
    <n v="3409910"/>
    <n v="133593"/>
    <n v="17535"/>
    <n v="10842"/>
    <n v="12.816049298705657"/>
    <n v="33748"/>
    <n v="146846"/>
    <n v="335.12504444707838"/>
    <d v="2025-08-15T00:00:00"/>
    <d v="2025-09-08T00:00:00"/>
    <x v="2"/>
    <n v="24"/>
    <x v="3"/>
    <x v="0"/>
    <n v="2.6703465563543773E-2"/>
    <n v="0.11619346640228009"/>
  </r>
  <r>
    <s v="C0378"/>
    <x v="11"/>
    <x v="2"/>
    <x v="2"/>
    <n v="601502"/>
    <n v="166033"/>
    <n v="420965"/>
    <n v="19702"/>
    <n v="1972"/>
    <n v="1723"/>
    <n v="14.09177693591033"/>
    <n v="164662"/>
    <n v="677322"/>
    <n v="311.34080722935471"/>
    <d v="2026-02-28T00:00:00"/>
    <d v="2026-03-07T00:00:00"/>
    <x v="2"/>
    <n v="7"/>
    <x v="1"/>
    <x v="1"/>
    <n v="0.99174260538567638"/>
    <n v="4.0794420386308747"/>
  </r>
  <r>
    <s v="C0379"/>
    <x v="5"/>
    <x v="0"/>
    <x v="7"/>
    <n v="1641635"/>
    <n v="861340"/>
    <n v="1447590"/>
    <n v="71962"/>
    <n v="4204"/>
    <n v="6755"/>
    <n v="9.6269765713887665"/>
    <n v="254571"/>
    <n v="764429"/>
    <n v="200.28125748808782"/>
    <d v="2026-04-26T00:00:00"/>
    <d v="2026-05-09T00:00:00"/>
    <x v="4"/>
    <n v="13"/>
    <x v="2"/>
    <x v="1"/>
    <n v="0.29555227900712844"/>
    <n v="0.88748809993730704"/>
  </r>
  <r>
    <s v="C0380"/>
    <x v="6"/>
    <x v="2"/>
    <x v="4"/>
    <n v="379337"/>
    <n v="135217"/>
    <n v="352389"/>
    <n v="6367"/>
    <n v="601"/>
    <n v="231"/>
    <n v="5.3240346997788741"/>
    <n v="392650"/>
    <n v="1299132"/>
    <n v="230.86260028014772"/>
    <d v="2025-05-25T00:00:00"/>
    <d v="2025-06-06T00:00:00"/>
    <x v="5"/>
    <n v="12"/>
    <x v="4"/>
    <x v="0"/>
    <n v="2.9038508471567925"/>
    <n v="9.6077564211600617"/>
  </r>
  <r>
    <s v="C0381"/>
    <x v="12"/>
    <x v="2"/>
    <x v="7"/>
    <n v="1971393"/>
    <n v="1490354"/>
    <n v="2268978"/>
    <n v="55180"/>
    <n v="4429"/>
    <n v="1728"/>
    <n v="4.1155993810866409"/>
    <n v="99940"/>
    <n v="437546"/>
    <n v="337.80868521112666"/>
    <d v="2025-01-18T00:00:00"/>
    <d v="2025-02-08T00:00:00"/>
    <x v="5"/>
    <n v="21"/>
    <x v="10"/>
    <x v="0"/>
    <n v="6.7057893627956847E-2"/>
    <n v="0.29358528242283377"/>
  </r>
  <r>
    <s v="C0382"/>
    <x v="2"/>
    <x v="4"/>
    <x v="6"/>
    <n v="1395567"/>
    <n v="496405"/>
    <n v="1026834"/>
    <n v="26317"/>
    <n v="2514"/>
    <n v="1541"/>
    <n v="6.1183912329650179"/>
    <n v="275106"/>
    <n v="1069368"/>
    <n v="288.71126038690539"/>
    <d v="2025-04-24T00:00:00"/>
    <d v="2025-05-05T00:00:00"/>
    <x v="5"/>
    <n v="11"/>
    <x v="2"/>
    <x v="0"/>
    <n v="0.55419667408668327"/>
    <n v="2.154224876864657"/>
  </r>
  <r>
    <s v="C0383"/>
    <x v="0"/>
    <x v="3"/>
    <x v="0"/>
    <n v="1214784"/>
    <n v="353956"/>
    <n v="973892"/>
    <n v="36716"/>
    <n v="4388"/>
    <n v="2152"/>
    <n v="12.220728000090407"/>
    <n v="129186"/>
    <n v="307298"/>
    <n v="137.87252488659763"/>
    <d v="2026-01-19T00:00:00"/>
    <d v="2026-02-05T00:00:00"/>
    <x v="5"/>
    <n v="17"/>
    <x v="10"/>
    <x v="1"/>
    <n v="0.36497756783329"/>
    <n v="0.86818135587474154"/>
  </r>
  <r>
    <s v="C0384"/>
    <x v="1"/>
    <x v="0"/>
    <x v="3"/>
    <n v="1306093"/>
    <n v="653317"/>
    <n v="1584458"/>
    <n v="50750"/>
    <n v="5606"/>
    <n v="4762"/>
    <n v="9.3550297941122"/>
    <n v="54787"/>
    <n v="237822"/>
    <n v="334.08472812893569"/>
    <d v="2025-11-05T00:00:00"/>
    <d v="2025-11-30T00:00:00"/>
    <x v="3"/>
    <n v="25"/>
    <x v="6"/>
    <x v="0"/>
    <n v="8.3859749554963364E-2"/>
    <n v="0.36402236586526909"/>
  </r>
  <r>
    <s v="C0385"/>
    <x v="10"/>
    <x v="2"/>
    <x v="0"/>
    <n v="1959218"/>
    <n v="495794"/>
    <n v="654675"/>
    <n v="17162"/>
    <n v="1070"/>
    <n v="624"/>
    <n v="3.8031924549308789"/>
    <n v="236474"/>
    <n v="332558"/>
    <n v="40.631951081302809"/>
    <d v="2026-01-17T00:00:00"/>
    <d v="2026-02-05T00:00:00"/>
    <x v="2"/>
    <n v="19"/>
    <x v="10"/>
    <x v="1"/>
    <n v="0.47696018911080007"/>
    <n v="0.67075841982758966"/>
  </r>
  <r>
    <s v="C0386"/>
    <x v="5"/>
    <x v="3"/>
    <x v="6"/>
    <n v="1966387"/>
    <n v="861997"/>
    <n v="2040226"/>
    <n v="50688"/>
    <n v="3961"/>
    <n v="3576"/>
    <n v="6.7546638793406473"/>
    <n v="73917"/>
    <n v="177666"/>
    <n v="140.35878079467508"/>
    <d v="2026-03-30T00:00:00"/>
    <d v="2026-04-23T00:00:00"/>
    <x v="4"/>
    <n v="24"/>
    <x v="9"/>
    <x v="1"/>
    <n v="8.5750878483335791E-2"/>
    <n v="0.2061097660432693"/>
  </r>
  <r>
    <s v="C0387"/>
    <x v="12"/>
    <x v="3"/>
    <x v="4"/>
    <n v="1703998"/>
    <n v="576591"/>
    <n v="1277314"/>
    <n v="31340"/>
    <n v="2196"/>
    <n v="2094"/>
    <n v="6.1794235428579354"/>
    <n v="172444"/>
    <n v="476710"/>
    <n v="176.44336712208022"/>
    <d v="2025-05-13T00:00:00"/>
    <d v="2025-05-30T00:00:00"/>
    <x v="6"/>
    <n v="17"/>
    <x v="4"/>
    <x v="0"/>
    <n v="0.29907508094992813"/>
    <n v="0.82677322400106834"/>
  </r>
  <r>
    <s v="C0388"/>
    <x v="7"/>
    <x v="0"/>
    <x v="2"/>
    <n v="1076267"/>
    <n v="567719"/>
    <n v="973152"/>
    <n v="54863"/>
    <n v="7417"/>
    <n v="1404"/>
    <n v="11.217521344186119"/>
    <n v="332870"/>
    <n v="558958"/>
    <n v="67.92080992579686"/>
    <d v="2026-04-25T00:00:00"/>
    <d v="2026-05-19T00:00:00"/>
    <x v="5"/>
    <n v="24"/>
    <x v="2"/>
    <x v="1"/>
    <n v="0.58632879998731768"/>
    <n v="0.98456806976690936"/>
  </r>
  <r>
    <s v="C0389"/>
    <x v="2"/>
    <x v="2"/>
    <x v="0"/>
    <n v="1039663"/>
    <n v="623785"/>
    <n v="1640687"/>
    <n v="59616"/>
    <n v="4946"/>
    <n v="3353"/>
    <n v="10.887565427190458"/>
    <n v="139179"/>
    <n v="398064"/>
    <n v="186.00866510033842"/>
    <d v="2025-03-15T00:00:00"/>
    <d v="2025-03-28T00:00:00"/>
    <x v="6"/>
    <n v="13"/>
    <x v="9"/>
    <x v="0"/>
    <n v="0.22312014556297441"/>
    <n v="0.63814294989459508"/>
  </r>
  <r>
    <s v="C0390"/>
    <x v="11"/>
    <x v="1"/>
    <x v="5"/>
    <n v="288756"/>
    <n v="85852"/>
    <n v="140442"/>
    <n v="11977"/>
    <n v="778"/>
    <n v="751"/>
    <n v="15.73172436285701"/>
    <n v="389421"/>
    <n v="1367944"/>
    <n v="251.27638211601325"/>
    <d v="2026-05-15T00:00:00"/>
    <d v="2026-05-30T00:00:00"/>
    <x v="7"/>
    <n v="15"/>
    <x v="4"/>
    <x v="1"/>
    <n v="4.5359572287191909"/>
    <n v="15.933746447374551"/>
  </r>
  <r>
    <s v="C0391"/>
    <x v="5"/>
    <x v="3"/>
    <x v="2"/>
    <n v="760841"/>
    <n v="579769"/>
    <n v="1538972"/>
    <n v="76808"/>
    <n v="6155"/>
    <n v="2791"/>
    <n v="14.79106333729468"/>
    <n v="103850"/>
    <n v="377677"/>
    <n v="263.67549350024075"/>
    <d v="2025-12-03T00:00:00"/>
    <d v="2025-12-26T00:00:00"/>
    <x v="4"/>
    <n v="23"/>
    <x v="5"/>
    <x v="0"/>
    <n v="0.17912306453087351"/>
    <n v="0.65142668890540889"/>
  </r>
  <r>
    <s v="C0392"/>
    <x v="3"/>
    <x v="3"/>
    <x v="3"/>
    <n v="367876"/>
    <n v="106214"/>
    <n v="161644"/>
    <n v="3171"/>
    <n v="349"/>
    <n v="308"/>
    <n v="3.6040446645451634"/>
    <n v="204658"/>
    <n v="375670"/>
    <n v="83.559890158215168"/>
    <d v="2025-04-14T00:00:00"/>
    <d v="2025-04-27T00:00:00"/>
    <x v="5"/>
    <n v="13"/>
    <x v="2"/>
    <x v="0"/>
    <n v="1.926845801871693"/>
    <n v="3.5369160374338597"/>
  </r>
  <r>
    <s v="C0393"/>
    <x v="13"/>
    <x v="0"/>
    <x v="2"/>
    <n v="1310589"/>
    <n v="381474"/>
    <n v="686391"/>
    <n v="14519"/>
    <n v="1880"/>
    <n v="352"/>
    <n v="4.3911249521592559"/>
    <n v="486446"/>
    <n v="1540365"/>
    <n v="216.65693622724825"/>
    <d v="2026-02-23T00:00:00"/>
    <d v="2026-03-09T00:00:00"/>
    <x v="2"/>
    <n v="14"/>
    <x v="1"/>
    <x v="1"/>
    <n v="1.2751747170187222"/>
    <n v="4.0379291904559684"/>
  </r>
  <r>
    <s v="C0394"/>
    <x v="8"/>
    <x v="0"/>
    <x v="2"/>
    <n v="150584"/>
    <n v="62439"/>
    <n v="179569"/>
    <n v="8364"/>
    <n v="712"/>
    <n v="243"/>
    <n v="14.924966767565143"/>
    <n v="386143"/>
    <n v="615314"/>
    <n v="59.348738679711921"/>
    <d v="2025-04-14T00:00:00"/>
    <d v="2025-05-01T00:00:00"/>
    <x v="1"/>
    <n v="17"/>
    <x v="2"/>
    <x v="0"/>
    <n v="6.1843239001265236"/>
    <n v="9.8546421307195828"/>
  </r>
  <r>
    <s v="C0395"/>
    <x v="12"/>
    <x v="1"/>
    <x v="3"/>
    <n v="1460145"/>
    <n v="1182339"/>
    <n v="1898697"/>
    <n v="71901"/>
    <n v="6697"/>
    <n v="2153"/>
    <n v="6.8297670972538329"/>
    <n v="275071"/>
    <n v="904520"/>
    <n v="228.83146533076916"/>
    <d v="2025-10-12T00:00:00"/>
    <d v="2025-10-31T00:00:00"/>
    <x v="0"/>
    <n v="19"/>
    <x v="8"/>
    <x v="0"/>
    <n v="0.23264985761274898"/>
    <n v="0.76502593587795042"/>
  </r>
  <r>
    <s v="C0396"/>
    <x v="0"/>
    <x v="3"/>
    <x v="3"/>
    <n v="1484404"/>
    <n v="584068"/>
    <n v="1091007"/>
    <n v="45626"/>
    <n v="5222"/>
    <n v="3801"/>
    <n v="9.3566160104645348"/>
    <n v="195275"/>
    <n v="686448"/>
    <n v="251.52886954295224"/>
    <d v="2025-07-10T00:00:00"/>
    <d v="2025-07-21T00:00:00"/>
    <x v="3"/>
    <n v="11"/>
    <x v="7"/>
    <x v="0"/>
    <n v="0.33433607045754948"/>
    <n v="1.175287808953752"/>
  </r>
  <r>
    <s v="C0397"/>
    <x v="0"/>
    <x v="3"/>
    <x v="2"/>
    <n v="1777781"/>
    <n v="937064"/>
    <n v="2122089"/>
    <n v="114413"/>
    <n v="12558"/>
    <n v="4748"/>
    <n v="14.056563905987209"/>
    <n v="425701"/>
    <n v="1058008"/>
    <n v="148.53312536263715"/>
    <d v="2025-11-21T00:00:00"/>
    <d v="2025-12-09T00:00:00"/>
    <x v="5"/>
    <n v="18"/>
    <x v="6"/>
    <x v="0"/>
    <n v="0.45429234289226778"/>
    <n v="1.1290669580733013"/>
  </r>
  <r>
    <s v="C0398"/>
    <x v="6"/>
    <x v="4"/>
    <x v="5"/>
    <n v="1423563"/>
    <n v="916165"/>
    <n v="2256872"/>
    <n v="30863"/>
    <n v="1712"/>
    <n v="734"/>
    <n v="3.635698809712224"/>
    <n v="223072"/>
    <n v="734095"/>
    <n v="229.08433151628174"/>
    <d v="2026-02-17T00:00:00"/>
    <d v="2026-03-10T00:00:00"/>
    <x v="2"/>
    <n v="21"/>
    <x v="1"/>
    <x v="1"/>
    <n v="0.24348452516740979"/>
    <n v="0.8012694219927633"/>
  </r>
  <r>
    <s v="C0399"/>
    <x v="13"/>
    <x v="2"/>
    <x v="2"/>
    <n v="497368"/>
    <n v="396875"/>
    <n v="584724"/>
    <n v="37026"/>
    <n v="1809"/>
    <n v="2480"/>
    <n v="10.410078740157481"/>
    <n v="317043"/>
    <n v="1454864"/>
    <n v="358.88538778651474"/>
    <d v="2025-04-11T00:00:00"/>
    <d v="2025-05-05T00:00:00"/>
    <x v="5"/>
    <n v="24"/>
    <x v="2"/>
    <x v="0"/>
    <n v="0.7988485039370079"/>
    <n v="3.6657990551181103"/>
  </r>
  <r>
    <s v="C0400"/>
    <x v="7"/>
    <x v="2"/>
    <x v="0"/>
    <n v="720137"/>
    <n v="527168"/>
    <n v="695203"/>
    <n v="50078"/>
    <n v="3946"/>
    <n v="4095"/>
    <n v="11.024758710695641"/>
    <n v="16605"/>
    <n v="27963"/>
    <n v="68.401084010840108"/>
    <d v="2025-01-16T00:00:00"/>
    <d v="2025-02-11T00:00:00"/>
    <x v="7"/>
    <n v="26"/>
    <x v="10"/>
    <x v="0"/>
    <n v="3.1498497632633238E-2"/>
    <n v="5.3043811460483183E-2"/>
  </r>
  <r>
    <s v="C0401"/>
    <x v="13"/>
    <x v="4"/>
    <x v="7"/>
    <n v="141923"/>
    <n v="89673"/>
    <n v="262373"/>
    <n v="12175"/>
    <n v="1585"/>
    <n v="902"/>
    <n v="16.350517993152899"/>
    <n v="492394"/>
    <n v="605387"/>
    <n v="22.947680109830745"/>
    <d v="2025-11-07T00:00:00"/>
    <d v="2025-11-19T00:00:00"/>
    <x v="6"/>
    <n v="12"/>
    <x v="6"/>
    <x v="0"/>
    <n v="5.4909950598284878"/>
    <n v="6.7510510410045388"/>
  </r>
  <r>
    <s v="C0402"/>
    <x v="2"/>
    <x v="4"/>
    <x v="7"/>
    <n v="112623"/>
    <n v="69986"/>
    <n v="138529"/>
    <n v="8274"/>
    <n v="1222"/>
    <n v="242"/>
    <n v="13.914211413711314"/>
    <n v="81597"/>
    <n v="151199"/>
    <n v="85.29970464600413"/>
    <d v="2025-03-25T00:00:00"/>
    <d v="2025-04-01T00:00:00"/>
    <x v="3"/>
    <n v="7"/>
    <x v="9"/>
    <x v="0"/>
    <n v="1.1659046094933272"/>
    <n v="2.1604177978452834"/>
  </r>
  <r>
    <s v="C0403"/>
    <x v="2"/>
    <x v="1"/>
    <x v="1"/>
    <n v="1186981"/>
    <n v="768660"/>
    <n v="850739"/>
    <n v="79578"/>
    <n v="11343"/>
    <n v="4012"/>
    <n v="12.350454036895377"/>
    <n v="250802"/>
    <n v="358737"/>
    <n v="43.035940702227258"/>
    <d v="2025-09-22T00:00:00"/>
    <d v="2025-10-20T00:00:00"/>
    <x v="5"/>
    <n v="28"/>
    <x v="11"/>
    <x v="0"/>
    <n v="0.32628470324981135"/>
    <n v="0.46670439466083835"/>
  </r>
  <r>
    <s v="C0404"/>
    <x v="4"/>
    <x v="4"/>
    <x v="0"/>
    <n v="978473"/>
    <n v="386010"/>
    <n v="702641"/>
    <n v="27992"/>
    <n v="3703"/>
    <n v="1439"/>
    <n v="8.5837154477863269"/>
    <n v="73791"/>
    <n v="148967"/>
    <n v="101.876922659945"/>
    <d v="2025-02-25T00:00:00"/>
    <d v="2025-03-07T00:00:00"/>
    <x v="4"/>
    <n v="10"/>
    <x v="1"/>
    <x v="0"/>
    <n v="0.19116344136162275"/>
    <n v="0.38591487267169244"/>
  </r>
  <r>
    <s v="C0405"/>
    <x v="13"/>
    <x v="3"/>
    <x v="4"/>
    <n v="564772"/>
    <n v="176089"/>
    <n v="503433"/>
    <n v="22798"/>
    <n v="2967"/>
    <n v="622"/>
    <n v="14.98503597612571"/>
    <n v="71616"/>
    <n v="154829"/>
    <n v="116.19330875781948"/>
    <d v="2025-06-01T00:00:00"/>
    <d v="2025-06-17T00:00:00"/>
    <x v="1"/>
    <n v="16"/>
    <x v="0"/>
    <x v="0"/>
    <n v="0.40670342837996692"/>
    <n v="0.87926559864613918"/>
  </r>
  <r>
    <s v="C0406"/>
    <x v="1"/>
    <x v="2"/>
    <x v="3"/>
    <n v="1705626"/>
    <n v="1332270"/>
    <n v="2542144"/>
    <n v="87282"/>
    <n v="6197"/>
    <n v="6248"/>
    <n v="7.4854946820089019"/>
    <n v="58621"/>
    <n v="246895"/>
    <n v="321.17159379744459"/>
    <d v="2025-06-06T00:00:00"/>
    <d v="2025-06-22T00:00:00"/>
    <x v="4"/>
    <n v="16"/>
    <x v="0"/>
    <x v="0"/>
    <n v="4.4000840670434672E-2"/>
    <n v="0.18531904193594392"/>
  </r>
  <r>
    <s v="C0407"/>
    <x v="10"/>
    <x v="0"/>
    <x v="7"/>
    <n v="1184396"/>
    <n v="576753"/>
    <n v="1303827"/>
    <n v="48671"/>
    <n v="5184"/>
    <n v="2729"/>
    <n v="9.8107855529143322"/>
    <n v="203622"/>
    <n v="737897"/>
    <n v="262.38569506241959"/>
    <d v="2025-06-17T00:00:00"/>
    <d v="2025-07-01T00:00:00"/>
    <x v="7"/>
    <n v="14"/>
    <x v="0"/>
    <x v="0"/>
    <n v="0.35304887880947305"/>
    <n v="1.2793986333837881"/>
  </r>
  <r>
    <s v="C0408"/>
    <x v="8"/>
    <x v="0"/>
    <x v="3"/>
    <n v="1361016"/>
    <n v="1048242"/>
    <n v="1852535"/>
    <n v="53599"/>
    <n v="2754"/>
    <n v="3687"/>
    <n v="5.7276850192989786"/>
    <n v="257186"/>
    <n v="294803"/>
    <n v="14.626379351908735"/>
    <d v="2025-03-26T00:00:00"/>
    <d v="2025-04-23T00:00:00"/>
    <x v="7"/>
    <n v="28"/>
    <x v="9"/>
    <x v="0"/>
    <n v="0.24534983334001118"/>
    <n v="0.28123563070359708"/>
  </r>
  <r>
    <s v="C0409"/>
    <x v="14"/>
    <x v="1"/>
    <x v="3"/>
    <n v="594537"/>
    <n v="172018"/>
    <n v="440548"/>
    <n v="7492"/>
    <n v="711"/>
    <n v="390"/>
    <n v="4.9954074573591134"/>
    <n v="497461"/>
    <n v="938712"/>
    <n v="88.700621757283486"/>
    <d v="2026-05-01T00:00:00"/>
    <d v="2026-05-18T00:00:00"/>
    <x v="2"/>
    <n v="17"/>
    <x v="4"/>
    <x v="1"/>
    <n v="2.8919124742759479"/>
    <n v="5.4570568196351541"/>
  </r>
  <r>
    <s v="C0410"/>
    <x v="5"/>
    <x v="3"/>
    <x v="0"/>
    <n v="1708957"/>
    <n v="982379"/>
    <n v="1895548"/>
    <n v="125633"/>
    <n v="9815"/>
    <n v="2764"/>
    <n v="14.069111819369104"/>
    <n v="258761"/>
    <n v="856948"/>
    <n v="231.17355397451703"/>
    <d v="2025-05-07T00:00:00"/>
    <d v="2025-05-21T00:00:00"/>
    <x v="4"/>
    <n v="14"/>
    <x v="4"/>
    <x v="0"/>
    <n v="0.26340241393596564"/>
    <n v="0.87231913548640594"/>
  </r>
  <r>
    <s v="C0411"/>
    <x v="13"/>
    <x v="0"/>
    <x v="7"/>
    <n v="382334"/>
    <n v="343499"/>
    <n v="426024"/>
    <n v="26665"/>
    <n v="3772"/>
    <n v="694"/>
    <n v="9.0629084800829105"/>
    <n v="340564"/>
    <n v="1112173"/>
    <n v="226.56798722119777"/>
    <d v="2025-02-21T00:00:00"/>
    <d v="2025-03-05T00:00:00"/>
    <x v="7"/>
    <n v="12"/>
    <x v="1"/>
    <x v="0"/>
    <n v="0.99145557920110394"/>
    <n v="3.2377765291893135"/>
  </r>
  <r>
    <s v="C0412"/>
    <x v="0"/>
    <x v="1"/>
    <x v="0"/>
    <n v="1846635"/>
    <n v="864397"/>
    <n v="2339311"/>
    <n v="39749"/>
    <n v="3466"/>
    <n v="1587"/>
    <n v="5.1830351100246759"/>
    <n v="277669"/>
    <n v="770537"/>
    <n v="177.50198977919754"/>
    <d v="2025-12-08T00:00:00"/>
    <d v="2025-12-30T00:00:00"/>
    <x v="3"/>
    <n v="22"/>
    <x v="5"/>
    <x v="0"/>
    <n v="0.32122855586032806"/>
    <n v="0.89141563425139148"/>
  </r>
  <r>
    <s v="C0413"/>
    <x v="8"/>
    <x v="3"/>
    <x v="4"/>
    <n v="1353088"/>
    <n v="516820"/>
    <n v="1346853"/>
    <n v="48250"/>
    <n v="1714"/>
    <n v="3504"/>
    <n v="10.345574861653962"/>
    <n v="360883"/>
    <n v="453007"/>
    <n v="25.527386992460162"/>
    <d v="2025-05-15T00:00:00"/>
    <d v="2025-05-22T00:00:00"/>
    <x v="4"/>
    <n v="7"/>
    <x v="4"/>
    <x v="0"/>
    <n v="0.69827599551100961"/>
    <n v="0.87652761116055877"/>
  </r>
  <r>
    <s v="C0414"/>
    <x v="9"/>
    <x v="1"/>
    <x v="3"/>
    <n v="1417387"/>
    <n v="443046"/>
    <n v="963970"/>
    <n v="15735"/>
    <n v="1861"/>
    <n v="789"/>
    <n v="4.1496819743322364"/>
    <n v="374507"/>
    <n v="1593250"/>
    <n v="325.42595999540731"/>
    <d v="2025-07-10T00:00:00"/>
    <d v="2025-08-05T00:00:00"/>
    <x v="2"/>
    <n v="26"/>
    <x v="7"/>
    <x v="0"/>
    <n v="0.84530048798544621"/>
    <n v="3.5961277158579472"/>
  </r>
  <r>
    <s v="C0415"/>
    <x v="11"/>
    <x v="3"/>
    <x v="4"/>
    <n v="99258"/>
    <n v="54611"/>
    <n v="151078"/>
    <n v="6767"/>
    <n v="572"/>
    <n v="400"/>
    <n v="14.1711376828844"/>
    <n v="366246"/>
    <n v="1727792"/>
    <n v="371.75723420870128"/>
    <d v="2025-12-19T00:00:00"/>
    <d v="2026-01-08T00:00:00"/>
    <x v="7"/>
    <n v="20"/>
    <x v="5"/>
    <x v="0"/>
    <n v="6.7064510812839906"/>
    <n v="31.638168134624891"/>
  </r>
  <r>
    <s v="C0416"/>
    <x v="6"/>
    <x v="1"/>
    <x v="1"/>
    <n v="1587892"/>
    <n v="1353560"/>
    <n v="2853372"/>
    <n v="33549"/>
    <n v="2733"/>
    <n v="2416"/>
    <n v="2.858979284257809"/>
    <n v="285656"/>
    <n v="1116431"/>
    <n v="290.8305794382054"/>
    <d v="2025-06-21T00:00:00"/>
    <d v="2025-07-02T00:00:00"/>
    <x v="2"/>
    <n v="11"/>
    <x v="0"/>
    <x v="0"/>
    <n v="0.21104051538166022"/>
    <n v="0.8248108691155176"/>
  </r>
  <r>
    <s v="C0417"/>
    <x v="12"/>
    <x v="0"/>
    <x v="4"/>
    <n v="1051604"/>
    <n v="774119"/>
    <n v="1762554"/>
    <n v="34103"/>
    <n v="1671"/>
    <n v="2851"/>
    <n v="4.9895429514066958"/>
    <n v="399974"/>
    <n v="835606"/>
    <n v="108.91507948016621"/>
    <d v="2026-05-12T00:00:00"/>
    <d v="2026-06-08T00:00:00"/>
    <x v="0"/>
    <n v="27"/>
    <x v="4"/>
    <x v="1"/>
    <n v="0.51668283558470984"/>
    <n v="1.0794283566221732"/>
  </r>
  <r>
    <s v="C0418"/>
    <x v="12"/>
    <x v="0"/>
    <x v="0"/>
    <n v="1108221"/>
    <n v="611006"/>
    <n v="1076741"/>
    <n v="72551"/>
    <n v="5746"/>
    <n v="2627"/>
    <n v="13.244387125494676"/>
    <n v="115967"/>
    <n v="432183"/>
    <n v="272.67757206791583"/>
    <d v="2025-08-01T00:00:00"/>
    <d v="2025-08-13T00:00:00"/>
    <x v="7"/>
    <n v="12"/>
    <x v="3"/>
    <x v="0"/>
    <n v="0.18979682687240387"/>
    <n v="0.70733020625002041"/>
  </r>
  <r>
    <s v="C0419"/>
    <x v="14"/>
    <x v="0"/>
    <x v="0"/>
    <n v="541827"/>
    <n v="310256"/>
    <n v="421826"/>
    <n v="27544"/>
    <n v="3520"/>
    <n v="2044"/>
    <n v="10.671187664380383"/>
    <n v="85822"/>
    <n v="302370"/>
    <n v="252.32224837454265"/>
    <d v="2025-12-22T00:00:00"/>
    <d v="2026-01-02T00:00:00"/>
    <x v="1"/>
    <n v="11"/>
    <x v="5"/>
    <x v="0"/>
    <n v="0.27661672941055127"/>
    <n v="0.97458228043937911"/>
  </r>
  <r>
    <s v="C0420"/>
    <x v="9"/>
    <x v="0"/>
    <x v="1"/>
    <n v="1243499"/>
    <n v="1099796"/>
    <n v="1484819"/>
    <n v="96334"/>
    <n v="13408"/>
    <n v="5652"/>
    <n v="10.492309482849546"/>
    <n v="139517"/>
    <n v="276001"/>
    <n v="97.826071374814532"/>
    <d v="2026-04-11T00:00:00"/>
    <d v="2026-04-18T00:00:00"/>
    <x v="6"/>
    <n v="7"/>
    <x v="2"/>
    <x v="1"/>
    <n v="0.12685716260106419"/>
    <n v="0.25095654103124582"/>
  </r>
  <r>
    <s v="C0421"/>
    <x v="8"/>
    <x v="4"/>
    <x v="5"/>
    <n v="1739240"/>
    <n v="1398797"/>
    <n v="2316039"/>
    <n v="208353"/>
    <n v="13769"/>
    <n v="16498"/>
    <n v="17.058944221355922"/>
    <n v="423940"/>
    <n v="1616158"/>
    <n v="281.22328631410107"/>
    <d v="2025-05-14T00:00:00"/>
    <d v="2025-06-06T00:00:00"/>
    <x v="7"/>
    <n v="23"/>
    <x v="4"/>
    <x v="0"/>
    <n v="0.30307471348594545"/>
    <n v="1.1553913827381672"/>
  </r>
  <r>
    <s v="C0422"/>
    <x v="7"/>
    <x v="4"/>
    <x v="4"/>
    <n v="798981"/>
    <n v="445281"/>
    <n v="750507"/>
    <n v="55609"/>
    <n v="3023"/>
    <n v="3183"/>
    <n v="13.88224514407756"/>
    <n v="104904"/>
    <n v="184551"/>
    <n v="75.923701670098382"/>
    <d v="2025-10-05T00:00:00"/>
    <d v="2025-10-26T00:00:00"/>
    <x v="5"/>
    <n v="21"/>
    <x v="8"/>
    <x v="0"/>
    <n v="0.23559055966906289"/>
    <n v="0.41445963335511732"/>
  </r>
  <r>
    <s v="C0423"/>
    <x v="11"/>
    <x v="2"/>
    <x v="0"/>
    <n v="345750"/>
    <n v="170887"/>
    <n v="432909"/>
    <n v="25409"/>
    <n v="3062"/>
    <n v="2133"/>
    <n v="17.90891056663175"/>
    <n v="464562"/>
    <n v="589210"/>
    <n v="26.831294854077605"/>
    <d v="2025-11-16T00:00:00"/>
    <d v="2025-12-09T00:00:00"/>
    <x v="3"/>
    <n v="23"/>
    <x v="6"/>
    <x v="0"/>
    <n v="2.7185332997828975"/>
    <n v="3.4479509851539323"/>
  </r>
  <r>
    <s v="C0424"/>
    <x v="3"/>
    <x v="2"/>
    <x v="0"/>
    <n v="1283620"/>
    <n v="420747"/>
    <n v="747748"/>
    <n v="20261"/>
    <n v="1576"/>
    <n v="854"/>
    <n v="5.3930271635923726"/>
    <n v="473204"/>
    <n v="1994586"/>
    <n v="321.50658067133838"/>
    <d v="2026-04-17T00:00:00"/>
    <d v="2026-04-30T00:00:00"/>
    <x v="7"/>
    <n v="13"/>
    <x v="2"/>
    <x v="1"/>
    <n v="1.1246758741001124"/>
    <n v="4.7405828205548701"/>
  </r>
  <r>
    <s v="C0425"/>
    <x v="12"/>
    <x v="2"/>
    <x v="2"/>
    <n v="1545687"/>
    <n v="424736"/>
    <n v="818210"/>
    <n v="27701"/>
    <n v="1275"/>
    <n v="805"/>
    <n v="7.0116495893919994"/>
    <n v="71258"/>
    <n v="284137"/>
    <n v="298.74400067360858"/>
    <d v="2025-04-09T00:00:00"/>
    <d v="2025-04-21T00:00:00"/>
    <x v="5"/>
    <n v="12"/>
    <x v="2"/>
    <x v="0"/>
    <n v="0.16777009718978378"/>
    <n v="0.66897319746854522"/>
  </r>
  <r>
    <s v="C0426"/>
    <x v="14"/>
    <x v="2"/>
    <x v="7"/>
    <n v="921789"/>
    <n v="793319"/>
    <n v="1818664"/>
    <n v="66213"/>
    <n v="5371"/>
    <n v="2107"/>
    <n v="9.288949338160311"/>
    <n v="395093"/>
    <n v="634990"/>
    <n v="60.719121827012877"/>
    <d v="2025-04-01T00:00:00"/>
    <d v="2025-04-18T00:00:00"/>
    <x v="2"/>
    <n v="17"/>
    <x v="2"/>
    <x v="0"/>
    <n v="0.49802538449224082"/>
    <n v="0.80042202443153387"/>
  </r>
  <r>
    <s v="C0427"/>
    <x v="10"/>
    <x v="2"/>
    <x v="6"/>
    <n v="502721"/>
    <n v="335033"/>
    <n v="744934"/>
    <n v="40719"/>
    <n v="4537"/>
    <n v="3541"/>
    <n v="14.564833911883307"/>
    <n v="50373"/>
    <n v="148703"/>
    <n v="195.20377980267207"/>
    <d v="2025-11-23T00:00:00"/>
    <d v="2025-12-20T00:00:00"/>
    <x v="7"/>
    <n v="27"/>
    <x v="6"/>
    <x v="0"/>
    <n v="0.15035235335026698"/>
    <n v="0.44384583011225759"/>
  </r>
  <r>
    <s v="C0428"/>
    <x v="9"/>
    <x v="1"/>
    <x v="3"/>
    <n v="1096725"/>
    <n v="883110"/>
    <n v="2368175"/>
    <n v="32791"/>
    <n v="3285"/>
    <n v="1643"/>
    <n v="4.2711553487108063"/>
    <n v="149496"/>
    <n v="631801"/>
    <n v="322.62067212500665"/>
    <d v="2025-01-15T00:00:00"/>
    <d v="2025-01-27T00:00:00"/>
    <x v="4"/>
    <n v="12"/>
    <x v="10"/>
    <x v="0"/>
    <n v="0.16928355471005876"/>
    <n v="0.71542729671275374"/>
  </r>
  <r>
    <s v="C0429"/>
    <x v="2"/>
    <x v="2"/>
    <x v="1"/>
    <n v="1549180"/>
    <n v="503088"/>
    <n v="609542"/>
    <n v="56149"/>
    <n v="2537"/>
    <n v="1790"/>
    <n v="12.020958559933849"/>
    <n v="109733"/>
    <n v="256751"/>
    <n v="133.97792824401046"/>
    <d v="2025-08-07T00:00:00"/>
    <d v="2025-08-26T00:00:00"/>
    <x v="5"/>
    <n v="19"/>
    <x v="3"/>
    <x v="0"/>
    <n v="0.21811889768787965"/>
    <n v="0.51035007791877363"/>
  </r>
  <r>
    <s v="C0430"/>
    <x v="1"/>
    <x v="0"/>
    <x v="2"/>
    <n v="1054369"/>
    <n v="481474"/>
    <n v="715949"/>
    <n v="50101"/>
    <n v="3856"/>
    <n v="2887"/>
    <n v="11.806244989345219"/>
    <n v="304285"/>
    <n v="1021226"/>
    <n v="235.61496623231508"/>
    <d v="2025-02-11T00:00:00"/>
    <d v="2025-03-13T00:00:00"/>
    <x v="5"/>
    <n v="30"/>
    <x v="1"/>
    <x v="0"/>
    <n v="0.63198635855726371"/>
    <n v="2.1210408038647985"/>
  </r>
  <r>
    <s v="C0431"/>
    <x v="7"/>
    <x v="1"/>
    <x v="7"/>
    <n v="773883"/>
    <n v="582297"/>
    <n v="991148"/>
    <n v="85382"/>
    <n v="10636"/>
    <n v="4123"/>
    <n v="17.197581303012036"/>
    <n v="153282"/>
    <n v="325781"/>
    <n v="112.53702326431024"/>
    <d v="2025-09-23T00:00:00"/>
    <d v="2025-10-19T00:00:00"/>
    <x v="3"/>
    <n v="26"/>
    <x v="11"/>
    <x v="0"/>
    <n v="0.26323680183823717"/>
    <n v="0.55947566276316041"/>
  </r>
  <r>
    <s v="C0432"/>
    <x v="8"/>
    <x v="3"/>
    <x v="3"/>
    <n v="1360172"/>
    <n v="851223"/>
    <n v="1609563"/>
    <n v="39016"/>
    <n v="2996"/>
    <n v="1562"/>
    <n v="5.1189876213401186"/>
    <n v="417197"/>
    <n v="1158289"/>
    <n v="177.63598491839588"/>
    <d v="2025-08-23T00:00:00"/>
    <d v="2025-09-19T00:00:00"/>
    <x v="1"/>
    <n v="27"/>
    <x v="3"/>
    <x v="0"/>
    <n v="0.49011481127742085"/>
    <n v="1.3607350835210046"/>
  </r>
  <r>
    <s v="C0433"/>
    <x v="13"/>
    <x v="3"/>
    <x v="0"/>
    <n v="955040"/>
    <n v="675167"/>
    <n v="1508335"/>
    <n v="99966"/>
    <n v="9148"/>
    <n v="7073"/>
    <n v="17.208631346022539"/>
    <n v="321278"/>
    <n v="937492"/>
    <n v="191.80087027434186"/>
    <d v="2025-05-18T00:00:00"/>
    <d v="2025-06-05T00:00:00"/>
    <x v="7"/>
    <n v="18"/>
    <x v="4"/>
    <x v="0"/>
    <n v="0.47584967867209149"/>
    <n v="1.3885335035628221"/>
  </r>
  <r>
    <s v="C0434"/>
    <x v="12"/>
    <x v="1"/>
    <x v="5"/>
    <n v="85339"/>
    <n v="33737"/>
    <n v="95938"/>
    <n v="3374"/>
    <n v="247"/>
    <n v="185"/>
    <n v="11.281382458428432"/>
    <n v="272718"/>
    <n v="418723"/>
    <n v="53.536986924222084"/>
    <d v="2025-10-12T00:00:00"/>
    <d v="2025-10-23T00:00:00"/>
    <x v="5"/>
    <n v="11"/>
    <x v="8"/>
    <x v="0"/>
    <n v="8.0836470344132554"/>
    <n v="12.411388090227346"/>
  </r>
  <r>
    <s v="C0435"/>
    <x v="3"/>
    <x v="3"/>
    <x v="5"/>
    <n v="1177672"/>
    <n v="567441"/>
    <n v="1667647"/>
    <n v="32051"/>
    <n v="1990"/>
    <n v="820"/>
    <n v="6.1435462012790758"/>
    <n v="260657"/>
    <n v="1211347"/>
    <n v="364.72835949159241"/>
    <d v="2026-02-24T00:00:00"/>
    <d v="2026-03-22T00:00:00"/>
    <x v="2"/>
    <n v="26"/>
    <x v="1"/>
    <x v="1"/>
    <n v="0.45935524574361036"/>
    <n v="2.1347540977828534"/>
  </r>
  <r>
    <s v="C0436"/>
    <x v="2"/>
    <x v="4"/>
    <x v="5"/>
    <n v="1294529"/>
    <n v="968521"/>
    <n v="1940089"/>
    <n v="125207"/>
    <n v="11379"/>
    <n v="11492"/>
    <n v="15.289085110183464"/>
    <n v="121053"/>
    <n v="520406"/>
    <n v="329.8993003064773"/>
    <d v="2025-12-21T00:00:00"/>
    <d v="2025-12-29T00:00:00"/>
    <x v="3"/>
    <n v="8"/>
    <x v="5"/>
    <x v="0"/>
    <n v="0.12498748091161678"/>
    <n v="0.53732030590973245"/>
  </r>
  <r>
    <s v="C0437"/>
    <x v="8"/>
    <x v="3"/>
    <x v="1"/>
    <n v="1039049"/>
    <n v="271643"/>
    <n v="709057"/>
    <n v="8647"/>
    <n v="814"/>
    <n v="724"/>
    <n v="3.7494063900045282"/>
    <n v="146792"/>
    <n v="509866"/>
    <n v="247.33909204861303"/>
    <d v="2025-07-16T00:00:00"/>
    <d v="2025-08-13T00:00:00"/>
    <x v="6"/>
    <n v="28"/>
    <x v="7"/>
    <x v="0"/>
    <n v="0.54038572685473218"/>
    <n v="1.8769708772175244"/>
  </r>
  <r>
    <s v="C0438"/>
    <x v="3"/>
    <x v="2"/>
    <x v="2"/>
    <n v="1828680"/>
    <n v="510142"/>
    <n v="1481535"/>
    <n v="67224"/>
    <n v="5826"/>
    <n v="5366"/>
    <n v="15.371406392729867"/>
    <n v="190510"/>
    <n v="479815"/>
    <n v="151.85817017479397"/>
    <d v="2025-02-27T00:00:00"/>
    <d v="2025-03-25T00:00:00"/>
    <x v="0"/>
    <n v="26"/>
    <x v="1"/>
    <x v="0"/>
    <n v="0.37344504079256363"/>
    <n v="0.94055184634866373"/>
  </r>
  <r>
    <s v="C0439"/>
    <x v="6"/>
    <x v="4"/>
    <x v="1"/>
    <n v="650472"/>
    <n v="581230"/>
    <n v="959348"/>
    <n v="32630"/>
    <n v="1937"/>
    <n v="3255"/>
    <n v="6.5072346575366034"/>
    <n v="410348"/>
    <n v="1878456"/>
    <n v="357.77145252322418"/>
    <d v="2025-03-03T00:00:00"/>
    <d v="2025-03-30T00:00:00"/>
    <x v="1"/>
    <n v="27"/>
    <x v="9"/>
    <x v="0"/>
    <n v="0.70599934621406324"/>
    <n v="3.231863461968584"/>
  </r>
  <r>
    <s v="C0440"/>
    <x v="10"/>
    <x v="1"/>
    <x v="4"/>
    <n v="1370638"/>
    <n v="1092667"/>
    <n v="2958415"/>
    <n v="136389"/>
    <n v="7169"/>
    <n v="10623"/>
    <n v="14.110520405576446"/>
    <n v="412126"/>
    <n v="713952"/>
    <n v="73.236340342516598"/>
    <d v="2025-02-23T00:00:00"/>
    <d v="2025-03-09T00:00:00"/>
    <x v="1"/>
    <n v="14"/>
    <x v="1"/>
    <x v="0"/>
    <n v="0.37717438158194583"/>
    <n v="0.65340309536208196"/>
  </r>
  <r>
    <s v="C0441"/>
    <x v="3"/>
    <x v="4"/>
    <x v="6"/>
    <n v="864675"/>
    <n v="513178"/>
    <n v="1224412"/>
    <n v="37940"/>
    <n v="5152"/>
    <n v="1814"/>
    <n v="8.750569977668567"/>
    <n v="56378"/>
    <n v="269035"/>
    <n v="377.19855262691124"/>
    <d v="2025-02-23T00:00:00"/>
    <d v="2025-03-16T00:00:00"/>
    <x v="6"/>
    <n v="21"/>
    <x v="1"/>
    <x v="0"/>
    <n v="0.10986051623413319"/>
    <n v="0.52425279337773634"/>
  </r>
  <r>
    <s v="C0442"/>
    <x v="9"/>
    <x v="1"/>
    <x v="2"/>
    <n v="416438"/>
    <n v="188407"/>
    <n v="417606"/>
    <n v="16426"/>
    <n v="2170"/>
    <n v="1280"/>
    <n v="10.549501876257251"/>
    <n v="61562"/>
    <n v="82578"/>
    <n v="34.137942237094308"/>
    <d v="2025-08-25T00:00:00"/>
    <d v="2025-09-20T00:00:00"/>
    <x v="2"/>
    <n v="26"/>
    <x v="3"/>
    <x v="0"/>
    <n v="0.32675006767264486"/>
    <n v="0.43829581703439896"/>
  </r>
  <r>
    <s v="C0443"/>
    <x v="13"/>
    <x v="0"/>
    <x v="6"/>
    <n v="1149044"/>
    <n v="329217"/>
    <n v="383335"/>
    <n v="46462"/>
    <n v="3006"/>
    <n v="3467"/>
    <n v="16.079060315840312"/>
    <n v="247655"/>
    <n v="1038751"/>
    <n v="319.43469746219534"/>
    <d v="2025-11-03T00:00:00"/>
    <d v="2025-11-11T00:00:00"/>
    <x v="6"/>
    <n v="8"/>
    <x v="6"/>
    <x v="0"/>
    <n v="0.75225459195606548"/>
    <n v="3.1552167719163955"/>
  </r>
  <r>
    <s v="C0444"/>
    <x v="8"/>
    <x v="2"/>
    <x v="5"/>
    <n v="1701079"/>
    <n v="1389001"/>
    <n v="2874001"/>
    <n v="40436"/>
    <n v="3112"/>
    <n v="3804"/>
    <n v="3.4090688199648529"/>
    <n v="198614"/>
    <n v="220768"/>
    <n v="11.154299294108169"/>
    <d v="2026-01-20T00:00:00"/>
    <d v="2026-02-18T00:00:00"/>
    <x v="3"/>
    <n v="29"/>
    <x v="10"/>
    <x v="1"/>
    <n v="0.14299053780378848"/>
    <n v="0.15894013035267793"/>
  </r>
  <r>
    <s v="C0445"/>
    <x v="4"/>
    <x v="1"/>
    <x v="7"/>
    <n v="563554"/>
    <n v="322577"/>
    <n v="722491"/>
    <n v="46247"/>
    <n v="3966"/>
    <n v="2613"/>
    <n v="16.376245051569082"/>
    <n v="232545"/>
    <n v="686094"/>
    <n v="195.03708959556215"/>
    <d v="2025-01-22T00:00:00"/>
    <d v="2025-01-29T00:00:00"/>
    <x v="5"/>
    <n v="7"/>
    <x v="10"/>
    <x v="0"/>
    <n v="0.72089764614340146"/>
    <n v="2.1269154341444056"/>
  </r>
  <r>
    <s v="C0446"/>
    <x v="4"/>
    <x v="1"/>
    <x v="3"/>
    <n v="626987"/>
    <n v="238986"/>
    <n v="670198"/>
    <n v="28870"/>
    <n v="4147"/>
    <n v="2239"/>
    <n v="14.752328588285508"/>
    <n v="126001"/>
    <n v="576806"/>
    <n v="357.77890651661494"/>
    <d v="2026-02-11T00:00:00"/>
    <d v="2026-02-23T00:00:00"/>
    <x v="6"/>
    <n v="12"/>
    <x v="1"/>
    <x v="1"/>
    <n v="0.52723172068656743"/>
    <n v="2.4135556057677019"/>
  </r>
  <r>
    <s v="C0447"/>
    <x v="0"/>
    <x v="1"/>
    <x v="4"/>
    <n v="838911"/>
    <n v="520958"/>
    <n v="922958"/>
    <n v="70935"/>
    <n v="7265"/>
    <n v="6461"/>
    <n v="16.251022155336898"/>
    <n v="177956"/>
    <n v="648044"/>
    <n v="264.15967992087934"/>
    <d v="2025-08-19T00:00:00"/>
    <d v="2025-09-06T00:00:00"/>
    <x v="2"/>
    <n v="18"/>
    <x v="3"/>
    <x v="0"/>
    <n v="0.34159375611853549"/>
    <n v="1.2439467289109678"/>
  </r>
  <r>
    <s v="C0448"/>
    <x v="0"/>
    <x v="2"/>
    <x v="2"/>
    <n v="1539066"/>
    <n v="1183830"/>
    <n v="3360332"/>
    <n v="81250"/>
    <n v="6020"/>
    <n v="7028"/>
    <n v="7.9655018034684026"/>
    <n v="164836"/>
    <n v="783818"/>
    <n v="375.51384406319011"/>
    <d v="2025-12-27T00:00:00"/>
    <d v="2026-01-21T00:00:00"/>
    <x v="4"/>
    <n v="25"/>
    <x v="5"/>
    <x v="0"/>
    <n v="0.1392395867649916"/>
    <n v="0.66210351148391233"/>
  </r>
  <r>
    <s v="C0449"/>
    <x v="3"/>
    <x v="1"/>
    <x v="4"/>
    <n v="1378743"/>
    <n v="712033"/>
    <n v="1421379"/>
    <n v="24583"/>
    <n v="2912"/>
    <n v="1053"/>
    <n v="4.0093647344996652"/>
    <n v="330306"/>
    <n v="718569"/>
    <n v="117.54645692176346"/>
    <d v="2026-05-03T00:00:00"/>
    <d v="2026-05-22T00:00:00"/>
    <x v="2"/>
    <n v="19"/>
    <x v="4"/>
    <x v="1"/>
    <n v="0.46389142076280171"/>
    <n v="1.0091793498335049"/>
  </r>
  <r>
    <s v="C0450"/>
    <x v="7"/>
    <x v="2"/>
    <x v="0"/>
    <n v="1671460"/>
    <n v="594679"/>
    <n v="1497276"/>
    <n v="78804"/>
    <n v="10544"/>
    <n v="5820"/>
    <n v="16.003255537861602"/>
    <n v="448991"/>
    <n v="1744656"/>
    <n v="288.57259945076851"/>
    <d v="2025-07-25T00:00:00"/>
    <d v="2025-08-14T00:00:00"/>
    <x v="2"/>
    <n v="20"/>
    <x v="7"/>
    <x v="0"/>
    <n v="0.75501404959650498"/>
    <n v="2.9337777187356542"/>
  </r>
  <r>
    <s v="C0451"/>
    <x v="8"/>
    <x v="0"/>
    <x v="6"/>
    <n v="1033859"/>
    <n v="603895"/>
    <n v="1672924"/>
    <n v="86988"/>
    <n v="9206"/>
    <n v="6784"/>
    <n v="17.052302138616813"/>
    <n v="72415"/>
    <n v="316463"/>
    <n v="337.01304978250363"/>
    <d v="2025-12-04T00:00:00"/>
    <d v="2025-12-28T00:00:00"/>
    <x v="3"/>
    <n v="24"/>
    <x v="5"/>
    <x v="0"/>
    <n v="0.11991322994891496"/>
    <n v="0.52403646329245979"/>
  </r>
  <r>
    <s v="C0452"/>
    <x v="1"/>
    <x v="3"/>
    <x v="6"/>
    <n v="327936"/>
    <n v="237669"/>
    <n v="308661"/>
    <n v="33817"/>
    <n v="1778"/>
    <n v="1481"/>
    <n v="15.599846845823393"/>
    <n v="34513"/>
    <n v="103344"/>
    <n v="199.43499550893867"/>
    <d v="2026-04-27T00:00:00"/>
    <d v="2026-05-10T00:00:00"/>
    <x v="7"/>
    <n v="13"/>
    <x v="2"/>
    <x v="1"/>
    <n v="0.1452145631108811"/>
    <n v="0.43482322052939171"/>
  </r>
  <r>
    <s v="C0453"/>
    <x v="5"/>
    <x v="2"/>
    <x v="1"/>
    <n v="766457"/>
    <n v="653474"/>
    <n v="1461219"/>
    <n v="90048"/>
    <n v="13464"/>
    <n v="7899"/>
    <n v="17.049033320376939"/>
    <n v="356926"/>
    <n v="1514591"/>
    <n v="324.34314115530947"/>
    <d v="2025-06-12T00:00:00"/>
    <d v="2025-07-12T00:00:00"/>
    <x v="5"/>
    <n v="30"/>
    <x v="0"/>
    <x v="0"/>
    <n v="0.5461977064121909"/>
    <n v="2.3177525043077458"/>
  </r>
  <r>
    <s v="C0454"/>
    <x v="13"/>
    <x v="2"/>
    <x v="4"/>
    <n v="305930"/>
    <n v="132024"/>
    <n v="358055"/>
    <n v="12234"/>
    <n v="1090"/>
    <n v="372"/>
    <n v="10.373871417318064"/>
    <n v="208008"/>
    <n v="855678"/>
    <n v="311.3678320064613"/>
    <d v="2025-05-26T00:00:00"/>
    <d v="2025-06-08T00:00:00"/>
    <x v="6"/>
    <n v="13"/>
    <x v="4"/>
    <x v="0"/>
    <n v="1.5755317215051809"/>
    <n v="6.4812306853299404"/>
  </r>
  <r>
    <s v="C0455"/>
    <x v="14"/>
    <x v="0"/>
    <x v="0"/>
    <n v="411079"/>
    <n v="331581"/>
    <n v="739312"/>
    <n v="37632"/>
    <n v="4305"/>
    <n v="1467"/>
    <n v="13.090014204673972"/>
    <n v="344139"/>
    <n v="881441"/>
    <n v="156.12935470841725"/>
    <d v="2025-08-24T00:00:00"/>
    <d v="2025-09-05T00:00:00"/>
    <x v="5"/>
    <n v="12"/>
    <x v="3"/>
    <x v="0"/>
    <n v="1.0378730988808165"/>
    <n v="2.6582976708556885"/>
  </r>
  <r>
    <s v="C0456"/>
    <x v="3"/>
    <x v="3"/>
    <x v="4"/>
    <n v="1728279"/>
    <n v="1175572"/>
    <n v="2136673"/>
    <n v="157017"/>
    <n v="5636"/>
    <n v="6411"/>
    <n v="14.381424532057585"/>
    <n v="221843"/>
    <n v="931305"/>
    <n v="319.80364492005606"/>
    <d v="2025-02-28T00:00:00"/>
    <d v="2025-03-17T00:00:00"/>
    <x v="3"/>
    <n v="17"/>
    <x v="1"/>
    <x v="0"/>
    <n v="0.18871068722290085"/>
    <n v="0.79221434331542429"/>
  </r>
  <r>
    <s v="C0457"/>
    <x v="1"/>
    <x v="1"/>
    <x v="2"/>
    <n v="1348532"/>
    <n v="735707"/>
    <n v="1354399"/>
    <n v="61720"/>
    <n v="4904"/>
    <n v="5408"/>
    <n v="9.7908542395274196"/>
    <n v="98976"/>
    <n v="483693"/>
    <n v="388.69725994180408"/>
    <d v="2026-03-23T00:00:00"/>
    <d v="2026-04-12T00:00:00"/>
    <x v="4"/>
    <n v="20"/>
    <x v="9"/>
    <x v="1"/>
    <n v="0.13453181769372863"/>
    <n v="0.65745330681915493"/>
  </r>
  <r>
    <s v="C0458"/>
    <x v="7"/>
    <x v="1"/>
    <x v="2"/>
    <n v="1037387"/>
    <n v="281169"/>
    <n v="491168"/>
    <n v="8938"/>
    <n v="402"/>
    <n v="480"/>
    <n v="3.4925614132425697"/>
    <n v="416499"/>
    <n v="1865827"/>
    <n v="347.97874664765101"/>
    <d v="2025-04-03T00:00:00"/>
    <d v="2025-04-27T00:00:00"/>
    <x v="7"/>
    <n v="24"/>
    <x v="2"/>
    <x v="0"/>
    <n v="1.4813119511752717"/>
    <n v="6.6359627128168466"/>
  </r>
  <r>
    <s v="C0459"/>
    <x v="14"/>
    <x v="4"/>
    <x v="6"/>
    <n v="385577"/>
    <n v="105106"/>
    <n v="226369"/>
    <n v="6349"/>
    <n v="898"/>
    <n v="418"/>
    <n v="7.2926379083972375"/>
    <n v="149998"/>
    <n v="625732"/>
    <n v="317.1602288030507"/>
    <d v="2025-05-14T00:00:00"/>
    <d v="2025-05-31T00:00:00"/>
    <x v="6"/>
    <n v="17"/>
    <x v="4"/>
    <x v="0"/>
    <n v="1.4271116777348583"/>
    <n v="5.9533423401137897"/>
  </r>
  <r>
    <s v="C0460"/>
    <x v="3"/>
    <x v="3"/>
    <x v="0"/>
    <n v="760306"/>
    <n v="534101"/>
    <n v="807848"/>
    <n v="59212"/>
    <n v="5796"/>
    <n v="3027"/>
    <n v="12.738227413916094"/>
    <n v="145963"/>
    <n v="264683"/>
    <n v="81.335680960243351"/>
    <d v="2025-01-26T00:00:00"/>
    <d v="2025-02-12T00:00:00"/>
    <x v="6"/>
    <n v="17"/>
    <x v="10"/>
    <x v="0"/>
    <n v="0.27328726214704707"/>
    <n v="0.49556731779195323"/>
  </r>
  <r>
    <s v="C0461"/>
    <x v="3"/>
    <x v="3"/>
    <x v="3"/>
    <n v="923867"/>
    <n v="603671"/>
    <n v="1774237"/>
    <n v="43609"/>
    <n v="4827"/>
    <n v="3761"/>
    <n v="8.6465972359116137"/>
    <n v="427612"/>
    <n v="2001103"/>
    <n v="367.97166590273423"/>
    <d v="2026-01-15T00:00:00"/>
    <d v="2026-02-03T00:00:00"/>
    <x v="3"/>
    <n v="19"/>
    <x v="10"/>
    <x v="1"/>
    <n v="0.70835272855578613"/>
    <n v="3.3148900642899859"/>
  </r>
  <r>
    <s v="C0462"/>
    <x v="12"/>
    <x v="0"/>
    <x v="2"/>
    <n v="1441578"/>
    <n v="536476"/>
    <n v="969355"/>
    <n v="50124"/>
    <n v="2234"/>
    <n v="3736"/>
    <n v="10.456012943729077"/>
    <n v="395142"/>
    <n v="1788127"/>
    <n v="352.5276989031791"/>
    <d v="2025-02-10T00:00:00"/>
    <d v="2025-03-11T00:00:00"/>
    <x v="7"/>
    <n v="29"/>
    <x v="1"/>
    <x v="0"/>
    <n v="0.73655112251060628"/>
    <n v="3.333097845942782"/>
  </r>
  <r>
    <s v="C0463"/>
    <x v="0"/>
    <x v="1"/>
    <x v="2"/>
    <n v="1525750"/>
    <n v="723611"/>
    <n v="987260"/>
    <n v="92162"/>
    <n v="5550"/>
    <n v="6474"/>
    <n v="14.398067469952776"/>
    <n v="312356"/>
    <n v="1526811"/>
    <n v="388.80476123397665"/>
    <d v="2025-04-27T00:00:00"/>
    <d v="2025-05-23T00:00:00"/>
    <x v="6"/>
    <n v="26"/>
    <x v="2"/>
    <x v="0"/>
    <n v="0.43166286858546926"/>
    <n v="2.1099886541249373"/>
  </r>
  <r>
    <s v="C0464"/>
    <x v="7"/>
    <x v="0"/>
    <x v="7"/>
    <n v="1051530"/>
    <n v="315803"/>
    <n v="407056"/>
    <n v="22931"/>
    <n v="1991"/>
    <n v="921"/>
    <n v="8.1832661500999038"/>
    <n v="369657"/>
    <n v="433814"/>
    <n v="17.355819043058833"/>
    <d v="2026-02-05T00:00:00"/>
    <d v="2026-02-19T00:00:00"/>
    <x v="2"/>
    <n v="14"/>
    <x v="1"/>
    <x v="1"/>
    <n v="1.1705303622828156"/>
    <n v="1.3736854938046821"/>
  </r>
  <r>
    <s v="C0465"/>
    <x v="7"/>
    <x v="3"/>
    <x v="6"/>
    <n v="1488096"/>
    <n v="755640"/>
    <n v="2041901"/>
    <n v="16022"/>
    <n v="2229"/>
    <n v="1510"/>
    <n v="2.6151341908845485"/>
    <n v="211423"/>
    <n v="417451"/>
    <n v="97.448243568580523"/>
    <d v="2025-07-26T00:00:00"/>
    <d v="2025-08-06T00:00:00"/>
    <x v="6"/>
    <n v="11"/>
    <x v="7"/>
    <x v="0"/>
    <n v="0.27979328780900958"/>
    <n v="0.55244693240167275"/>
  </r>
  <r>
    <s v="C0466"/>
    <x v="10"/>
    <x v="3"/>
    <x v="2"/>
    <n v="1666039"/>
    <n v="1229382"/>
    <n v="3484018"/>
    <n v="175414"/>
    <n v="25398"/>
    <n v="8916"/>
    <n v="17.05962833358549"/>
    <n v="357589"/>
    <n v="1708875"/>
    <n v="377.88802228256463"/>
    <d v="2025-03-15T00:00:00"/>
    <d v="2025-04-14T00:00:00"/>
    <x v="0"/>
    <n v="30"/>
    <x v="9"/>
    <x v="0"/>
    <n v="0.2908689081180626"/>
    <n v="1.3900276724402993"/>
  </r>
  <r>
    <s v="C0467"/>
    <x v="8"/>
    <x v="3"/>
    <x v="7"/>
    <n v="577369"/>
    <n v="169938"/>
    <n v="256747"/>
    <n v="12457"/>
    <n v="1743"/>
    <n v="898"/>
    <n v="8.8844166696089157"/>
    <n v="159092"/>
    <n v="264790"/>
    <n v="66.438287280315791"/>
    <d v="2026-01-01T00:00:00"/>
    <d v="2026-01-29T00:00:00"/>
    <x v="3"/>
    <n v="28"/>
    <x v="10"/>
    <x v="1"/>
    <n v="0.93617672327554757"/>
    <n v="1.5581565041368028"/>
  </r>
  <r>
    <s v="C0468"/>
    <x v="5"/>
    <x v="2"/>
    <x v="7"/>
    <n v="1032196"/>
    <n v="725537"/>
    <n v="1180184"/>
    <n v="102879"/>
    <n v="14205"/>
    <n v="7357"/>
    <n v="17.151571870214752"/>
    <n v="481362"/>
    <n v="2235723"/>
    <n v="364.45772620190212"/>
    <d v="2025-10-31T00:00:00"/>
    <d v="2025-11-29T00:00:00"/>
    <x v="3"/>
    <n v="29"/>
    <x v="8"/>
    <x v="0"/>
    <n v="0.66345617108431409"/>
    <n v="3.0814734465644067"/>
  </r>
  <r>
    <s v="C0469"/>
    <x v="3"/>
    <x v="1"/>
    <x v="5"/>
    <n v="1108418"/>
    <n v="291117"/>
    <n v="465432"/>
    <n v="30604"/>
    <n v="1690"/>
    <n v="638"/>
    <n v="11.312290247563695"/>
    <n v="452627"/>
    <n v="549733"/>
    <n v="21.453868196108495"/>
    <d v="2025-12-12T00:00:00"/>
    <d v="2025-12-27T00:00:00"/>
    <x v="7"/>
    <n v="15"/>
    <x v="5"/>
    <x v="0"/>
    <n v="1.5547941205769502"/>
    <n v="1.8883576019263733"/>
  </r>
  <r>
    <s v="C0470"/>
    <x v="9"/>
    <x v="4"/>
    <x v="7"/>
    <n v="1157865"/>
    <n v="576345"/>
    <n v="674264"/>
    <n v="40005"/>
    <n v="2388"/>
    <n v="1758"/>
    <n v="7.6605158368685426"/>
    <n v="66117"/>
    <n v="84251"/>
    <n v="27.427136742441427"/>
    <d v="2026-04-14T00:00:00"/>
    <d v="2026-04-22T00:00:00"/>
    <x v="0"/>
    <n v="8"/>
    <x v="2"/>
    <x v="1"/>
    <n v="0.11471774718267705"/>
    <n v="0.14618154057031812"/>
  </r>
  <r>
    <s v="C0471"/>
    <x v="12"/>
    <x v="0"/>
    <x v="0"/>
    <n v="1352302"/>
    <n v="585983"/>
    <n v="669472"/>
    <n v="37950"/>
    <n v="1181"/>
    <n v="2587"/>
    <n v="7.1193191611360742"/>
    <n v="441966"/>
    <n v="860562"/>
    <n v="94.712262934252863"/>
    <d v="2025-01-31T00:00:00"/>
    <d v="2025-02-15T00:00:00"/>
    <x v="4"/>
    <n v="15"/>
    <x v="10"/>
    <x v="0"/>
    <n v="0.7542300715208462"/>
    <n v="1.4685784399888735"/>
  </r>
  <r>
    <s v="C0472"/>
    <x v="0"/>
    <x v="0"/>
    <x v="5"/>
    <n v="589259"/>
    <n v="485809"/>
    <n v="884680"/>
    <n v="67031"/>
    <n v="3916"/>
    <n v="2105"/>
    <n v="15.037185395906622"/>
    <n v="162122"/>
    <n v="266983"/>
    <n v="64.680302488249581"/>
    <d v="2026-03-01T00:00:00"/>
    <d v="2026-03-25T00:00:00"/>
    <x v="1"/>
    <n v="24"/>
    <x v="9"/>
    <x v="1"/>
    <n v="0.33371551371012065"/>
    <n v="0.54956371742804266"/>
  </r>
  <r>
    <s v="C0473"/>
    <x v="8"/>
    <x v="2"/>
    <x v="7"/>
    <n v="408001"/>
    <n v="120064"/>
    <n v="184891"/>
    <n v="13154"/>
    <n v="813"/>
    <n v="505"/>
    <n v="12.053571428571429"/>
    <n v="272122"/>
    <n v="933545"/>
    <n v="243.06120049095625"/>
    <d v="2026-05-05T00:00:00"/>
    <d v="2026-05-20T00:00:00"/>
    <x v="0"/>
    <n v="15"/>
    <x v="4"/>
    <x v="1"/>
    <n v="2.2664745469083156"/>
    <n v="7.7753947894456292"/>
  </r>
  <r>
    <s v="C0474"/>
    <x v="3"/>
    <x v="3"/>
    <x v="3"/>
    <n v="988928"/>
    <n v="713311"/>
    <n v="1162243"/>
    <n v="22868"/>
    <n v="1890"/>
    <n v="1190"/>
    <n v="3.6376839835639712"/>
    <n v="355632"/>
    <n v="1182636"/>
    <n v="232.54487785126199"/>
    <d v="2025-11-15T00:00:00"/>
    <d v="2025-11-29T00:00:00"/>
    <x v="7"/>
    <n v="14"/>
    <x v="6"/>
    <x v="0"/>
    <n v="0.49856514199276331"/>
    <n v="1.6579528424488057"/>
  </r>
  <r>
    <s v="C0475"/>
    <x v="6"/>
    <x v="1"/>
    <x v="1"/>
    <n v="377586"/>
    <n v="202204"/>
    <n v="343238"/>
    <n v="26477"/>
    <n v="2203"/>
    <n v="1466"/>
    <n v="14.908706059227313"/>
    <n v="442526"/>
    <n v="1859401"/>
    <n v="320.17892733986253"/>
    <d v="2025-06-19T00:00:00"/>
    <d v="2025-07-08T00:00:00"/>
    <x v="5"/>
    <n v="19"/>
    <x v="0"/>
    <x v="0"/>
    <n v="2.1885125912444856"/>
    <n v="9.1956687305889098"/>
  </r>
  <r>
    <s v="C0476"/>
    <x v="13"/>
    <x v="1"/>
    <x v="7"/>
    <n v="1300196"/>
    <n v="1023927"/>
    <n v="1239337"/>
    <n v="107195"/>
    <n v="7022"/>
    <n v="6320"/>
    <n v="11.772030623276855"/>
    <n v="305871"/>
    <n v="697424"/>
    <n v="128.01246277025282"/>
    <d v="2025-12-07T00:00:00"/>
    <d v="2025-12-28T00:00:00"/>
    <x v="1"/>
    <n v="21"/>
    <x v="5"/>
    <x v="0"/>
    <n v="0.29872344415178037"/>
    <n v="0.68112668188259518"/>
  </r>
  <r>
    <s v="C0477"/>
    <x v="12"/>
    <x v="0"/>
    <x v="2"/>
    <n v="1944307"/>
    <n v="601371"/>
    <n v="920081"/>
    <n v="28280"/>
    <n v="2774"/>
    <n v="1636"/>
    <n v="5.4359122737877286"/>
    <n v="436603"/>
    <n v="1929723"/>
    <n v="341.9857399055893"/>
    <d v="2026-04-15T00:00:00"/>
    <d v="2026-04-22T00:00:00"/>
    <x v="2"/>
    <n v="7"/>
    <x v="2"/>
    <x v="1"/>
    <n v="0.72601272758413693"/>
    <n v="3.208872725821498"/>
  </r>
  <r>
    <s v="C0478"/>
    <x v="11"/>
    <x v="0"/>
    <x v="7"/>
    <n v="1874438"/>
    <n v="1360753"/>
    <n v="2334606"/>
    <n v="181568"/>
    <n v="8079"/>
    <n v="13881"/>
    <n v="14.957012771605132"/>
    <n v="288697"/>
    <n v="1052261"/>
    <n v="264.48629532000678"/>
    <d v="2025-11-05T00:00:00"/>
    <d v="2025-12-05T00:00:00"/>
    <x v="6"/>
    <n v="30"/>
    <x v="6"/>
    <x v="0"/>
    <n v="0.21215973802740101"/>
    <n v="0.77329316929670555"/>
  </r>
  <r>
    <s v="C0479"/>
    <x v="14"/>
    <x v="3"/>
    <x v="7"/>
    <n v="1112843"/>
    <n v="496819"/>
    <n v="1248399"/>
    <n v="50361"/>
    <n v="3476"/>
    <n v="2296"/>
    <n v="11.298480935713007"/>
    <n v="97751"/>
    <n v="431489"/>
    <n v="341.41645609763583"/>
    <d v="2025-08-20T00:00:00"/>
    <d v="2025-09-18T00:00:00"/>
    <x v="5"/>
    <n v="29"/>
    <x v="3"/>
    <x v="0"/>
    <n v="0.19675374734058076"/>
    <n v="0.86850341875008807"/>
  </r>
  <r>
    <s v="C0480"/>
    <x v="5"/>
    <x v="1"/>
    <x v="6"/>
    <n v="705402"/>
    <n v="437130"/>
    <n v="1171379"/>
    <n v="12481"/>
    <n v="1630"/>
    <n v="1148"/>
    <n v="3.4907235833733674"/>
    <n v="422162"/>
    <n v="1894558"/>
    <n v="348.77511476636931"/>
    <d v="2025-11-19T00:00:00"/>
    <d v="2025-12-08T00:00:00"/>
    <x v="5"/>
    <n v="19"/>
    <x v="6"/>
    <x v="0"/>
    <n v="0.96575847002036008"/>
    <n v="4.334083682199803"/>
  </r>
  <r>
    <s v="C0481"/>
    <x v="5"/>
    <x v="1"/>
    <x v="1"/>
    <n v="1533973"/>
    <n v="752030"/>
    <n v="1715670"/>
    <n v="68228"/>
    <n v="7000"/>
    <n v="5770"/>
    <n v="10.770580960865923"/>
    <n v="379499"/>
    <n v="713843"/>
    <n v="88.101417922049862"/>
    <d v="2025-06-08T00:00:00"/>
    <d v="2025-06-26T00:00:00"/>
    <x v="1"/>
    <n v="18"/>
    <x v="0"/>
    <x v="0"/>
    <n v="0.50463279390449844"/>
    <n v="0.94922144063401726"/>
  </r>
  <r>
    <s v="C0482"/>
    <x v="0"/>
    <x v="4"/>
    <x v="0"/>
    <n v="1720790"/>
    <n v="891125"/>
    <n v="1073364"/>
    <n v="79546"/>
    <n v="5146"/>
    <n v="4902"/>
    <n v="10.054032823677936"/>
    <n v="298928"/>
    <n v="857882"/>
    <n v="186.9861638923085"/>
    <d v="2025-05-31T00:00:00"/>
    <d v="2025-06-23T00:00:00"/>
    <x v="0"/>
    <n v="23"/>
    <x v="4"/>
    <x v="0"/>
    <n v="0.33545013325852152"/>
    <n v="0.96269546921026794"/>
  </r>
  <r>
    <s v="C0483"/>
    <x v="10"/>
    <x v="0"/>
    <x v="5"/>
    <n v="617922"/>
    <n v="509758"/>
    <n v="894930"/>
    <n v="13109"/>
    <n v="1260"/>
    <n v="1238"/>
    <n v="3.0616488608320025"/>
    <n v="225576"/>
    <n v="347446"/>
    <n v="54.026137532361595"/>
    <d v="2025-07-09T00:00:00"/>
    <d v="2025-07-24T00:00:00"/>
    <x v="7"/>
    <n v="15"/>
    <x v="7"/>
    <x v="0"/>
    <n v="0.4425158604671236"/>
    <n v="0.68159008784560515"/>
  </r>
  <r>
    <s v="C0484"/>
    <x v="8"/>
    <x v="3"/>
    <x v="2"/>
    <n v="417168"/>
    <n v="126760"/>
    <n v="216728"/>
    <n v="7233"/>
    <n v="372"/>
    <n v="493"/>
    <n v="6.3884506153360681"/>
    <n v="215676"/>
    <n v="912874"/>
    <n v="323.2617444685547"/>
    <d v="2025-07-04T00:00:00"/>
    <d v="2025-07-12T00:00:00"/>
    <x v="2"/>
    <n v="8"/>
    <x v="7"/>
    <x v="0"/>
    <n v="1.7014515620069424"/>
    <n v="7.2015935626380561"/>
  </r>
  <r>
    <s v="C0485"/>
    <x v="6"/>
    <x v="1"/>
    <x v="6"/>
    <n v="1044825"/>
    <n v="666469"/>
    <n v="1176139"/>
    <n v="56247"/>
    <n v="1847"/>
    <n v="5569"/>
    <n v="9.5522822516876253"/>
    <n v="364502"/>
    <n v="1048118"/>
    <n v="187.54794212377433"/>
    <d v="2025-12-02T00:00:00"/>
    <d v="2025-12-27T00:00:00"/>
    <x v="7"/>
    <n v="25"/>
    <x v="5"/>
    <x v="0"/>
    <n v="0.54691516034504228"/>
    <n v="1.5726432887351101"/>
  </r>
  <r>
    <s v="C0486"/>
    <x v="5"/>
    <x v="1"/>
    <x v="6"/>
    <n v="364940"/>
    <n v="276717"/>
    <n v="663695"/>
    <n v="31386"/>
    <n v="1033"/>
    <n v="2156"/>
    <n v="12.494714816942942"/>
    <n v="323461"/>
    <n v="428188"/>
    <n v="32.377009902275702"/>
    <d v="2026-04-16T00:00:00"/>
    <d v="2026-05-08T00:00:00"/>
    <x v="0"/>
    <n v="22"/>
    <x v="2"/>
    <x v="1"/>
    <n v="1.1689234850045354"/>
    <n v="1.5473859574944799"/>
  </r>
  <r>
    <s v="C0487"/>
    <x v="7"/>
    <x v="1"/>
    <x v="5"/>
    <n v="402210"/>
    <n v="180927"/>
    <n v="416706"/>
    <n v="24008"/>
    <n v="2786"/>
    <n v="842"/>
    <n v="15.274668789069626"/>
    <n v="405803"/>
    <n v="1907350"/>
    <n v="370.01870365670044"/>
    <d v="2026-02-28T00:00:00"/>
    <d v="2026-03-18T00:00:00"/>
    <x v="1"/>
    <n v="18"/>
    <x v="1"/>
    <x v="1"/>
    <n v="2.2429101239726519"/>
    <n v="10.542097088881151"/>
  </r>
  <r>
    <s v="C0488"/>
    <x v="6"/>
    <x v="1"/>
    <x v="6"/>
    <n v="1441485"/>
    <n v="1181389"/>
    <n v="1792899"/>
    <n v="122974"/>
    <n v="6316"/>
    <n v="4362"/>
    <n v="11.313123789031385"/>
    <n v="434424"/>
    <n v="1534321"/>
    <n v="253.18513710108098"/>
    <d v="2025-09-18T00:00:00"/>
    <d v="2025-10-05T00:00:00"/>
    <x v="6"/>
    <n v="17"/>
    <x v="11"/>
    <x v="0"/>
    <n v="0.36772307851181957"/>
    <n v="1.2987432589942856"/>
  </r>
  <r>
    <s v="C0489"/>
    <x v="12"/>
    <x v="2"/>
    <x v="1"/>
    <n v="983884"/>
    <n v="608483"/>
    <n v="1219308"/>
    <n v="30725"/>
    <n v="1029"/>
    <n v="2738"/>
    <n v="5.6685231962109048"/>
    <n v="230997"/>
    <n v="824930"/>
    <n v="257.11719199816446"/>
    <d v="2025-09-05T00:00:00"/>
    <d v="2025-09-16T00:00:00"/>
    <x v="2"/>
    <n v="11"/>
    <x v="11"/>
    <x v="0"/>
    <n v="0.37962769707617139"/>
    <n v="1.3557157718457213"/>
  </r>
  <r>
    <s v="C0490"/>
    <x v="0"/>
    <x v="3"/>
    <x v="3"/>
    <n v="669856"/>
    <n v="337944"/>
    <n v="611517"/>
    <n v="33406"/>
    <n v="1581"/>
    <n v="1388"/>
    <n v="10.763617640792557"/>
    <n v="67119"/>
    <n v="123828"/>
    <n v="84.49023376391186"/>
    <d v="2025-10-14T00:00:00"/>
    <d v="2025-10-23T00:00:00"/>
    <x v="2"/>
    <n v="9"/>
    <x v="8"/>
    <x v="0"/>
    <n v="0.19860982884738299"/>
    <n v="0.36641573751864215"/>
  </r>
  <r>
    <s v="C0491"/>
    <x v="12"/>
    <x v="0"/>
    <x v="1"/>
    <n v="481985"/>
    <n v="404845"/>
    <n v="912054"/>
    <n v="29795"/>
    <n v="3094"/>
    <n v="1386"/>
    <n v="8.4662031147723216"/>
    <n v="429264"/>
    <n v="1023135"/>
    <n v="138.34633232695964"/>
    <d v="2026-05-04T00:00:00"/>
    <d v="2026-05-23T00:00:00"/>
    <x v="4"/>
    <n v="19"/>
    <x v="4"/>
    <x v="1"/>
    <n v="1.0603169114105397"/>
    <n v="2.5272264693895194"/>
  </r>
  <r>
    <s v="C0492"/>
    <x v="6"/>
    <x v="1"/>
    <x v="2"/>
    <n v="272870"/>
    <n v="112369"/>
    <n v="255054"/>
    <n v="3930"/>
    <n v="316"/>
    <n v="272"/>
    <n v="4.020681860655519"/>
    <n v="112149"/>
    <n v="367950"/>
    <n v="228.09030842896502"/>
    <d v="2025-08-20T00:00:00"/>
    <d v="2025-09-01T00:00:00"/>
    <x v="4"/>
    <n v="12"/>
    <x v="3"/>
    <x v="0"/>
    <n v="0.99804216465395257"/>
    <n v="3.274479616264272"/>
  </r>
  <r>
    <s v="C0493"/>
    <x v="13"/>
    <x v="3"/>
    <x v="1"/>
    <n v="897047"/>
    <n v="541452"/>
    <n v="1373639"/>
    <n v="25957"/>
    <n v="2533"/>
    <n v="1179"/>
    <n v="5.4795254242296645"/>
    <n v="112285"/>
    <n v="220913"/>
    <n v="96.743109052856568"/>
    <d v="2025-04-14T00:00:00"/>
    <d v="2025-05-04T00:00:00"/>
    <x v="1"/>
    <n v="20"/>
    <x v="2"/>
    <x v="0"/>
    <n v="0.20737756994156453"/>
    <n v="0.40800107858129619"/>
  </r>
  <r>
    <s v="C0494"/>
    <x v="3"/>
    <x v="3"/>
    <x v="4"/>
    <n v="1531330"/>
    <n v="1365036"/>
    <n v="3363437"/>
    <n v="65305"/>
    <n v="3590"/>
    <n v="4187"/>
    <n v="5.3538514735142515"/>
    <n v="69204"/>
    <n v="139151"/>
    <n v="101.07363736200219"/>
    <d v="2025-01-27T00:00:00"/>
    <d v="2025-02-26T00:00:00"/>
    <x v="5"/>
    <n v="30"/>
    <x v="10"/>
    <x v="0"/>
    <n v="5.0697564020289576E-2"/>
    <n v="0.10193943602952596"/>
  </r>
  <r>
    <s v="C0495"/>
    <x v="10"/>
    <x v="2"/>
    <x v="4"/>
    <n v="73104"/>
    <n v="28715"/>
    <n v="45593"/>
    <n v="1197"/>
    <n v="171"/>
    <n v="95"/>
    <n v="5.094898136862267"/>
    <n v="308639"/>
    <n v="454619"/>
    <n v="47.29797595248818"/>
    <d v="2025-11-09T00:00:00"/>
    <d v="2025-12-07T00:00:00"/>
    <x v="6"/>
    <n v="28"/>
    <x v="6"/>
    <x v="0"/>
    <n v="10.748354518544314"/>
    <n v="15.832108654013581"/>
  </r>
  <r>
    <s v="C0496"/>
    <x v="4"/>
    <x v="3"/>
    <x v="4"/>
    <n v="936730"/>
    <n v="505770"/>
    <n v="1253392"/>
    <n v="61476"/>
    <n v="2907"/>
    <n v="4228"/>
    <n v="13.565652371631373"/>
    <n v="483449"/>
    <n v="1765592"/>
    <n v="265.20749861929596"/>
    <d v="2026-03-23T00:00:00"/>
    <d v="2026-04-21T00:00:00"/>
    <x v="2"/>
    <n v="29"/>
    <x v="9"/>
    <x v="1"/>
    <n v="0.955867291456591"/>
    <n v="3.4908990252486309"/>
  </r>
  <r>
    <s v="C0497"/>
    <x v="6"/>
    <x v="4"/>
    <x v="3"/>
    <n v="1274251"/>
    <n v="382665"/>
    <n v="663768"/>
    <n v="38822"/>
    <n v="2060"/>
    <n v="2076"/>
    <n v="11.226007081912377"/>
    <n v="345056"/>
    <n v="1046458"/>
    <n v="203.27193267179823"/>
    <d v="2026-03-29T00:00:00"/>
    <d v="2026-04-18T00:00:00"/>
    <x v="7"/>
    <n v="20"/>
    <x v="9"/>
    <x v="1"/>
    <n v="0.90171821305841926"/>
    <n v="2.7346582519958709"/>
  </r>
  <r>
    <s v="C0498"/>
    <x v="5"/>
    <x v="2"/>
    <x v="3"/>
    <n v="1144547"/>
    <n v="695601"/>
    <n v="833962"/>
    <n v="87594"/>
    <n v="3496"/>
    <n v="5900"/>
    <n v="13.943338206816838"/>
    <n v="218544"/>
    <n v="1028197"/>
    <n v="370.47596822607807"/>
    <d v="2025-10-05T00:00:00"/>
    <d v="2025-10-15T00:00:00"/>
    <x v="7"/>
    <n v="10"/>
    <x v="8"/>
    <x v="0"/>
    <n v="0.31418011187447975"/>
    <n v="1.478141923315234"/>
  </r>
  <r>
    <s v="C0499"/>
    <x v="10"/>
    <x v="4"/>
    <x v="1"/>
    <n v="1691468"/>
    <n v="1197882"/>
    <n v="1914632"/>
    <n v="52646"/>
    <n v="6166"/>
    <n v="2715"/>
    <n v="5.136315597028756"/>
    <n v="381185"/>
    <n v="1164738"/>
    <n v="205.55714416884192"/>
    <d v="2025-04-22T00:00:00"/>
    <d v="2025-05-19T00:00:00"/>
    <x v="7"/>
    <n v="27"/>
    <x v="2"/>
    <x v="0"/>
    <n v="0.31821581758470369"/>
    <n v="0.97233116450535195"/>
  </r>
  <r>
    <s v="C0500"/>
    <x v="8"/>
    <x v="1"/>
    <x v="3"/>
    <n v="1467342"/>
    <n v="441584"/>
    <n v="1206680"/>
    <n v="59066"/>
    <n v="7100"/>
    <n v="2948"/>
    <n v="15.651382296460017"/>
    <n v="404375"/>
    <n v="1722419"/>
    <n v="325.9459659969088"/>
    <d v="2025-03-06T00:00:00"/>
    <d v="2025-03-22T00:00:00"/>
    <x v="5"/>
    <n v="16"/>
    <x v="9"/>
    <x v="0"/>
    <n v="0.9157374361389905"/>
    <n v="3.9005466683575492"/>
  </r>
  <r>
    <s v="C0501"/>
    <x v="3"/>
    <x v="2"/>
    <x v="5"/>
    <n v="1516226"/>
    <n v="467284"/>
    <n v="1157551"/>
    <n v="15605"/>
    <n v="506"/>
    <n v="830"/>
    <n v="3.6254183751209119"/>
    <n v="153951"/>
    <n v="623018"/>
    <n v="304.68590655468296"/>
    <d v="2025-06-29T00:00:00"/>
    <d v="2025-07-28T00:00:00"/>
    <x v="2"/>
    <n v="29"/>
    <x v="0"/>
    <x v="0"/>
    <n v="0.32945917258027241"/>
    <n v="1.3332748392840328"/>
  </r>
  <r>
    <s v="C0502"/>
    <x v="14"/>
    <x v="4"/>
    <x v="6"/>
    <n v="1045402"/>
    <n v="342544"/>
    <n v="968562"/>
    <n v="23652"/>
    <n v="2866"/>
    <n v="1249"/>
    <n v="8.1061119155495351"/>
    <n v="36179"/>
    <n v="112194"/>
    <n v="210.10807374443738"/>
    <d v="2025-03-04T00:00:00"/>
    <d v="2025-04-01T00:00:00"/>
    <x v="5"/>
    <n v="28"/>
    <x v="9"/>
    <x v="0"/>
    <n v="0.10561854827409034"/>
    <n v="0.32753164556962028"/>
  </r>
  <r>
    <s v="C0503"/>
    <x v="9"/>
    <x v="1"/>
    <x v="7"/>
    <n v="853116"/>
    <n v="588561"/>
    <n v="1341209"/>
    <n v="58221"/>
    <n v="2758"/>
    <n v="2880"/>
    <n v="10.850022342628886"/>
    <n v="347436"/>
    <n v="1188201"/>
    <n v="241.99133077746694"/>
    <d v="2025-03-03T00:00:00"/>
    <d v="2025-03-15T00:00:00"/>
    <x v="0"/>
    <n v="12"/>
    <x v="9"/>
    <x v="0"/>
    <n v="0.59031434294830953"/>
    <n v="2.0188238772191838"/>
  </r>
  <r>
    <s v="C0504"/>
    <x v="8"/>
    <x v="4"/>
    <x v="6"/>
    <n v="1857046"/>
    <n v="1065194"/>
    <n v="2678175"/>
    <n v="69272"/>
    <n v="3915"/>
    <n v="5461"/>
    <n v="7.3834437670508848"/>
    <n v="347293"/>
    <n v="769885"/>
    <n v="121.68169240382041"/>
    <d v="2026-04-28T00:00:00"/>
    <d v="2026-05-16T00:00:00"/>
    <x v="1"/>
    <n v="18"/>
    <x v="2"/>
    <x v="1"/>
    <n v="0.32603732277876141"/>
    <n v="0.72276505500406496"/>
  </r>
  <r>
    <s v="C0505"/>
    <x v="7"/>
    <x v="0"/>
    <x v="0"/>
    <n v="775465"/>
    <n v="444310"/>
    <n v="595796"/>
    <n v="22306"/>
    <n v="863"/>
    <n v="888"/>
    <n v="5.4144628750196935"/>
    <n v="58309"/>
    <n v="165447"/>
    <n v="183.74178943216313"/>
    <d v="2025-03-09T00:00:00"/>
    <d v="2025-03-31T00:00:00"/>
    <x v="4"/>
    <n v="22"/>
    <x v="9"/>
    <x v="0"/>
    <n v="0.13123494857194301"/>
    <n v="0.37236839143841011"/>
  </r>
  <r>
    <s v="C0506"/>
    <x v="14"/>
    <x v="0"/>
    <x v="5"/>
    <n v="773381"/>
    <n v="318112"/>
    <n v="933848"/>
    <n v="8305"/>
    <n v="458"/>
    <n v="478"/>
    <n v="2.904951715119203"/>
    <n v="52362"/>
    <n v="140961"/>
    <n v="169.20476681562965"/>
    <d v="2025-01-28T00:00:00"/>
    <d v="2025-02-23T00:00:00"/>
    <x v="7"/>
    <n v="26"/>
    <x v="10"/>
    <x v="0"/>
    <n v="0.16460240418468966"/>
    <n v="0.44311751835831403"/>
  </r>
  <r>
    <s v="C0507"/>
    <x v="3"/>
    <x v="2"/>
    <x v="2"/>
    <n v="402618"/>
    <n v="251040"/>
    <n v="372067"/>
    <n v="23767"/>
    <n v="1225"/>
    <n v="676"/>
    <n v="10.224665391969408"/>
    <n v="284615"/>
    <n v="1356451"/>
    <n v="376.59153593450799"/>
    <d v="2025-07-04T00:00:00"/>
    <d v="2025-07-29T00:00:00"/>
    <x v="0"/>
    <n v="25"/>
    <x v="7"/>
    <x v="0"/>
    <n v="1.1337436265137031"/>
    <n v="5.4033261631612488"/>
  </r>
  <r>
    <s v="C0508"/>
    <x v="9"/>
    <x v="4"/>
    <x v="1"/>
    <n v="1016243"/>
    <n v="476543"/>
    <n v="1362152"/>
    <n v="48265"/>
    <n v="2808"/>
    <n v="4053"/>
    <n v="11.567896286379193"/>
    <n v="121471"/>
    <n v="464817"/>
    <n v="282.6567658124161"/>
    <d v="2025-04-06T00:00:00"/>
    <d v="2025-04-30T00:00:00"/>
    <x v="4"/>
    <n v="24"/>
    <x v="2"/>
    <x v="0"/>
    <n v="0.25490039723592622"/>
    <n v="0.97539361610599673"/>
  </r>
  <r>
    <s v="C0509"/>
    <x v="5"/>
    <x v="2"/>
    <x v="6"/>
    <n v="1664529"/>
    <n v="1278260"/>
    <n v="3672474"/>
    <n v="67625"/>
    <n v="8440"/>
    <n v="6124"/>
    <n v="6.4297560746639961"/>
    <n v="127050"/>
    <n v="297956"/>
    <n v="134.51869342778434"/>
    <d v="2026-01-20T00:00:00"/>
    <d v="2026-02-02T00:00:00"/>
    <x v="2"/>
    <n v="13"/>
    <x v="10"/>
    <x v="1"/>
    <n v="9.9392924757091675E-2"/>
    <n v="0.23309498849999219"/>
  </r>
  <r>
    <s v="C0510"/>
    <x v="5"/>
    <x v="3"/>
    <x v="6"/>
    <n v="540879"/>
    <n v="474214"/>
    <n v="1102260"/>
    <n v="50883"/>
    <n v="4294"/>
    <n v="2999"/>
    <n v="12.267879058821544"/>
    <n v="70498"/>
    <n v="297519"/>
    <n v="322.024738290448"/>
    <d v="2026-02-19T00:00:00"/>
    <d v="2026-02-26T00:00:00"/>
    <x v="7"/>
    <n v="7"/>
    <x v="1"/>
    <x v="1"/>
    <n v="0.14866283998363608"/>
    <n v="0.62739396137608761"/>
  </r>
  <r>
    <s v="C0511"/>
    <x v="8"/>
    <x v="1"/>
    <x v="3"/>
    <n v="1166908"/>
    <n v="681894"/>
    <n v="1778608"/>
    <n v="14496"/>
    <n v="1868"/>
    <n v="541"/>
    <n v="2.4791243213754628"/>
    <n v="360605"/>
    <n v="1506142"/>
    <n v="317.67085869580291"/>
    <d v="2026-03-22T00:00:00"/>
    <d v="2026-04-18T00:00:00"/>
    <x v="1"/>
    <n v="27"/>
    <x v="9"/>
    <x v="1"/>
    <n v="0.52882852760106414"/>
    <n v="2.2087626522597352"/>
  </r>
  <r>
    <s v="C0512"/>
    <x v="8"/>
    <x v="3"/>
    <x v="3"/>
    <n v="425468"/>
    <n v="323659"/>
    <n v="942141"/>
    <n v="23818"/>
    <n v="3075"/>
    <n v="1491"/>
    <n v="8.7697236906744447"/>
    <n v="189783"/>
    <n v="607403"/>
    <n v="220.05132177276155"/>
    <d v="2025-07-24T00:00:00"/>
    <d v="2025-08-06T00:00:00"/>
    <x v="7"/>
    <n v="13"/>
    <x v="7"/>
    <x v="0"/>
    <n v="0.58636713331005785"/>
    <n v="1.8766757605998907"/>
  </r>
  <r>
    <s v="C0513"/>
    <x v="7"/>
    <x v="4"/>
    <x v="4"/>
    <n v="1073485"/>
    <n v="626287"/>
    <n v="1638739"/>
    <n v="44834"/>
    <n v="1647"/>
    <n v="1389"/>
    <n v="7.643460585961388"/>
    <n v="443993"/>
    <n v="744220"/>
    <n v="67.619759770987372"/>
    <d v="2025-10-03T00:00:00"/>
    <d v="2025-10-28T00:00:00"/>
    <x v="2"/>
    <n v="25"/>
    <x v="8"/>
    <x v="0"/>
    <n v="0.70892897345785555"/>
    <n v="1.1883050422569845"/>
  </r>
  <r>
    <s v="C0514"/>
    <x v="4"/>
    <x v="3"/>
    <x v="4"/>
    <n v="1594564"/>
    <n v="491556"/>
    <n v="676425"/>
    <n v="18981"/>
    <n v="2782"/>
    <n v="1841"/>
    <n v="4.8018943925005493"/>
    <n v="498571"/>
    <n v="1215440"/>
    <n v="143.78473677771069"/>
    <d v="2026-03-23T00:00:00"/>
    <d v="2026-04-12T00:00:00"/>
    <x v="5"/>
    <n v="20"/>
    <x v="9"/>
    <x v="1"/>
    <n v="1.0142710087965563"/>
    <n v="2.4726379090073154"/>
  </r>
  <r>
    <s v="C0515"/>
    <x v="12"/>
    <x v="2"/>
    <x v="5"/>
    <n v="1036955"/>
    <n v="861327"/>
    <n v="1980134"/>
    <n v="90798"/>
    <n v="9300"/>
    <n v="3917"/>
    <n v="12.076133686741505"/>
    <n v="274091"/>
    <n v="1244869"/>
    <n v="354.18091071943263"/>
    <d v="2025-11-16T00:00:00"/>
    <d v="2025-11-28T00:00:00"/>
    <x v="7"/>
    <n v="12"/>
    <x v="6"/>
    <x v="0"/>
    <n v="0.31821944511201899"/>
    <n v="1.445291973896093"/>
  </r>
  <r>
    <s v="C0516"/>
    <x v="4"/>
    <x v="0"/>
    <x v="4"/>
    <n v="1035488"/>
    <n v="729305"/>
    <n v="1000483"/>
    <n v="64997"/>
    <n v="6086"/>
    <n v="3609"/>
    <n v="10.241531320915117"/>
    <n v="188850"/>
    <n v="820924"/>
    <n v="334.69631983055336"/>
    <d v="2025-07-02T00:00:00"/>
    <d v="2025-08-01T00:00:00"/>
    <x v="3"/>
    <n v="30"/>
    <x v="7"/>
    <x v="0"/>
    <n v="0.25894516011819474"/>
    <n v="1.1256250814131261"/>
  </r>
  <r>
    <s v="C0517"/>
    <x v="9"/>
    <x v="4"/>
    <x v="5"/>
    <n v="1684850"/>
    <n v="513138"/>
    <n v="1282292"/>
    <n v="15920"/>
    <n v="2219"/>
    <n v="1049"/>
    <n v="3.7393449715281268"/>
    <n v="186734"/>
    <n v="341522"/>
    <n v="82.892242441119464"/>
    <d v="2025-07-04T00:00:00"/>
    <d v="2025-07-29T00:00:00"/>
    <x v="1"/>
    <n v="25"/>
    <x v="7"/>
    <x v="0"/>
    <n v="0.36390600579181431"/>
    <n v="0.6655558543705592"/>
  </r>
  <r>
    <s v="C0518"/>
    <x v="5"/>
    <x v="2"/>
    <x v="6"/>
    <n v="1149229"/>
    <n v="835302"/>
    <n v="2503103"/>
    <n v="76359"/>
    <n v="2789"/>
    <n v="6386"/>
    <n v="10.239889285551811"/>
    <n v="30889"/>
    <n v="85376"/>
    <n v="176.39612807148174"/>
    <d v="2025-02-08T00:00:00"/>
    <d v="2025-03-08T00:00:00"/>
    <x v="5"/>
    <n v="28"/>
    <x v="1"/>
    <x v="0"/>
    <n v="3.6979439771483845E-2"/>
    <n v="0.10220973971090695"/>
  </r>
  <r>
    <s v="C0519"/>
    <x v="4"/>
    <x v="1"/>
    <x v="6"/>
    <n v="1032015"/>
    <n v="613017"/>
    <n v="953984"/>
    <n v="78107"/>
    <n v="5002"/>
    <n v="7511"/>
    <n v="14.782624299162991"/>
    <n v="371102"/>
    <n v="1579110"/>
    <n v="325.51912951156288"/>
    <d v="2025-07-06T00:00:00"/>
    <d v="2025-07-15T00:00:00"/>
    <x v="4"/>
    <n v="9"/>
    <x v="7"/>
    <x v="0"/>
    <n v="0.60536983476804074"/>
    <n v="2.5759644512305533"/>
  </r>
  <r>
    <s v="C0520"/>
    <x v="10"/>
    <x v="2"/>
    <x v="2"/>
    <n v="731407"/>
    <n v="473565"/>
    <n v="696886"/>
    <n v="39489"/>
    <n v="3786"/>
    <n v="1319"/>
    <n v="9.4166587480071371"/>
    <n v="406689"/>
    <n v="764254"/>
    <n v="87.920991224252447"/>
    <d v="2025-10-29T00:00:00"/>
    <d v="2025-11-18T00:00:00"/>
    <x v="7"/>
    <n v="20"/>
    <x v="8"/>
    <x v="0"/>
    <n v="0.8587817934180102"/>
    <n v="1.6138312586445367"/>
  </r>
  <r>
    <s v="C0521"/>
    <x v="1"/>
    <x v="1"/>
    <x v="6"/>
    <n v="336606"/>
    <n v="179952"/>
    <n v="426380"/>
    <n v="14569"/>
    <n v="1718"/>
    <n v="672"/>
    <n v="9.4241797812750061"/>
    <n v="482103"/>
    <n v="560486"/>
    <n v="16.258558855680221"/>
    <d v="2025-01-27T00:00:00"/>
    <d v="2025-02-06T00:00:00"/>
    <x v="7"/>
    <n v="10"/>
    <x v="10"/>
    <x v="0"/>
    <n v="2.6790644171779143"/>
    <n v="3.1146416822263716"/>
  </r>
  <r>
    <s v="C0522"/>
    <x v="8"/>
    <x v="4"/>
    <x v="5"/>
    <n v="998899"/>
    <n v="426387"/>
    <n v="1026750"/>
    <n v="9322"/>
    <n v="779"/>
    <n v="908"/>
    <n v="2.581926747297643"/>
    <n v="438857"/>
    <n v="503478"/>
    <n v="14.724842032826183"/>
    <d v="2026-03-05T00:00:00"/>
    <d v="2026-04-02T00:00:00"/>
    <x v="2"/>
    <n v="28"/>
    <x v="9"/>
    <x v="1"/>
    <n v="1.029245732163504"/>
    <n v="1.1808005403541852"/>
  </r>
  <r>
    <s v="C0523"/>
    <x v="1"/>
    <x v="3"/>
    <x v="0"/>
    <n v="573971"/>
    <n v="198599"/>
    <n v="463080"/>
    <n v="24957"/>
    <n v="1248"/>
    <n v="1784"/>
    <n v="14.093223027306282"/>
    <n v="439277"/>
    <n v="1146566"/>
    <n v="161.01207210939793"/>
    <d v="2026-04-28T00:00:00"/>
    <d v="2026-05-11T00:00:00"/>
    <x v="7"/>
    <n v="13"/>
    <x v="2"/>
    <x v="1"/>
    <n v="2.2118792138933228"/>
    <n v="5.7732717687400239"/>
  </r>
  <r>
    <s v="C0524"/>
    <x v="4"/>
    <x v="2"/>
    <x v="2"/>
    <n v="422366"/>
    <n v="215866"/>
    <n v="526801"/>
    <n v="27569"/>
    <n v="3907"/>
    <n v="686"/>
    <n v="14.8990577487886"/>
    <n v="386538"/>
    <n v="1914770"/>
    <n v="395.36397456394974"/>
    <d v="2025-07-05T00:00:00"/>
    <d v="2025-07-25T00:00:00"/>
    <x v="1"/>
    <n v="20"/>
    <x v="7"/>
    <x v="0"/>
    <n v="1.790638636932171"/>
    <n v="8.8701787219849351"/>
  </r>
  <r>
    <s v="C0525"/>
    <x v="3"/>
    <x v="1"/>
    <x v="5"/>
    <n v="1747466"/>
    <n v="662966"/>
    <n v="1853097"/>
    <n v="71659"/>
    <n v="3318"/>
    <n v="5593"/>
    <n v="12.152961086993903"/>
    <n v="480991"/>
    <n v="1821262"/>
    <n v="278.6478333274427"/>
    <d v="2025-10-24T00:00:00"/>
    <d v="2025-11-23T00:00:00"/>
    <x v="7"/>
    <n v="30"/>
    <x v="8"/>
    <x v="0"/>
    <n v="0.72551382725509306"/>
    <n v="2.7471423873924152"/>
  </r>
  <r>
    <s v="C0526"/>
    <x v="3"/>
    <x v="1"/>
    <x v="1"/>
    <n v="301173"/>
    <n v="163780"/>
    <n v="196559"/>
    <n v="17959"/>
    <n v="1915"/>
    <n v="478"/>
    <n v="12.426425693002809"/>
    <n v="37006"/>
    <n v="139766"/>
    <n v="277.68469977841431"/>
    <d v="2025-06-29T00:00:00"/>
    <d v="2025-07-17T00:00:00"/>
    <x v="4"/>
    <n v="18"/>
    <x v="0"/>
    <x v="0"/>
    <n v="0.22594944437660275"/>
    <n v="0.85337648064476734"/>
  </r>
  <r>
    <s v="C0527"/>
    <x v="4"/>
    <x v="0"/>
    <x v="1"/>
    <n v="1189385"/>
    <n v="441681"/>
    <n v="949830"/>
    <n v="44808"/>
    <n v="6019"/>
    <n v="2203"/>
    <n v="12.006402811078583"/>
    <n v="209986"/>
    <n v="1011241"/>
    <n v="381.57543836255752"/>
    <d v="2026-01-28T00:00:00"/>
    <d v="2026-02-27T00:00:00"/>
    <x v="6"/>
    <n v="30"/>
    <x v="10"/>
    <x v="1"/>
    <n v="0.47542457112712566"/>
    <n v="2.2895279624887643"/>
  </r>
  <r>
    <s v="C0528"/>
    <x v="11"/>
    <x v="0"/>
    <x v="6"/>
    <n v="881857"/>
    <n v="659501"/>
    <n v="1091494"/>
    <n v="22806"/>
    <n v="1105"/>
    <n v="797"/>
    <n v="3.7464689211995132"/>
    <n v="93531"/>
    <n v="371763"/>
    <n v="297.47570324277513"/>
    <d v="2026-05-16T00:00:00"/>
    <d v="2026-05-30T00:00:00"/>
    <x v="2"/>
    <n v="14"/>
    <x v="4"/>
    <x v="1"/>
    <n v="0.14182086153015688"/>
    <n v="0.56370346671195348"/>
  </r>
  <r>
    <s v="C0529"/>
    <x v="5"/>
    <x v="4"/>
    <x v="6"/>
    <n v="927735"/>
    <n v="599842"/>
    <n v="1426204"/>
    <n v="83098"/>
    <n v="9774"/>
    <n v="3128"/>
    <n v="16.004214443136693"/>
    <n v="414175"/>
    <n v="1810106"/>
    <n v="337.03893281825316"/>
    <d v="2026-03-11T00:00:00"/>
    <d v="2026-03-20T00:00:00"/>
    <x v="5"/>
    <n v="9"/>
    <x v="9"/>
    <x v="1"/>
    <n v="0.69047349135272285"/>
    <n v="3.0176379780008737"/>
  </r>
  <r>
    <s v="C0530"/>
    <x v="1"/>
    <x v="1"/>
    <x v="4"/>
    <n v="1151264"/>
    <n v="466187"/>
    <n v="597072"/>
    <n v="69657"/>
    <n v="3515"/>
    <n v="4452"/>
    <n v="16.650828959194484"/>
    <n v="317023"/>
    <n v="650714"/>
    <n v="105.25766269324308"/>
    <d v="2026-01-25T00:00:00"/>
    <d v="2026-02-10T00:00:00"/>
    <x v="2"/>
    <n v="16"/>
    <x v="10"/>
    <x v="1"/>
    <n v="0.68003397778144825"/>
    <n v="1.3958218483140885"/>
  </r>
  <r>
    <s v="C0531"/>
    <x v="0"/>
    <x v="4"/>
    <x v="5"/>
    <n v="1730639"/>
    <n v="1093560"/>
    <n v="2315363"/>
    <n v="150885"/>
    <n v="14163"/>
    <n v="12241"/>
    <n v="16.212096272723947"/>
    <n v="217615"/>
    <n v="1061389"/>
    <n v="387.73705856673485"/>
    <d v="2025-06-21T00:00:00"/>
    <d v="2025-07-02T00:00:00"/>
    <x v="2"/>
    <n v="11"/>
    <x v="0"/>
    <x v="0"/>
    <n v="0.1989968543106917"/>
    <n v="0.97058140385529834"/>
  </r>
  <r>
    <s v="C0532"/>
    <x v="7"/>
    <x v="3"/>
    <x v="0"/>
    <n v="410586"/>
    <n v="127649"/>
    <n v="321552"/>
    <n v="2577"/>
    <n v="81"/>
    <n v="75"/>
    <n v="2.1410273484320284"/>
    <n v="363157"/>
    <n v="611093"/>
    <n v="68.272400091420522"/>
    <d v="2026-01-06T00:00:00"/>
    <d v="2026-01-22T00:00:00"/>
    <x v="7"/>
    <n v="16"/>
    <x v="10"/>
    <x v="1"/>
    <n v="2.8449654913081965"/>
    <n v="4.787291713996976"/>
  </r>
  <r>
    <s v="C0533"/>
    <x v="12"/>
    <x v="4"/>
    <x v="1"/>
    <n v="193377"/>
    <n v="88367"/>
    <n v="104265"/>
    <n v="2893"/>
    <n v="109"/>
    <n v="91"/>
    <n v="3.5001754048457006"/>
    <n v="34565"/>
    <n v="65506"/>
    <n v="89.515405757268923"/>
    <d v="2025-11-16T00:00:00"/>
    <d v="2025-12-04T00:00:00"/>
    <x v="5"/>
    <n v="18"/>
    <x v="6"/>
    <x v="0"/>
    <n v="0.39115280591170914"/>
    <n v="0.74129482725451812"/>
  </r>
  <r>
    <s v="C0534"/>
    <x v="12"/>
    <x v="2"/>
    <x v="7"/>
    <n v="1608882"/>
    <n v="971774"/>
    <n v="2914808"/>
    <n v="103261"/>
    <n v="4386"/>
    <n v="8446"/>
    <n v="11.946501964448524"/>
    <n v="389928"/>
    <n v="1474442"/>
    <n v="278.13186024086497"/>
    <d v="2025-01-18T00:00:00"/>
    <d v="2025-02-17T00:00:00"/>
    <x v="3"/>
    <n v="30"/>
    <x v="10"/>
    <x v="0"/>
    <n v="0.40125378946133566"/>
    <n v="1.5172684183771123"/>
  </r>
  <r>
    <s v="C0535"/>
    <x v="13"/>
    <x v="3"/>
    <x v="4"/>
    <n v="1539155"/>
    <n v="1283313"/>
    <n v="2161595"/>
    <n v="156883"/>
    <n v="13454"/>
    <n v="6600"/>
    <n v="13.787517152869174"/>
    <n v="34297"/>
    <n v="139170"/>
    <n v="305.77893110184561"/>
    <d v="2026-01-01T00:00:00"/>
    <d v="2026-01-16T00:00:00"/>
    <x v="1"/>
    <n v="15"/>
    <x v="10"/>
    <x v="1"/>
    <n v="2.6725358505680221E-2"/>
    <n v="0.10844587407748538"/>
  </r>
  <r>
    <s v="C0536"/>
    <x v="9"/>
    <x v="1"/>
    <x v="5"/>
    <n v="1232596"/>
    <n v="884954"/>
    <n v="1588827"/>
    <n v="54203"/>
    <n v="5476"/>
    <n v="3677"/>
    <n v="7.1592421752995072"/>
    <n v="334797"/>
    <n v="850362"/>
    <n v="153.99331535228811"/>
    <d v="2026-03-22T00:00:00"/>
    <d v="2026-04-15T00:00:00"/>
    <x v="6"/>
    <n v="24"/>
    <x v="9"/>
    <x v="1"/>
    <n v="0.378321359076291"/>
    <n v="0.96091096260370601"/>
  </r>
  <r>
    <s v="C0537"/>
    <x v="7"/>
    <x v="0"/>
    <x v="5"/>
    <n v="337944"/>
    <n v="282087"/>
    <n v="749822"/>
    <n v="37389"/>
    <n v="1336"/>
    <n v="2637"/>
    <n v="14.662852240620802"/>
    <n v="479602"/>
    <n v="730825"/>
    <n v="52.381558041876389"/>
    <d v="2025-12-14T00:00:00"/>
    <d v="2026-01-06T00:00:00"/>
    <x v="7"/>
    <n v="23"/>
    <x v="5"/>
    <x v="0"/>
    <n v="1.7001917848039789"/>
    <n v="2.5907787313842894"/>
  </r>
  <r>
    <s v="C0538"/>
    <x v="6"/>
    <x v="1"/>
    <x v="4"/>
    <n v="1767355"/>
    <n v="1354758"/>
    <n v="1733077"/>
    <n v="88088"/>
    <n v="6428"/>
    <n v="1919"/>
    <n v="7.1182454726231557"/>
    <n v="360889"/>
    <n v="1579483"/>
    <n v="337.66448963531724"/>
    <d v="2025-04-27T00:00:00"/>
    <d v="2025-05-06T00:00:00"/>
    <x v="6"/>
    <n v="9"/>
    <x v="2"/>
    <x v="0"/>
    <n v="0.26638632139466972"/>
    <n v="1.1658783339902772"/>
  </r>
  <r>
    <s v="C0539"/>
    <x v="12"/>
    <x v="3"/>
    <x v="3"/>
    <n v="530093"/>
    <n v="383807"/>
    <n v="1121486"/>
    <n v="38239"/>
    <n v="4499"/>
    <n v="1534"/>
    <n v="11.534964187729772"/>
    <n v="493459"/>
    <n v="2391712"/>
    <n v="384.6830233109539"/>
    <d v="2025-05-14T00:00:00"/>
    <d v="2025-05-27T00:00:00"/>
    <x v="1"/>
    <n v="13"/>
    <x v="4"/>
    <x v="0"/>
    <n v="1.2856956751700725"/>
    <n v="6.2315486689924882"/>
  </r>
  <r>
    <s v="C0540"/>
    <x v="9"/>
    <x v="4"/>
    <x v="4"/>
    <n v="488371"/>
    <n v="305810"/>
    <n v="516942"/>
    <n v="21694"/>
    <n v="971"/>
    <n v="1859"/>
    <n v="8.0193584251659527"/>
    <n v="127620"/>
    <n v="373426"/>
    <n v="192.60774173327064"/>
    <d v="2025-08-09T00:00:00"/>
    <d v="2025-08-30T00:00:00"/>
    <x v="5"/>
    <n v="21"/>
    <x v="3"/>
    <x v="0"/>
    <n v="0.41731794251332527"/>
    <n v="1.2211046074359897"/>
  </r>
  <r>
    <s v="C0541"/>
    <x v="14"/>
    <x v="0"/>
    <x v="4"/>
    <n v="1458827"/>
    <n v="725376"/>
    <n v="1030390"/>
    <n v="66425"/>
    <n v="5321"/>
    <n v="4103"/>
    <n v="10.456508073054527"/>
    <n v="122988"/>
    <n v="407607"/>
    <n v="231.42013855010245"/>
    <d v="2025-05-13T00:00:00"/>
    <d v="2025-06-11T00:00:00"/>
    <x v="6"/>
    <n v="29"/>
    <x v="4"/>
    <x v="0"/>
    <n v="0.16955068819481206"/>
    <n v="0.56192512572789832"/>
  </r>
  <r>
    <s v="C0542"/>
    <x v="4"/>
    <x v="0"/>
    <x v="6"/>
    <n v="1636494"/>
    <n v="631693"/>
    <n v="1044766"/>
    <n v="37589"/>
    <n v="2988"/>
    <n v="997"/>
    <n v="6.581361515799605"/>
    <n v="143538"/>
    <n v="319114"/>
    <n v="122.32022182279256"/>
    <d v="2026-01-27T00:00:00"/>
    <d v="2026-02-15T00:00:00"/>
    <x v="4"/>
    <n v="19"/>
    <x v="10"/>
    <x v="1"/>
    <n v="0.22722746650667333"/>
    <n v="0.50517260757994786"/>
  </r>
  <r>
    <s v="C0543"/>
    <x v="9"/>
    <x v="2"/>
    <x v="7"/>
    <n v="1412937"/>
    <n v="510498"/>
    <n v="1389163"/>
    <n v="74708"/>
    <n v="4235"/>
    <n v="6011"/>
    <n v="16.641397223887264"/>
    <n v="112704"/>
    <n v="503541"/>
    <n v="346.78183560476998"/>
    <d v="2025-04-18T00:00:00"/>
    <d v="2025-05-05T00:00:00"/>
    <x v="6"/>
    <n v="17"/>
    <x v="2"/>
    <x v="0"/>
    <n v="0.22077265728758977"/>
    <n v="0.98637213074292163"/>
  </r>
  <r>
    <s v="C0544"/>
    <x v="2"/>
    <x v="1"/>
    <x v="2"/>
    <n v="914432"/>
    <n v="659017"/>
    <n v="1957191"/>
    <n v="81835"/>
    <n v="3888"/>
    <n v="2451"/>
    <n v="13.379624501340635"/>
    <n v="32905"/>
    <n v="60164"/>
    <n v="82.841513447804289"/>
    <d v="2025-03-07T00:00:00"/>
    <d v="2025-04-04T00:00:00"/>
    <x v="3"/>
    <n v="28"/>
    <x v="9"/>
    <x v="0"/>
    <n v="4.9930426680950567E-2"/>
    <n v="9.1293547814396289E-2"/>
  </r>
  <r>
    <s v="C0545"/>
    <x v="11"/>
    <x v="3"/>
    <x v="0"/>
    <n v="1795784"/>
    <n v="1239335"/>
    <n v="2960997"/>
    <n v="143445"/>
    <n v="13603"/>
    <n v="6605"/>
    <n v="13.204904243001286"/>
    <n v="472862"/>
    <n v="1999765"/>
    <n v="322.90668313376841"/>
    <d v="2025-07-09T00:00:00"/>
    <d v="2025-07-23T00:00:00"/>
    <x v="0"/>
    <n v="14"/>
    <x v="7"/>
    <x v="0"/>
    <n v="0.38154494144036921"/>
    <n v="1.6135790565101447"/>
  </r>
  <r>
    <s v="C0546"/>
    <x v="4"/>
    <x v="2"/>
    <x v="2"/>
    <n v="243147"/>
    <n v="187222"/>
    <n v="259600"/>
    <n v="26319"/>
    <n v="3514"/>
    <n v="2403"/>
    <n v="17.218061979895523"/>
    <n v="278541"/>
    <n v="452498"/>
    <n v="62.452924345069484"/>
    <d v="2025-11-25T00:00:00"/>
    <d v="2025-12-24T00:00:00"/>
    <x v="7"/>
    <n v="29"/>
    <x v="6"/>
    <x v="0"/>
    <n v="1.4877578489707406"/>
    <n v="2.4169061328262704"/>
  </r>
  <r>
    <s v="C0547"/>
    <x v="0"/>
    <x v="3"/>
    <x v="2"/>
    <n v="944674"/>
    <n v="582490"/>
    <n v="1596373"/>
    <n v="73676"/>
    <n v="7556"/>
    <n v="3714"/>
    <n v="14.583254648148467"/>
    <n v="357581"/>
    <n v="1311480"/>
    <n v="266.76445336860741"/>
    <d v="2026-03-19T00:00:00"/>
    <d v="2026-04-05T00:00:00"/>
    <x v="0"/>
    <n v="17"/>
    <x v="9"/>
    <x v="1"/>
    <n v="0.6138835001459253"/>
    <n v="2.2515064636302768"/>
  </r>
  <r>
    <s v="C0548"/>
    <x v="7"/>
    <x v="3"/>
    <x v="3"/>
    <n v="1283900"/>
    <n v="864397"/>
    <n v="2159018"/>
    <n v="82925"/>
    <n v="10774"/>
    <n v="2292"/>
    <n v="11.104966815016711"/>
    <n v="30902"/>
    <n v="92123"/>
    <n v="198.11339071904729"/>
    <d v="2026-03-17T00:00:00"/>
    <d v="2026-04-10T00:00:00"/>
    <x v="0"/>
    <n v="24"/>
    <x v="9"/>
    <x v="1"/>
    <n v="3.5749777012183057E-2"/>
    <n v="0.10657487242551744"/>
  </r>
  <r>
    <s v="C0549"/>
    <x v="14"/>
    <x v="1"/>
    <x v="4"/>
    <n v="1565575"/>
    <n v="663608"/>
    <n v="1614855"/>
    <n v="53524"/>
    <n v="6203"/>
    <n v="4064"/>
    <n v="9.6127533121963573"/>
    <n v="18722"/>
    <n v="24811"/>
    <n v="32.523234697147743"/>
    <d v="2025-10-26T00:00:00"/>
    <d v="2025-11-09T00:00:00"/>
    <x v="3"/>
    <n v="14"/>
    <x v="8"/>
    <x v="0"/>
    <n v="2.8212438668611589E-2"/>
    <n v="3.7388036310593002E-2"/>
  </r>
  <r>
    <s v="C0550"/>
    <x v="11"/>
    <x v="3"/>
    <x v="4"/>
    <n v="1844106"/>
    <n v="1530399"/>
    <n v="3523829"/>
    <n v="140732"/>
    <n v="13019"/>
    <n v="11295"/>
    <n v="10.784507830964344"/>
    <n v="444832"/>
    <n v="2029470"/>
    <n v="356.23291489820878"/>
    <d v="2025-05-03T00:00:00"/>
    <d v="2025-05-13T00:00:00"/>
    <x v="7"/>
    <n v="10"/>
    <x v="4"/>
    <x v="0"/>
    <n v="0.29066406865137784"/>
    <n v="1.3261051529699117"/>
  </r>
  <r>
    <s v="C0551"/>
    <x v="1"/>
    <x v="3"/>
    <x v="6"/>
    <n v="1603050"/>
    <n v="615821"/>
    <n v="1716999"/>
    <n v="42602"/>
    <n v="5810"/>
    <n v="1297"/>
    <n v="8.0719884511895508"/>
    <n v="127748"/>
    <n v="430088"/>
    <n v="236.66906722610136"/>
    <d v="2025-01-30T00:00:00"/>
    <d v="2025-02-28T00:00:00"/>
    <x v="1"/>
    <n v="29"/>
    <x v="10"/>
    <x v="0"/>
    <n v="0.20744339670131418"/>
    <n v="0.69839774869645566"/>
  </r>
  <r>
    <s v="C0552"/>
    <x v="10"/>
    <x v="1"/>
    <x v="7"/>
    <n v="1924471"/>
    <n v="1156182"/>
    <n v="1736819"/>
    <n v="35330"/>
    <n v="4579"/>
    <n v="1692"/>
    <n v="3.5981359336159877"/>
    <n v="223924"/>
    <n v="751114"/>
    <n v="235.43255747485756"/>
    <d v="2025-10-07T00:00:00"/>
    <d v="2025-11-06T00:00:00"/>
    <x v="0"/>
    <n v="30"/>
    <x v="8"/>
    <x v="0"/>
    <n v="0.19367539020673216"/>
    <n v="0.64965031456985145"/>
  </r>
  <r>
    <s v="C0553"/>
    <x v="8"/>
    <x v="0"/>
    <x v="3"/>
    <n v="73966"/>
    <n v="37806"/>
    <n v="54545"/>
    <n v="2486"/>
    <n v="298"/>
    <n v="76"/>
    <n v="7.5649367825212934"/>
    <n v="334065"/>
    <n v="760381"/>
    <n v="127.61468576474637"/>
    <d v="2026-01-31T00:00:00"/>
    <d v="2026-02-28T00:00:00"/>
    <x v="1"/>
    <n v="28"/>
    <x v="10"/>
    <x v="1"/>
    <n v="8.8362958260593558"/>
    <n v="20.112706977728404"/>
  </r>
  <r>
    <s v="C0554"/>
    <x v="5"/>
    <x v="1"/>
    <x v="3"/>
    <n v="1541654"/>
    <n v="979097"/>
    <n v="2862794"/>
    <n v="51795"/>
    <n v="7498"/>
    <n v="3056"/>
    <n v="6.3680105239828126"/>
    <n v="436250"/>
    <n v="1015452"/>
    <n v="132.76836676217764"/>
    <d v="2026-04-01T00:00:00"/>
    <d v="2026-04-17T00:00:00"/>
    <x v="1"/>
    <n v="16"/>
    <x v="2"/>
    <x v="1"/>
    <n v="0.44556361627091084"/>
    <n v="1.0371311524802955"/>
  </r>
  <r>
    <s v="C0555"/>
    <x v="2"/>
    <x v="3"/>
    <x v="4"/>
    <n v="1832214"/>
    <n v="1273689"/>
    <n v="3380102"/>
    <n v="41618"/>
    <n v="5335"/>
    <n v="3144"/>
    <n v="3.9332207469798353"/>
    <n v="73723"/>
    <n v="145632"/>
    <n v="97.53943816719341"/>
    <d v="2025-12-18T00:00:00"/>
    <d v="2025-12-28T00:00:00"/>
    <x v="3"/>
    <n v="10"/>
    <x v="5"/>
    <x v="0"/>
    <n v="5.788147656138979E-2"/>
    <n v="0.11433874360224514"/>
  </r>
  <r>
    <s v="C0556"/>
    <x v="14"/>
    <x v="0"/>
    <x v="0"/>
    <n v="223478"/>
    <n v="172611"/>
    <n v="356852"/>
    <n v="11150"/>
    <n v="1213"/>
    <n v="543"/>
    <n v="7.4769278898795557"/>
    <n v="12496"/>
    <n v="25855"/>
    <n v="106.90620998719591"/>
    <d v="2025-08-23T00:00:00"/>
    <d v="2025-09-22T00:00:00"/>
    <x v="6"/>
    <n v="30"/>
    <x v="3"/>
    <x v="0"/>
    <n v="7.2393995747663822E-2"/>
    <n v="0.14978767285978298"/>
  </r>
  <r>
    <s v="C0557"/>
    <x v="10"/>
    <x v="0"/>
    <x v="5"/>
    <n v="595104"/>
    <n v="483433"/>
    <n v="1259087"/>
    <n v="61437"/>
    <n v="2634"/>
    <n v="5574"/>
    <n v="14.406339658235993"/>
    <n v="202876"/>
    <n v="618010"/>
    <n v="204.62449969439461"/>
    <d v="2025-03-04T00:00:00"/>
    <d v="2025-03-22T00:00:00"/>
    <x v="1"/>
    <n v="18"/>
    <x v="9"/>
    <x v="0"/>
    <n v="0.419656912126396"/>
    <n v="1.2783777689979789"/>
  </r>
  <r>
    <s v="C0558"/>
    <x v="14"/>
    <x v="4"/>
    <x v="2"/>
    <n v="1365114"/>
    <n v="756039"/>
    <n v="892698"/>
    <n v="71870"/>
    <n v="4175"/>
    <n v="5390"/>
    <n v="10.771269736085042"/>
    <n v="51004"/>
    <n v="217055"/>
    <n v="325.56466159516901"/>
    <d v="2025-01-10T00:00:00"/>
    <d v="2025-02-06T00:00:00"/>
    <x v="0"/>
    <n v="27"/>
    <x v="10"/>
    <x v="0"/>
    <n v="6.7462128276451344E-2"/>
    <n v="0.287094977904579"/>
  </r>
  <r>
    <s v="C0559"/>
    <x v="2"/>
    <x v="0"/>
    <x v="3"/>
    <n v="415762"/>
    <n v="324310"/>
    <n v="794400"/>
    <n v="25505"/>
    <n v="952"/>
    <n v="1192"/>
    <n v="8.5254848755820056"/>
    <n v="89159"/>
    <n v="104415"/>
    <n v="17.111003936787089"/>
    <d v="2025-05-03T00:00:00"/>
    <d v="2025-06-02T00:00:00"/>
    <x v="7"/>
    <n v="30"/>
    <x v="4"/>
    <x v="0"/>
    <n v="0.27491905892510254"/>
    <n v="0.32196046992075483"/>
  </r>
  <r>
    <s v="C0560"/>
    <x v="7"/>
    <x v="2"/>
    <x v="6"/>
    <n v="1078710"/>
    <n v="805247"/>
    <n v="1046321"/>
    <n v="85802"/>
    <n v="6911"/>
    <n v="7891"/>
    <n v="12.493557877272439"/>
    <n v="266465"/>
    <n v="1024738"/>
    <n v="284.56757923179407"/>
    <d v="2026-05-07T00:00:00"/>
    <d v="2026-05-14T00:00:00"/>
    <x v="7"/>
    <n v="7"/>
    <x v="4"/>
    <x v="1"/>
    <n v="0.33091088821193992"/>
    <n v="1.2725759922110855"/>
  </r>
  <r>
    <s v="C0561"/>
    <x v="10"/>
    <x v="1"/>
    <x v="7"/>
    <n v="571028"/>
    <n v="286348"/>
    <n v="374726"/>
    <n v="32915"/>
    <n v="4569"/>
    <n v="1305"/>
    <n v="13.546104739687372"/>
    <n v="444410"/>
    <n v="1629103"/>
    <n v="266.57658468531309"/>
    <d v="2025-09-08T00:00:00"/>
    <d v="2025-09-15T00:00:00"/>
    <x v="0"/>
    <n v="7"/>
    <x v="11"/>
    <x v="0"/>
    <n v="1.5519926802352382"/>
    <n v="5.6892417617723892"/>
  </r>
  <r>
    <s v="C0562"/>
    <x v="14"/>
    <x v="1"/>
    <x v="2"/>
    <n v="1503403"/>
    <n v="1330619"/>
    <n v="3796078"/>
    <n v="91495"/>
    <n v="7376"/>
    <n v="7569"/>
    <n v="7.9992845435094493"/>
    <n v="12248"/>
    <n v="41132"/>
    <n v="235.82625734813848"/>
    <d v="2025-02-25T00:00:00"/>
    <d v="2025-03-26T00:00:00"/>
    <x v="3"/>
    <n v="29"/>
    <x v="1"/>
    <x v="0"/>
    <n v="9.2047385464960295E-3"/>
    <n v="3.0911928959379057E-2"/>
  </r>
  <r>
    <s v="C0563"/>
    <x v="5"/>
    <x v="1"/>
    <x v="7"/>
    <n v="141713"/>
    <n v="91126"/>
    <n v="233555"/>
    <n v="6919"/>
    <n v="510"/>
    <n v="550"/>
    <n v="8.7560081645194554"/>
    <n v="470550"/>
    <n v="1480858"/>
    <n v="214.70789501647008"/>
    <d v="2025-10-26T00:00:00"/>
    <d v="2025-11-10T00:00:00"/>
    <x v="2"/>
    <n v="15"/>
    <x v="8"/>
    <x v="0"/>
    <n v="5.1637293417904875"/>
    <n v="16.25066391589667"/>
  </r>
  <r>
    <s v="C0564"/>
    <x v="11"/>
    <x v="4"/>
    <x v="1"/>
    <n v="483075"/>
    <n v="142253"/>
    <n v="272229"/>
    <n v="9149"/>
    <n v="535"/>
    <n v="781"/>
    <n v="7.3566111083773285"/>
    <n v="141668"/>
    <n v="357529"/>
    <n v="152.37103650789169"/>
    <d v="2025-05-19T00:00:00"/>
    <d v="2025-05-28T00:00:00"/>
    <x v="0"/>
    <n v="9"/>
    <x v="4"/>
    <x v="0"/>
    <n v="0.9958876086971804"/>
    <n v="2.5133318805227307"/>
  </r>
  <r>
    <s v="C0565"/>
    <x v="3"/>
    <x v="1"/>
    <x v="7"/>
    <n v="1348097"/>
    <n v="658205"/>
    <n v="1038274"/>
    <n v="23937"/>
    <n v="1087"/>
    <n v="542"/>
    <n v="3.8842002111804073"/>
    <n v="282984"/>
    <n v="1270131"/>
    <n v="348.83491646170808"/>
    <d v="2025-09-08T00:00:00"/>
    <d v="2025-09-16T00:00:00"/>
    <x v="5"/>
    <n v="8"/>
    <x v="11"/>
    <x v="0"/>
    <n v="0.42993292363321456"/>
    <n v="1.9296890786305179"/>
  </r>
  <r>
    <s v="C0566"/>
    <x v="6"/>
    <x v="1"/>
    <x v="0"/>
    <n v="1413650"/>
    <n v="1138346"/>
    <n v="2373308"/>
    <n v="73632"/>
    <n v="8459"/>
    <n v="5857"/>
    <n v="7.7259462413009752"/>
    <n v="86551"/>
    <n v="101439"/>
    <n v="17.201418816651454"/>
    <d v="2026-04-02T00:00:00"/>
    <d v="2026-04-24T00:00:00"/>
    <x v="7"/>
    <n v="22"/>
    <x v="2"/>
    <x v="1"/>
    <n v="7.6032243272256411E-2"/>
    <n v="8.911086787321254E-2"/>
  </r>
  <r>
    <s v="C0567"/>
    <x v="4"/>
    <x v="0"/>
    <x v="6"/>
    <n v="863437"/>
    <n v="367476"/>
    <n v="752206"/>
    <n v="20062"/>
    <n v="847"/>
    <n v="1298"/>
    <n v="6.0431157408919223"/>
    <n v="449288"/>
    <n v="633733"/>
    <n v="41.052732323142394"/>
    <d v="2026-03-20T00:00:00"/>
    <d v="2026-04-19T00:00:00"/>
    <x v="1"/>
    <n v="30"/>
    <x v="9"/>
    <x v="1"/>
    <n v="1.2226322263222633"/>
    <n v="1.7245561614908185"/>
  </r>
  <r>
    <s v="C0568"/>
    <x v="12"/>
    <x v="3"/>
    <x v="7"/>
    <n v="311871"/>
    <n v="182266"/>
    <n v="358432"/>
    <n v="14130"/>
    <n v="862"/>
    <n v="945"/>
    <n v="8.7438139861521069"/>
    <n v="300000"/>
    <n v="493774"/>
    <n v="64.591333333333338"/>
    <d v="2025-06-10T00:00:00"/>
    <d v="2025-06-30T00:00:00"/>
    <x v="3"/>
    <n v="20"/>
    <x v="0"/>
    <x v="0"/>
    <n v="1.6459460349160018"/>
    <n v="2.7090845248153799"/>
  </r>
  <r>
    <s v="C0569"/>
    <x v="13"/>
    <x v="2"/>
    <x v="1"/>
    <n v="1821305"/>
    <n v="1063614"/>
    <n v="1379480"/>
    <n v="37643"/>
    <n v="3550"/>
    <n v="2927"/>
    <n v="4.1481214049457797"/>
    <n v="317287"/>
    <n v="920109"/>
    <n v="189.99265649081116"/>
    <d v="2025-04-04T00:00:00"/>
    <d v="2025-04-20T00:00:00"/>
    <x v="1"/>
    <n v="16"/>
    <x v="2"/>
    <x v="0"/>
    <n v="0.29831028925907332"/>
    <n v="0.86507793240780961"/>
  </r>
  <r>
    <s v="C0570"/>
    <x v="8"/>
    <x v="4"/>
    <x v="7"/>
    <n v="1437631"/>
    <n v="879546"/>
    <n v="1454737"/>
    <n v="118071"/>
    <n v="14145"/>
    <n v="5695"/>
    <n v="15.67979389366787"/>
    <n v="225660"/>
    <n v="1075097"/>
    <n v="376.42338030665604"/>
    <d v="2025-06-27T00:00:00"/>
    <d v="2025-07-04T00:00:00"/>
    <x v="7"/>
    <n v="7"/>
    <x v="0"/>
    <x v="0"/>
    <n v="0.25656418197570108"/>
    <n v="1.2223317484247556"/>
  </r>
  <r>
    <s v="C0571"/>
    <x v="1"/>
    <x v="4"/>
    <x v="2"/>
    <n v="1085129"/>
    <n v="451893"/>
    <n v="550970"/>
    <n v="53051"/>
    <n v="5950"/>
    <n v="4896"/>
    <n v="14.139851690555066"/>
    <n v="203278"/>
    <n v="572968"/>
    <n v="181.86424502405575"/>
    <d v="2025-07-27T00:00:00"/>
    <d v="2025-08-23T00:00:00"/>
    <x v="4"/>
    <n v="27"/>
    <x v="7"/>
    <x v="0"/>
    <n v="0.4498365763576776"/>
    <n v="1.2679284697926279"/>
  </r>
  <r>
    <s v="C0572"/>
    <x v="0"/>
    <x v="3"/>
    <x v="3"/>
    <n v="970329"/>
    <n v="336329"/>
    <n v="810250"/>
    <n v="29472"/>
    <n v="1327"/>
    <n v="1161"/>
    <n v="9.502600132608249"/>
    <n v="193757"/>
    <n v="389106"/>
    <n v="100.82164773401736"/>
    <d v="2025-11-25T00:00:00"/>
    <d v="2025-12-19T00:00:00"/>
    <x v="7"/>
    <n v="24"/>
    <x v="6"/>
    <x v="0"/>
    <n v="0.57609364639980498"/>
    <n v="1.1569207531910719"/>
  </r>
  <r>
    <s v="C0573"/>
    <x v="0"/>
    <x v="0"/>
    <x v="5"/>
    <n v="816374"/>
    <n v="707739"/>
    <n v="2109322"/>
    <n v="32014"/>
    <n v="2375"/>
    <n v="3187"/>
    <n v="5.309301875408873"/>
    <n v="387838"/>
    <n v="821604"/>
    <n v="111.842057766387"/>
    <d v="2025-11-22T00:00:00"/>
    <d v="2025-12-04T00:00:00"/>
    <x v="1"/>
    <n v="12"/>
    <x v="6"/>
    <x v="0"/>
    <n v="0.54799580071184428"/>
    <n v="1.1608855807013603"/>
  </r>
  <r>
    <s v="C0574"/>
    <x v="3"/>
    <x v="0"/>
    <x v="7"/>
    <n v="1802309"/>
    <n v="1050586"/>
    <n v="1768415"/>
    <n v="107267"/>
    <n v="9971"/>
    <n v="2919"/>
    <n v="11.4371407957083"/>
    <n v="148106"/>
    <n v="439068"/>
    <n v="196.45524151621137"/>
    <d v="2025-11-19T00:00:00"/>
    <d v="2025-12-13T00:00:00"/>
    <x v="4"/>
    <n v="24"/>
    <x v="6"/>
    <x v="0"/>
    <n v="0.14097465604910023"/>
    <n v="0.41792675706700833"/>
  </r>
  <r>
    <s v="C0575"/>
    <x v="1"/>
    <x v="4"/>
    <x v="1"/>
    <n v="1977364"/>
    <n v="521616"/>
    <n v="1014797"/>
    <n v="50720"/>
    <n v="6983"/>
    <n v="2739"/>
    <n v="11.587451305174689"/>
    <n v="282121"/>
    <n v="1266560"/>
    <n v="348.94212057946771"/>
    <d v="2025-02-04T00:00:00"/>
    <d v="2025-02-16T00:00:00"/>
    <x v="2"/>
    <n v="12"/>
    <x v="1"/>
    <x v="0"/>
    <n v="0.54085955952271403"/>
    <n v="2.4281463758780406"/>
  </r>
  <r>
    <s v="C0576"/>
    <x v="3"/>
    <x v="0"/>
    <x v="5"/>
    <n v="1269104"/>
    <n v="602827"/>
    <n v="948575"/>
    <n v="20722"/>
    <n v="2968"/>
    <n v="1855"/>
    <n v="4.2375341515890961"/>
    <n v="288287"/>
    <n v="574984"/>
    <n v="99.448466285333708"/>
    <d v="2025-08-31T00:00:00"/>
    <d v="2025-09-07T00:00:00"/>
    <x v="4"/>
    <n v="7"/>
    <x v="3"/>
    <x v="0"/>
    <n v="0.47822509608892766"/>
    <n v="0.95381261954092966"/>
  </r>
  <r>
    <s v="C0577"/>
    <x v="11"/>
    <x v="1"/>
    <x v="4"/>
    <n v="1908144"/>
    <n v="1049391"/>
    <n v="2831520"/>
    <n v="107745"/>
    <n v="9208"/>
    <n v="8109"/>
    <n v="11.917578862406861"/>
    <n v="382389"/>
    <n v="1211667"/>
    <n v="216.86764002102569"/>
    <d v="2026-01-21T00:00:00"/>
    <d v="2026-02-16T00:00:00"/>
    <x v="1"/>
    <n v="26"/>
    <x v="10"/>
    <x v="1"/>
    <n v="0.36439134698124914"/>
    <n v="1.1546382616203112"/>
  </r>
  <r>
    <s v="C0578"/>
    <x v="10"/>
    <x v="3"/>
    <x v="6"/>
    <n v="1257318"/>
    <n v="1050727"/>
    <n v="2108689"/>
    <n v="47019"/>
    <n v="4452"/>
    <n v="3352"/>
    <n v="5.2176255107178173"/>
    <n v="50888"/>
    <n v="149226"/>
    <n v="193.24398679452918"/>
    <d v="2026-03-31T00:00:00"/>
    <d v="2026-04-09T00:00:00"/>
    <x v="5"/>
    <n v="9"/>
    <x v="9"/>
    <x v="1"/>
    <n v="4.8431229044271253E-2"/>
    <n v="0.14202166690301096"/>
  </r>
  <r>
    <s v="C0579"/>
    <x v="8"/>
    <x v="0"/>
    <x v="1"/>
    <n v="1656087"/>
    <n v="781221"/>
    <n v="2001384"/>
    <n v="42867"/>
    <n v="4567"/>
    <n v="2904"/>
    <n v="6.4435031828381462"/>
    <n v="97764"/>
    <n v="225771"/>
    <n v="130.9346998895299"/>
    <d v="2026-01-22T00:00:00"/>
    <d v="2026-02-05T00:00:00"/>
    <x v="4"/>
    <n v="14"/>
    <x v="10"/>
    <x v="1"/>
    <n v="0.12514256529202364"/>
    <n v="0.28899760759119381"/>
  </r>
  <r>
    <s v="C0580"/>
    <x v="2"/>
    <x v="2"/>
    <x v="7"/>
    <n v="1306472"/>
    <n v="815064"/>
    <n v="2320719"/>
    <n v="41767"/>
    <n v="3972"/>
    <n v="2772"/>
    <n v="5.9518025578359488"/>
    <n v="360811"/>
    <n v="1801298"/>
    <n v="399.23588804110739"/>
    <d v="2026-04-09T00:00:00"/>
    <d v="2026-04-20T00:00:00"/>
    <x v="5"/>
    <n v="11"/>
    <x v="2"/>
    <x v="1"/>
    <n v="0.44267812098191062"/>
    <n v="2.2100080484477291"/>
  </r>
  <r>
    <s v="C0581"/>
    <x v="1"/>
    <x v="2"/>
    <x v="0"/>
    <n v="1466212"/>
    <n v="510535"/>
    <n v="1387018"/>
    <n v="22216"/>
    <n v="1863"/>
    <n v="1425"/>
    <n v="4.9955438902327955"/>
    <n v="87903"/>
    <n v="305385"/>
    <n v="247.41135114842496"/>
    <d v="2025-11-07T00:00:00"/>
    <d v="2025-11-29T00:00:00"/>
    <x v="6"/>
    <n v="22"/>
    <x v="6"/>
    <x v="0"/>
    <n v="0.17217820521609684"/>
    <n v="0.59816662912434992"/>
  </r>
  <r>
    <s v="C0582"/>
    <x v="13"/>
    <x v="4"/>
    <x v="1"/>
    <n v="1433269"/>
    <n v="869375"/>
    <n v="1534475"/>
    <n v="37585"/>
    <n v="1468"/>
    <n v="3216"/>
    <n v="4.8619985621854784"/>
    <n v="393752"/>
    <n v="1352360"/>
    <n v="243.45476340437637"/>
    <d v="2025-04-04T00:00:00"/>
    <d v="2025-04-12T00:00:00"/>
    <x v="3"/>
    <n v="8"/>
    <x v="2"/>
    <x v="0"/>
    <n v="0.45291387491013657"/>
    <n v="1.5555542774982027"/>
  </r>
  <r>
    <s v="C0583"/>
    <x v="6"/>
    <x v="4"/>
    <x v="3"/>
    <n v="494449"/>
    <n v="337239"/>
    <n v="756358"/>
    <n v="18223"/>
    <n v="2692"/>
    <n v="618"/>
    <n v="6.3850859479478936"/>
    <n v="289082"/>
    <n v="1229569"/>
    <n v="325.33571789319296"/>
    <d v="2026-02-16T00:00:00"/>
    <d v="2026-03-09T00:00:00"/>
    <x v="2"/>
    <n v="21"/>
    <x v="1"/>
    <x v="1"/>
    <n v="0.85720216226474399"/>
    <n v="3.6459869706647217"/>
  </r>
  <r>
    <s v="C0584"/>
    <x v="9"/>
    <x v="0"/>
    <x v="1"/>
    <n v="1634472"/>
    <n v="1147013"/>
    <n v="1706706"/>
    <n v="127784"/>
    <n v="9686"/>
    <n v="11401"/>
    <n v="12.979015930944113"/>
    <n v="270430"/>
    <n v="1132377"/>
    <n v="318.73201937654846"/>
    <d v="2025-06-14T00:00:00"/>
    <d v="2025-06-29T00:00:00"/>
    <x v="4"/>
    <n v="15"/>
    <x v="0"/>
    <x v="0"/>
    <n v="0.23576890584500787"/>
    <n v="0.98723990050679455"/>
  </r>
  <r>
    <s v="C0585"/>
    <x v="7"/>
    <x v="3"/>
    <x v="2"/>
    <n v="434066"/>
    <n v="115454"/>
    <n v="236468"/>
    <n v="6314"/>
    <n v="893"/>
    <n v="359"/>
    <n v="6.5532593067368818"/>
    <n v="319733"/>
    <n v="694875"/>
    <n v="117.32977202853631"/>
    <d v="2026-01-06T00:00:00"/>
    <d v="2026-01-27T00:00:00"/>
    <x v="4"/>
    <n v="21"/>
    <x v="10"/>
    <x v="1"/>
    <n v="2.7693540284442291"/>
    <n v="6.0186307966809292"/>
  </r>
  <r>
    <s v="C0586"/>
    <x v="14"/>
    <x v="2"/>
    <x v="3"/>
    <n v="1836150"/>
    <n v="1102857"/>
    <n v="1436617"/>
    <n v="130102"/>
    <n v="14467"/>
    <n v="4563"/>
    <n v="13.522333357815203"/>
    <n v="343461"/>
    <n v="943860"/>
    <n v="174.80849354075133"/>
    <d v="2025-10-16T00:00:00"/>
    <d v="2025-10-27T00:00:00"/>
    <x v="3"/>
    <n v="11"/>
    <x v="8"/>
    <x v="0"/>
    <n v="0.31142840821611506"/>
    <n v="0.85583171707664729"/>
  </r>
  <r>
    <s v="C0587"/>
    <x v="3"/>
    <x v="3"/>
    <x v="2"/>
    <n v="1654752"/>
    <n v="915190"/>
    <n v="1969394"/>
    <n v="134929"/>
    <n v="13512"/>
    <n v="4390"/>
    <n v="16.699373900501534"/>
    <n v="241499"/>
    <n v="690363"/>
    <n v="185.86577998252579"/>
    <d v="2025-08-10T00:00:00"/>
    <d v="2025-09-04T00:00:00"/>
    <x v="5"/>
    <n v="25"/>
    <x v="3"/>
    <x v="0"/>
    <n v="0.2638785388826364"/>
    <n v="0.75433844338334122"/>
  </r>
  <r>
    <s v="C0588"/>
    <x v="5"/>
    <x v="3"/>
    <x v="7"/>
    <n v="1195434"/>
    <n v="377914"/>
    <n v="964234"/>
    <n v="33487"/>
    <n v="1071"/>
    <n v="1151"/>
    <n v="9.448975163661574"/>
    <n v="202518"/>
    <n v="287640"/>
    <n v="42.031819393831661"/>
    <d v="2025-07-02T00:00:00"/>
    <d v="2025-07-15T00:00:00"/>
    <x v="5"/>
    <n v="13"/>
    <x v="7"/>
    <x v="0"/>
    <n v="0.53588382542059831"/>
    <n v="0.76112554708214042"/>
  </r>
  <r>
    <s v="C0589"/>
    <x v="12"/>
    <x v="0"/>
    <x v="5"/>
    <n v="1707041"/>
    <n v="1236008"/>
    <n v="2154125"/>
    <n v="75934"/>
    <n v="11316"/>
    <n v="6333"/>
    <n v="7.5713911236820479"/>
    <n v="432243"/>
    <n v="487868"/>
    <n v="12.86891864067203"/>
    <d v="2025-01-14T00:00:00"/>
    <d v="2025-02-11T00:00:00"/>
    <x v="4"/>
    <n v="28"/>
    <x v="10"/>
    <x v="0"/>
    <n v="0.34970890156050771"/>
    <n v="0.39471265558151725"/>
  </r>
  <r>
    <s v="C0590"/>
    <x v="3"/>
    <x v="3"/>
    <x v="4"/>
    <n v="1125193"/>
    <n v="564195"/>
    <n v="712087"/>
    <n v="80842"/>
    <n v="3515"/>
    <n v="3337"/>
    <n v="15.543207578939905"/>
    <n v="170420"/>
    <n v="411745"/>
    <n v="141.60603215585027"/>
    <d v="2026-04-18T00:00:00"/>
    <d v="2026-04-25T00:00:00"/>
    <x v="1"/>
    <n v="7"/>
    <x v="2"/>
    <x v="1"/>
    <n v="0.30205868538359965"/>
    <n v="0.72979200453743831"/>
  </r>
  <r>
    <s v="C0591"/>
    <x v="12"/>
    <x v="0"/>
    <x v="2"/>
    <n v="262584"/>
    <n v="152615"/>
    <n v="429352"/>
    <n v="6175"/>
    <n v="424"/>
    <n v="227"/>
    <n v="4.4726927235199687"/>
    <n v="387909"/>
    <n v="1383402"/>
    <n v="256.63054994857043"/>
    <d v="2025-05-14T00:00:00"/>
    <d v="2025-06-12T00:00:00"/>
    <x v="5"/>
    <n v="29"/>
    <x v="4"/>
    <x v="0"/>
    <n v="2.5417488451331782"/>
    <n v="9.0646528847098917"/>
  </r>
  <r>
    <s v="C0592"/>
    <x v="2"/>
    <x v="2"/>
    <x v="6"/>
    <n v="287799"/>
    <n v="226231"/>
    <n v="339849"/>
    <n v="19155"/>
    <n v="2402"/>
    <n v="1592"/>
    <n v="10.232461510579896"/>
    <n v="185108"/>
    <n v="312326"/>
    <n v="68.726365148994091"/>
    <d v="2025-10-04T00:00:00"/>
    <d v="2025-10-29T00:00:00"/>
    <x v="4"/>
    <n v="25"/>
    <x v="8"/>
    <x v="0"/>
    <n v="0.81822561894700552"/>
    <n v="1.3805623455671416"/>
  </r>
  <r>
    <s v="C0593"/>
    <x v="7"/>
    <x v="4"/>
    <x v="1"/>
    <n v="1829923"/>
    <n v="1326086"/>
    <n v="3951720"/>
    <n v="142714"/>
    <n v="17103"/>
    <n v="11823"/>
    <n v="12.943353598484563"/>
    <n v="459765"/>
    <n v="1339344"/>
    <n v="191.31056082998924"/>
    <d v="2025-12-17T00:00:00"/>
    <d v="2025-12-25T00:00:00"/>
    <x v="4"/>
    <n v="8"/>
    <x v="5"/>
    <x v="0"/>
    <n v="0.34670828287154831"/>
    <n v="1.0099978432771328"/>
  </r>
  <r>
    <s v="C0594"/>
    <x v="11"/>
    <x v="4"/>
    <x v="6"/>
    <n v="728024"/>
    <n v="253003"/>
    <n v="437312"/>
    <n v="36611"/>
    <n v="2991"/>
    <n v="947"/>
    <n v="16.027082682814036"/>
    <n v="285165"/>
    <n v="534152"/>
    <n v="87.31330983816386"/>
    <d v="2025-10-16T00:00:00"/>
    <d v="2025-11-14T00:00:00"/>
    <x v="5"/>
    <n v="29"/>
    <x v="8"/>
    <x v="0"/>
    <n v="1.1271210222803683"/>
    <n v="2.1112476927151063"/>
  </r>
  <r>
    <s v="C0595"/>
    <x v="12"/>
    <x v="0"/>
    <x v="4"/>
    <n v="1841155"/>
    <n v="887576"/>
    <n v="1219516"/>
    <n v="124575"/>
    <n v="16408"/>
    <n v="4753"/>
    <n v="16.419551677828149"/>
    <n v="189302"/>
    <n v="249236"/>
    <n v="31.660521283451835"/>
    <d v="2026-02-07T00:00:00"/>
    <d v="2026-02-18T00:00:00"/>
    <x v="3"/>
    <n v="11"/>
    <x v="1"/>
    <x v="1"/>
    <n v="0.21327976421174075"/>
    <n v="0.28080524935329482"/>
  </r>
  <r>
    <s v="C0596"/>
    <x v="9"/>
    <x v="0"/>
    <x v="6"/>
    <n v="1531544"/>
    <n v="561365"/>
    <n v="904473"/>
    <n v="20719"/>
    <n v="1111"/>
    <n v="1092"/>
    <n v="4.0832613362072809"/>
    <n v="230104"/>
    <n v="773737"/>
    <n v="236.25534540903246"/>
    <d v="2025-06-16T00:00:00"/>
    <d v="2025-07-01T00:00:00"/>
    <x v="0"/>
    <n v="15"/>
    <x v="0"/>
    <x v="0"/>
    <n v="0.40990086663757092"/>
    <n v="1.3783135749467814"/>
  </r>
  <r>
    <s v="C0597"/>
    <x v="7"/>
    <x v="3"/>
    <x v="4"/>
    <n v="1861718"/>
    <n v="1167892"/>
    <n v="1682575"/>
    <n v="55720"/>
    <n v="3978"/>
    <n v="3895"/>
    <n v="5.4451096505498793"/>
    <n v="112376"/>
    <n v="128560"/>
    <n v="14.401651598206023"/>
    <d v="2025-02-14T00:00:00"/>
    <d v="2025-02-25T00:00:00"/>
    <x v="2"/>
    <n v="11"/>
    <x v="1"/>
    <x v="0"/>
    <n v="9.6221225935274837E-2"/>
    <n v="0.11007867165799577"/>
  </r>
  <r>
    <s v="C0598"/>
    <x v="9"/>
    <x v="3"/>
    <x v="5"/>
    <n v="1850497"/>
    <n v="1357995"/>
    <n v="2473396"/>
    <n v="86302"/>
    <n v="2851"/>
    <n v="3936"/>
    <n v="6.8548853272655643"/>
    <n v="225747"/>
    <n v="1111531"/>
    <n v="392.37907923471852"/>
    <d v="2026-04-04T00:00:00"/>
    <d v="2026-04-28T00:00:00"/>
    <x v="0"/>
    <n v="24"/>
    <x v="2"/>
    <x v="1"/>
    <n v="0.16623551633106159"/>
    <n v="0.81850890467196125"/>
  </r>
  <r>
    <s v="C0599"/>
    <x v="14"/>
    <x v="4"/>
    <x v="2"/>
    <n v="1517458"/>
    <n v="663124"/>
    <n v="747052"/>
    <n v="76770"/>
    <n v="4808"/>
    <n v="1675"/>
    <n v="12.554665492426755"/>
    <n v="192728"/>
    <n v="484745"/>
    <n v="151.51768295213981"/>
    <d v="2026-01-13T00:00:00"/>
    <d v="2026-02-05T00:00:00"/>
    <x v="4"/>
    <n v="23"/>
    <x v="10"/>
    <x v="1"/>
    <n v="0.29063644205306999"/>
    <n v="0.73100204486642018"/>
  </r>
  <r>
    <s v="C0600"/>
    <x v="12"/>
    <x v="0"/>
    <x v="7"/>
    <n v="1471199"/>
    <n v="1201511"/>
    <n v="2715808"/>
    <n v="143679"/>
    <n v="8665"/>
    <n v="6736"/>
    <n v="13.239995305910639"/>
    <n v="47935"/>
    <n v="235370"/>
    <n v="391.01908834880567"/>
    <d v="2026-05-03T00:00:00"/>
    <d v="2026-05-23T00:00:00"/>
    <x v="6"/>
    <n v="20"/>
    <x v="4"/>
    <x v="1"/>
    <n v="3.9895598126026312E-2"/>
    <n v="0.19589500220971759"/>
  </r>
  <r>
    <s v="C0601"/>
    <x v="5"/>
    <x v="4"/>
    <x v="3"/>
    <n v="733417"/>
    <n v="538524"/>
    <n v="1206677"/>
    <n v="75663"/>
    <n v="4493"/>
    <n v="2180"/>
    <n v="15.289197881617161"/>
    <n v="450693"/>
    <n v="989775"/>
    <n v="119.61179783133973"/>
    <d v="2025-03-30T00:00:00"/>
    <d v="2025-04-13T00:00:00"/>
    <x v="7"/>
    <n v="14"/>
    <x v="9"/>
    <x v="0"/>
    <n v="0.83690420482652583"/>
    <n v="1.8379403703456114"/>
  </r>
  <r>
    <s v="C0602"/>
    <x v="8"/>
    <x v="4"/>
    <x v="4"/>
    <n v="1548708"/>
    <n v="751515"/>
    <n v="1633711"/>
    <n v="29929"/>
    <n v="3023"/>
    <n v="1461"/>
    <n v="4.5791501167641364"/>
    <n v="48235"/>
    <n v="197682"/>
    <n v="309.83103555509484"/>
    <d v="2025-07-04T00:00:00"/>
    <d v="2025-07-11T00:00:00"/>
    <x v="4"/>
    <n v="7"/>
    <x v="7"/>
    <x v="0"/>
    <n v="6.418368229509723E-2"/>
    <n v="0.26304464980738906"/>
  </r>
  <r>
    <s v="C0603"/>
    <x v="11"/>
    <x v="0"/>
    <x v="2"/>
    <n v="1824256"/>
    <n v="743902"/>
    <n v="1273520"/>
    <n v="55422"/>
    <n v="6034"/>
    <n v="4270"/>
    <n v="8.835303574933258"/>
    <n v="175523"/>
    <n v="519693"/>
    <n v="196.08256467813334"/>
    <d v="2026-03-20T00:00:00"/>
    <d v="2026-04-03T00:00:00"/>
    <x v="7"/>
    <n v="14"/>
    <x v="9"/>
    <x v="1"/>
    <n v="0.23594909006831544"/>
    <n v="0.69860411720898719"/>
  </r>
  <r>
    <s v="C0604"/>
    <x v="4"/>
    <x v="1"/>
    <x v="6"/>
    <n v="174031"/>
    <n v="113231"/>
    <n v="190235"/>
    <n v="2800"/>
    <n v="127"/>
    <n v="245"/>
    <n v="2.80135298637299"/>
    <n v="260276"/>
    <n v="891448"/>
    <n v="242.50103736034055"/>
    <d v="2025-08-25T00:00:00"/>
    <d v="2025-09-23T00:00:00"/>
    <x v="7"/>
    <n v="29"/>
    <x v="3"/>
    <x v="0"/>
    <n v="2.2986284674691562"/>
    <n v="7.8728263461419576"/>
  </r>
  <r>
    <s v="C0605"/>
    <x v="7"/>
    <x v="1"/>
    <x v="1"/>
    <n v="852234"/>
    <n v="384038"/>
    <n v="917494"/>
    <n v="31602"/>
    <n v="1667"/>
    <n v="2075"/>
    <n v="9.2032559277988124"/>
    <n v="346708"/>
    <n v="997965"/>
    <n v="187.84019982232886"/>
    <d v="2025-01-15T00:00:00"/>
    <d v="2025-01-26T00:00:00"/>
    <x v="0"/>
    <n v="11"/>
    <x v="10"/>
    <x v="0"/>
    <n v="0.90279607747150026"/>
    <n v="2.5986100333821134"/>
  </r>
  <r>
    <s v="C0606"/>
    <x v="7"/>
    <x v="0"/>
    <x v="1"/>
    <n v="1106257"/>
    <n v="673085"/>
    <n v="1373417"/>
    <n v="21407"/>
    <n v="2221"/>
    <n v="1640"/>
    <n v="3.7540578084491556"/>
    <n v="390940"/>
    <n v="835004"/>
    <n v="113.5887860029672"/>
    <d v="2025-09-18T00:00:00"/>
    <d v="2025-09-25T00:00:00"/>
    <x v="1"/>
    <n v="7"/>
    <x v="11"/>
    <x v="0"/>
    <n v="0.58081817303906635"/>
    <n v="1.2405624846787553"/>
  </r>
  <r>
    <s v="C0607"/>
    <x v="8"/>
    <x v="4"/>
    <x v="4"/>
    <n v="92659"/>
    <n v="64568"/>
    <n v="151102"/>
    <n v="2430"/>
    <n v="187"/>
    <n v="205"/>
    <n v="4.3705860488167509"/>
    <n v="468174"/>
    <n v="2126106"/>
    <n v="354.12731164054389"/>
    <d v="2026-02-20T00:00:00"/>
    <d v="2026-03-17T00:00:00"/>
    <x v="4"/>
    <n v="25"/>
    <x v="1"/>
    <x v="1"/>
    <n v="7.2508673026886381"/>
    <n v="32.928168752323131"/>
  </r>
  <r>
    <s v="C0608"/>
    <x v="0"/>
    <x v="1"/>
    <x v="1"/>
    <n v="1994899"/>
    <n v="1529872"/>
    <n v="2288108"/>
    <n v="101685"/>
    <n v="5931"/>
    <n v="9621"/>
    <n v="7.6631901230952648"/>
    <n v="148458"/>
    <n v="192617"/>
    <n v="29.745113095959802"/>
    <d v="2026-01-01T00:00:00"/>
    <d v="2026-01-17T00:00:00"/>
    <x v="3"/>
    <n v="16"/>
    <x v="10"/>
    <x v="1"/>
    <n v="9.7039490885511989E-2"/>
    <n v="0.12590399719715115"/>
  </r>
  <r>
    <s v="C0609"/>
    <x v="11"/>
    <x v="2"/>
    <x v="7"/>
    <n v="53925"/>
    <n v="21040"/>
    <n v="52179"/>
    <n v="1172"/>
    <n v="117"/>
    <n v="113"/>
    <n v="6.663498098859316"/>
    <n v="303996"/>
    <n v="532458"/>
    <n v="75.152962538980773"/>
    <d v="2025-02-28T00:00:00"/>
    <d v="2025-03-30T00:00:00"/>
    <x v="1"/>
    <n v="30"/>
    <x v="1"/>
    <x v="0"/>
    <n v="14.448479087452471"/>
    <n v="25.3069391634981"/>
  </r>
  <r>
    <s v="C0610"/>
    <x v="5"/>
    <x v="4"/>
    <x v="3"/>
    <n v="448959"/>
    <n v="339384"/>
    <n v="459039"/>
    <n v="22773"/>
    <n v="2848"/>
    <n v="698"/>
    <n v="7.7549324658793575"/>
    <n v="137553"/>
    <n v="178428"/>
    <n v="29.715818629909922"/>
    <d v="2025-04-05T00:00:00"/>
    <d v="2025-04-22T00:00:00"/>
    <x v="2"/>
    <n v="17"/>
    <x v="2"/>
    <x v="0"/>
    <n v="0.4053019588430804"/>
    <n v="0.52574075383636232"/>
  </r>
  <r>
    <s v="C0611"/>
    <x v="5"/>
    <x v="2"/>
    <x v="7"/>
    <n v="1155769"/>
    <n v="912842"/>
    <n v="1441390"/>
    <n v="114078"/>
    <n v="7718"/>
    <n v="2399"/>
    <n v="13.605311762605139"/>
    <n v="53067"/>
    <n v="234401"/>
    <n v="341.70765259012194"/>
    <d v="2026-04-16T00:00:00"/>
    <d v="2026-04-28T00:00:00"/>
    <x v="2"/>
    <n v="12"/>
    <x v="2"/>
    <x v="1"/>
    <n v="5.8133828198089044E-2"/>
    <n v="0.25678156789455348"/>
  </r>
  <r>
    <s v="C0612"/>
    <x v="6"/>
    <x v="2"/>
    <x v="0"/>
    <n v="518872"/>
    <n v="342466"/>
    <n v="489891"/>
    <n v="38651"/>
    <n v="5308"/>
    <n v="989"/>
    <n v="13.124806550139285"/>
    <n v="352728"/>
    <n v="1163115"/>
    <n v="229.74841804449886"/>
    <d v="2025-10-11T00:00:00"/>
    <d v="2025-10-31T00:00:00"/>
    <x v="7"/>
    <n v="20"/>
    <x v="8"/>
    <x v="0"/>
    <n v="1.0299650184251867"/>
    <n v="3.3962933546687846"/>
  </r>
  <r>
    <s v="C0613"/>
    <x v="2"/>
    <x v="0"/>
    <x v="4"/>
    <n v="376407"/>
    <n v="268463"/>
    <n v="480902"/>
    <n v="32371"/>
    <n v="4170"/>
    <n v="2726"/>
    <n v="14.626596588729173"/>
    <n v="240154"/>
    <n v="918607"/>
    <n v="282.50747437061221"/>
    <d v="2025-01-28T00:00:00"/>
    <d v="2025-02-23T00:00:00"/>
    <x v="1"/>
    <n v="26"/>
    <x v="10"/>
    <x v="0"/>
    <n v="0.894551576939839"/>
    <n v="3.4217266438950618"/>
  </r>
  <r>
    <s v="C0614"/>
    <x v="11"/>
    <x v="3"/>
    <x v="4"/>
    <n v="1335473"/>
    <n v="531309"/>
    <n v="617889"/>
    <n v="54881"/>
    <n v="7457"/>
    <n v="4241"/>
    <n v="12.531125954952769"/>
    <n v="331185"/>
    <n v="908979"/>
    <n v="174.46261153131934"/>
    <d v="2025-07-19T00:00:00"/>
    <d v="2025-08-06T00:00:00"/>
    <x v="4"/>
    <n v="18"/>
    <x v="7"/>
    <x v="0"/>
    <n v="0.62333783165728418"/>
    <n v="1.7108292914292813"/>
  </r>
  <r>
    <s v="C0615"/>
    <x v="5"/>
    <x v="3"/>
    <x v="5"/>
    <n v="216468"/>
    <n v="61738"/>
    <n v="105306"/>
    <n v="1496"/>
    <n v="170"/>
    <n v="97"/>
    <n v="2.8556156662023389"/>
    <n v="407079"/>
    <n v="512702"/>
    <n v="25.946560741281179"/>
    <d v="2026-01-21T00:00:00"/>
    <d v="2026-02-13T00:00:00"/>
    <x v="5"/>
    <n v="23"/>
    <x v="10"/>
    <x v="1"/>
    <n v="6.5936538274644469"/>
    <n v="8.30448022287732"/>
  </r>
  <r>
    <s v="C0616"/>
    <x v="13"/>
    <x v="2"/>
    <x v="0"/>
    <n v="1276850"/>
    <n v="467358"/>
    <n v="1004004"/>
    <n v="47984"/>
    <n v="3624"/>
    <n v="4542"/>
    <n v="12.014344463986923"/>
    <n v="82605"/>
    <n v="313673"/>
    <n v="279.72640881302584"/>
    <d v="2026-04-05T00:00:00"/>
    <d v="2026-05-03T00:00:00"/>
    <x v="7"/>
    <n v="28"/>
    <x v="2"/>
    <x v="1"/>
    <n v="0.17674887345461082"/>
    <n v="0.67116214978667321"/>
  </r>
  <r>
    <s v="C0617"/>
    <x v="1"/>
    <x v="1"/>
    <x v="7"/>
    <n v="1425090"/>
    <n v="477240"/>
    <n v="1336135"/>
    <n v="27572"/>
    <n v="2828"/>
    <n v="1531"/>
    <n v="6.6907635571201078"/>
    <n v="452171"/>
    <n v="798056"/>
    <n v="76.494290876681617"/>
    <d v="2025-07-25T00:00:00"/>
    <d v="2025-08-10T00:00:00"/>
    <x v="6"/>
    <n v="16"/>
    <x v="7"/>
    <x v="0"/>
    <n v="0.94747087419327802"/>
    <n v="1.6722320006705222"/>
  </r>
  <r>
    <s v="C0618"/>
    <x v="4"/>
    <x v="2"/>
    <x v="3"/>
    <n v="1629652"/>
    <n v="820100"/>
    <n v="941471"/>
    <n v="17866"/>
    <n v="1898"/>
    <n v="615"/>
    <n v="2.4849408608706254"/>
    <n v="103291"/>
    <n v="516010"/>
    <n v="399.56917834080411"/>
    <d v="2025-04-22T00:00:00"/>
    <d v="2025-04-30T00:00:00"/>
    <x v="2"/>
    <n v="8"/>
    <x v="2"/>
    <x v="0"/>
    <n v="0.12594927447872212"/>
    <n v="0.62920375563955611"/>
  </r>
  <r>
    <s v="C0619"/>
    <x v="3"/>
    <x v="2"/>
    <x v="7"/>
    <n v="493960"/>
    <n v="371318"/>
    <n v="1054636"/>
    <n v="40130"/>
    <n v="4657"/>
    <n v="3036"/>
    <n v="12.879257132700273"/>
    <n v="194570"/>
    <n v="252407"/>
    <n v="29.725548645731614"/>
    <d v="2025-05-21T00:00:00"/>
    <d v="2025-06-11T00:00:00"/>
    <x v="7"/>
    <n v="21"/>
    <x v="4"/>
    <x v="0"/>
    <n v="0.52399829795485275"/>
    <n v="0.67975966691622813"/>
  </r>
  <r>
    <s v="C0620"/>
    <x v="13"/>
    <x v="0"/>
    <x v="3"/>
    <n v="1850474"/>
    <n v="1407557"/>
    <n v="3452867"/>
    <n v="64709"/>
    <n v="6140"/>
    <n v="2631"/>
    <n v="5.2203924956502643"/>
    <n v="482844"/>
    <n v="1297025"/>
    <n v="168.62195657396592"/>
    <d v="2026-01-08T00:00:00"/>
    <d v="2026-02-03T00:00:00"/>
    <x v="3"/>
    <n v="26"/>
    <x v="10"/>
    <x v="1"/>
    <n v="0.34303690720873115"/>
    <n v="0.92147245191491356"/>
  </r>
  <r>
    <s v="C0621"/>
    <x v="12"/>
    <x v="4"/>
    <x v="4"/>
    <n v="405124"/>
    <n v="202704"/>
    <n v="590696"/>
    <n v="18296"/>
    <n v="1730"/>
    <n v="1552"/>
    <n v="10.645078538164023"/>
    <n v="278804"/>
    <n v="350345"/>
    <n v="25.659961836989424"/>
    <d v="2025-01-20T00:00:00"/>
    <d v="2025-02-06T00:00:00"/>
    <x v="2"/>
    <n v="17"/>
    <x v="10"/>
    <x v="0"/>
    <n v="1.3754242639513774"/>
    <n v="1.7283576051779934"/>
  </r>
  <r>
    <s v="C0622"/>
    <x v="7"/>
    <x v="2"/>
    <x v="4"/>
    <n v="1957019"/>
    <n v="771003"/>
    <n v="2244683"/>
    <n v="114141"/>
    <n v="12391"/>
    <n v="6715"/>
    <n v="17.282293324409892"/>
    <n v="182863"/>
    <n v="891068"/>
    <n v="387.28720408174422"/>
    <d v="2025-01-31T00:00:00"/>
    <d v="2025-02-25T00:00:00"/>
    <x v="2"/>
    <n v="25"/>
    <x v="10"/>
    <x v="0"/>
    <n v="0.23717547143136927"/>
    <n v="1.1557257235056153"/>
  </r>
  <r>
    <s v="C0623"/>
    <x v="2"/>
    <x v="3"/>
    <x v="5"/>
    <n v="56439"/>
    <n v="14734"/>
    <n v="25575"/>
    <n v="978"/>
    <n v="107"/>
    <n v="29"/>
    <n v="7.5607438577439927"/>
    <n v="287458"/>
    <n v="1289032"/>
    <n v="348.42446548713201"/>
    <d v="2026-04-07T00:00:00"/>
    <d v="2026-05-04T00:00:00"/>
    <x v="3"/>
    <n v="27"/>
    <x v="2"/>
    <x v="1"/>
    <n v="19.509841183656849"/>
    <n v="87.486901045201577"/>
  </r>
  <r>
    <s v="C0624"/>
    <x v="10"/>
    <x v="3"/>
    <x v="5"/>
    <n v="135068"/>
    <n v="98316"/>
    <n v="120147"/>
    <n v="2498"/>
    <n v="253"/>
    <n v="248"/>
    <n v="3.0503682004963584"/>
    <n v="488827"/>
    <n v="1271781"/>
    <n v="160.16995787875874"/>
    <d v="2025-04-14T00:00:00"/>
    <d v="2025-04-26T00:00:00"/>
    <x v="3"/>
    <n v="12"/>
    <x v="2"/>
    <x v="0"/>
    <n v="4.9719984539647664"/>
    <n v="12.93564628341267"/>
  </r>
  <r>
    <s v="C0625"/>
    <x v="11"/>
    <x v="3"/>
    <x v="2"/>
    <n v="591086"/>
    <n v="522685"/>
    <n v="1120616"/>
    <n v="39643"/>
    <n v="3133"/>
    <n v="3625"/>
    <n v="8.877430957460037"/>
    <n v="189353"/>
    <n v="856735"/>
    <n v="352.45388243122636"/>
    <d v="2026-01-23T00:00:00"/>
    <d v="2026-02-21T00:00:00"/>
    <x v="5"/>
    <n v="29"/>
    <x v="10"/>
    <x v="1"/>
    <n v="0.36226981834183114"/>
    <n v="1.6391038579641657"/>
  </r>
  <r>
    <s v="C0626"/>
    <x v="4"/>
    <x v="0"/>
    <x v="3"/>
    <n v="207454"/>
    <n v="128523"/>
    <n v="335305"/>
    <n v="3849"/>
    <n v="545"/>
    <n v="195"/>
    <n v="3.5705671358433904"/>
    <n v="463126"/>
    <n v="1332620"/>
    <n v="187.74458786593712"/>
    <d v="2025-12-28T00:00:00"/>
    <d v="2026-01-13T00:00:00"/>
    <x v="1"/>
    <n v="16"/>
    <x v="5"/>
    <x v="0"/>
    <n v="3.6034484100122155"/>
    <n v="10.368727776351314"/>
  </r>
  <r>
    <s v="C0627"/>
    <x v="0"/>
    <x v="2"/>
    <x v="6"/>
    <n v="1424147"/>
    <n v="361879"/>
    <n v="767389"/>
    <n v="12123"/>
    <n v="1404"/>
    <n v="753"/>
    <n v="3.9460703715882937"/>
    <n v="179968"/>
    <n v="429161"/>
    <n v="138.46517158605977"/>
    <d v="2026-05-15T00:00:00"/>
    <d v="2026-05-30T00:00:00"/>
    <x v="0"/>
    <n v="15"/>
    <x v="4"/>
    <x v="1"/>
    <n v="0.49731540100420307"/>
    <n v="1.185924024328574"/>
  </r>
  <r>
    <s v="C0628"/>
    <x v="0"/>
    <x v="1"/>
    <x v="3"/>
    <n v="602047"/>
    <n v="225837"/>
    <n v="665712"/>
    <n v="8132"/>
    <n v="286"/>
    <n v="350"/>
    <n v="3.8824461890655653"/>
    <n v="427403"/>
    <n v="1189262"/>
    <n v="178.25307730642976"/>
    <d v="2025-05-16T00:00:00"/>
    <d v="2025-06-06T00:00:00"/>
    <x v="4"/>
    <n v="21"/>
    <x v="4"/>
    <x v="0"/>
    <n v="1.8925286821911378"/>
    <n v="5.2660192971036635"/>
  </r>
  <r>
    <s v="C0629"/>
    <x v="13"/>
    <x v="3"/>
    <x v="3"/>
    <n v="1678131"/>
    <n v="825927"/>
    <n v="1208748"/>
    <n v="36527"/>
    <n v="5191"/>
    <n v="1218"/>
    <n v="5.1985223875717832"/>
    <n v="433298"/>
    <n v="1554721"/>
    <n v="258.81102612982289"/>
    <d v="2025-10-03T00:00:00"/>
    <d v="2025-10-25T00:00:00"/>
    <x v="3"/>
    <n v="22"/>
    <x v="8"/>
    <x v="0"/>
    <n v="0.52462021461945185"/>
    <n v="1.8823951753605344"/>
  </r>
  <r>
    <s v="C0630"/>
    <x v="0"/>
    <x v="0"/>
    <x v="7"/>
    <n v="1157105"/>
    <n v="661554"/>
    <n v="1104861"/>
    <n v="98758"/>
    <n v="6629"/>
    <n v="6519"/>
    <n v="16.915625935297797"/>
    <n v="262692"/>
    <n v="328270"/>
    <n v="24.963835975210515"/>
    <d v="2025-04-22T00:00:00"/>
    <d v="2025-05-08T00:00:00"/>
    <x v="6"/>
    <n v="16"/>
    <x v="2"/>
    <x v="0"/>
    <n v="0.39708323130084616"/>
    <n v="0.49621043784785518"/>
  </r>
  <r>
    <s v="C0631"/>
    <x v="0"/>
    <x v="3"/>
    <x v="1"/>
    <n v="1087545"/>
    <n v="879298"/>
    <n v="2096088"/>
    <n v="36924"/>
    <n v="2348"/>
    <n v="1653"/>
    <n v="4.654281028729736"/>
    <n v="302409"/>
    <n v="1217398"/>
    <n v="302.56672255124681"/>
    <d v="2025-01-23T00:00:00"/>
    <d v="2025-02-03T00:00:00"/>
    <x v="3"/>
    <n v="11"/>
    <x v="10"/>
    <x v="0"/>
    <n v="0.34392094602739914"/>
    <n v="1.3845112805897433"/>
  </r>
  <r>
    <s v="C0632"/>
    <x v="2"/>
    <x v="4"/>
    <x v="0"/>
    <n v="78005"/>
    <n v="67604"/>
    <n v="101132"/>
    <n v="6237"/>
    <n v="401"/>
    <n v="152"/>
    <n v="10.043784391456127"/>
    <n v="397583"/>
    <n v="1925551"/>
    <n v="384.31421866629108"/>
    <d v="2025-04-23T00:00:00"/>
    <d v="2025-05-03T00:00:00"/>
    <x v="2"/>
    <n v="10"/>
    <x v="2"/>
    <x v="0"/>
    <n v="5.8810573338855692"/>
    <n v="28.482796875924503"/>
  </r>
  <r>
    <s v="C0633"/>
    <x v="6"/>
    <x v="0"/>
    <x v="4"/>
    <n v="1709614"/>
    <n v="1526675"/>
    <n v="3698099"/>
    <n v="35856"/>
    <n v="2377"/>
    <n v="2499"/>
    <n v="2.6680203710678434"/>
    <n v="393678"/>
    <n v="1939028"/>
    <n v="392.54162030898351"/>
    <d v="2025-08-22T00:00:00"/>
    <d v="2025-09-13T00:00:00"/>
    <x v="0"/>
    <n v="22"/>
    <x v="3"/>
    <x v="0"/>
    <n v="0.2578662780224999"/>
    <n v="1.2700987440024891"/>
  </r>
  <r>
    <s v="C0634"/>
    <x v="1"/>
    <x v="4"/>
    <x v="4"/>
    <n v="805906"/>
    <n v="701369"/>
    <n v="986354"/>
    <n v="96299"/>
    <n v="12467"/>
    <n v="3739"/>
    <n v="16.040771690793289"/>
    <n v="283380"/>
    <n v="582733"/>
    <n v="105.63660103041852"/>
    <d v="2026-04-22T00:00:00"/>
    <d v="2026-05-15T00:00:00"/>
    <x v="0"/>
    <n v="23"/>
    <x v="2"/>
    <x v="1"/>
    <n v="0.40403838778160994"/>
    <n v="0.83085080749220452"/>
  </r>
  <r>
    <s v="C0635"/>
    <x v="1"/>
    <x v="4"/>
    <x v="5"/>
    <n v="1281570"/>
    <n v="995930"/>
    <n v="2732046"/>
    <n v="57828"/>
    <n v="2029"/>
    <n v="3740"/>
    <n v="6.3856897573122611"/>
    <n v="442701"/>
    <n v="1571976"/>
    <n v="255.08751956738297"/>
    <d v="2025-09-17T00:00:00"/>
    <d v="2025-09-25T00:00:00"/>
    <x v="6"/>
    <n v="8"/>
    <x v="11"/>
    <x v="0"/>
    <n v="0.44451015633628871"/>
    <n v="1.5784000883596236"/>
  </r>
  <r>
    <s v="C0636"/>
    <x v="5"/>
    <x v="0"/>
    <x v="6"/>
    <n v="139496"/>
    <n v="81256"/>
    <n v="210821"/>
    <n v="11609"/>
    <n v="901"/>
    <n v="310"/>
    <n v="15.777296445800925"/>
    <n v="66150"/>
    <n v="123860"/>
    <n v="87.241118669690096"/>
    <d v="2025-01-30T00:00:00"/>
    <d v="2025-02-24T00:00:00"/>
    <x v="7"/>
    <n v="25"/>
    <x v="10"/>
    <x v="0"/>
    <n v="0.81409372846312889"/>
    <n v="1.5243182041941519"/>
  </r>
  <r>
    <s v="C0637"/>
    <x v="2"/>
    <x v="4"/>
    <x v="4"/>
    <n v="514313"/>
    <n v="251444"/>
    <n v="369133"/>
    <n v="24230"/>
    <n v="1098"/>
    <n v="1638"/>
    <n v="10.724455544773388"/>
    <n v="91283"/>
    <n v="275369"/>
    <n v="201.66515123297876"/>
    <d v="2026-02-06T00:00:00"/>
    <d v="2026-02-27T00:00:00"/>
    <x v="2"/>
    <n v="21"/>
    <x v="1"/>
    <x v="1"/>
    <n v="0.36303510920920762"/>
    <n v="1.0951504112247659"/>
  </r>
  <r>
    <s v="C0638"/>
    <x v="3"/>
    <x v="1"/>
    <x v="3"/>
    <n v="1119519"/>
    <n v="939956"/>
    <n v="1301915"/>
    <n v="62306"/>
    <n v="8957"/>
    <n v="4572"/>
    <n v="8.0679308393158831"/>
    <n v="179220"/>
    <n v="421477"/>
    <n v="135.1729717665439"/>
    <d v="2026-03-29T00:00:00"/>
    <d v="2026-04-23T00:00:00"/>
    <x v="3"/>
    <n v="25"/>
    <x v="9"/>
    <x v="1"/>
    <n v="0.19066849937656657"/>
    <n v="0.44840077620654584"/>
  </r>
  <r>
    <s v="C0639"/>
    <x v="10"/>
    <x v="2"/>
    <x v="2"/>
    <n v="782195"/>
    <n v="248302"/>
    <n v="666178"/>
    <n v="29951"/>
    <n v="3807"/>
    <n v="1049"/>
    <n v="14.01801032613511"/>
    <n v="262189"/>
    <n v="589627"/>
    <n v="124.8862461811899"/>
    <d v="2025-10-25T00:00:00"/>
    <d v="2025-11-20T00:00:00"/>
    <x v="2"/>
    <n v="26"/>
    <x v="8"/>
    <x v="0"/>
    <n v="1.0559278620389687"/>
    <n v="2.3746365313207303"/>
  </r>
  <r>
    <s v="C0640"/>
    <x v="0"/>
    <x v="4"/>
    <x v="3"/>
    <n v="1049631"/>
    <n v="915168"/>
    <n v="1085755"/>
    <n v="112634"/>
    <n v="10412"/>
    <n v="11134"/>
    <n v="14.661788873736844"/>
    <n v="415001"/>
    <n v="1119271"/>
    <n v="169.70320553444449"/>
    <d v="2025-07-21T00:00:00"/>
    <d v="2025-08-04T00:00:00"/>
    <x v="5"/>
    <n v="14"/>
    <x v="7"/>
    <x v="0"/>
    <n v="0.45346974544564495"/>
    <n v="1.22302243959579"/>
  </r>
  <r>
    <s v="C0641"/>
    <x v="11"/>
    <x v="3"/>
    <x v="2"/>
    <n v="1971439"/>
    <n v="1479031"/>
    <n v="2107828"/>
    <n v="197201"/>
    <n v="27486"/>
    <n v="10449"/>
    <n v="15.897976445388906"/>
    <n v="28456"/>
    <n v="121499"/>
    <n v="326.97146471745856"/>
    <d v="2025-01-26T00:00:00"/>
    <d v="2025-02-19T00:00:00"/>
    <x v="5"/>
    <n v="24"/>
    <x v="10"/>
    <x v="0"/>
    <n v="1.9239623780705071E-2"/>
    <n v="8.2147703462604901E-2"/>
  </r>
  <r>
    <s v="C0642"/>
    <x v="13"/>
    <x v="3"/>
    <x v="0"/>
    <n v="1436589"/>
    <n v="905429"/>
    <n v="1535999"/>
    <n v="22421"/>
    <n v="2960"/>
    <n v="1934"/>
    <n v="3.0168019800558632"/>
    <n v="112897"/>
    <n v="439274"/>
    <n v="289.09271282673586"/>
    <d v="2025-06-17T00:00:00"/>
    <d v="2025-07-12T00:00:00"/>
    <x v="4"/>
    <n v="25"/>
    <x v="0"/>
    <x v="0"/>
    <n v="0.12468895959815733"/>
    <n v="0.48515565549590306"/>
  </r>
  <r>
    <s v="C0643"/>
    <x v="13"/>
    <x v="0"/>
    <x v="7"/>
    <n v="1991099"/>
    <n v="835235"/>
    <n v="1987308"/>
    <n v="35700"/>
    <n v="4739"/>
    <n v="2326"/>
    <n v="5.1201158955264088"/>
    <n v="141534"/>
    <n v="346813"/>
    <n v="145.03864795738127"/>
    <d v="2025-04-01T00:00:00"/>
    <d v="2025-04-17T00:00:00"/>
    <x v="2"/>
    <n v="16"/>
    <x v="2"/>
    <x v="0"/>
    <n v="0.1694541057307225"/>
    <n v="0.4152280495908337"/>
  </r>
  <r>
    <s v="C0644"/>
    <x v="0"/>
    <x v="1"/>
    <x v="2"/>
    <n v="1672180"/>
    <n v="944612"/>
    <n v="2247369"/>
    <n v="93783"/>
    <n v="9501"/>
    <n v="8840"/>
    <n v="11.869847090657327"/>
    <n v="455573"/>
    <n v="740755"/>
    <n v="62.598529763616369"/>
    <d v="2026-04-24T00:00:00"/>
    <d v="2026-05-10T00:00:00"/>
    <x v="2"/>
    <n v="16"/>
    <x v="2"/>
    <x v="1"/>
    <n v="0.48228584858121643"/>
    <n v="0.78418969905103897"/>
  </r>
  <r>
    <s v="C0645"/>
    <x v="8"/>
    <x v="3"/>
    <x v="6"/>
    <n v="1624058"/>
    <n v="799394"/>
    <n v="2266559"/>
    <n v="39478"/>
    <n v="2645"/>
    <n v="3874"/>
    <n v="5.7539836426092759"/>
    <n v="78189"/>
    <n v="353822"/>
    <n v="352.52145442453542"/>
    <d v="2025-11-28T00:00:00"/>
    <d v="2025-12-21T00:00:00"/>
    <x v="5"/>
    <n v="23"/>
    <x v="6"/>
    <x v="0"/>
    <n v="9.7810341333560175E-2"/>
    <n v="0.44261277918022901"/>
  </r>
  <r>
    <s v="C0646"/>
    <x v="14"/>
    <x v="3"/>
    <x v="7"/>
    <n v="1604921"/>
    <n v="414978"/>
    <n v="1114535"/>
    <n v="8509"/>
    <n v="554"/>
    <n v="283"/>
    <n v="2.2521675847876272"/>
    <n v="233511"/>
    <n v="1023530"/>
    <n v="338.32196341928216"/>
    <d v="2025-10-03T00:00:00"/>
    <d v="2025-10-16T00:00:00"/>
    <x v="2"/>
    <n v="13"/>
    <x v="8"/>
    <x v="0"/>
    <n v="0.56270693868108668"/>
    <n v="2.4664681019234753"/>
  </r>
  <r>
    <s v="C0647"/>
    <x v="14"/>
    <x v="2"/>
    <x v="6"/>
    <n v="1792638"/>
    <n v="1264988"/>
    <n v="1522553"/>
    <n v="140474"/>
    <n v="18424"/>
    <n v="10130"/>
    <n v="13.362023987579331"/>
    <n v="29693"/>
    <n v="63365"/>
    <n v="113.40046475600309"/>
    <d v="2025-01-19T00:00:00"/>
    <d v="2025-02-15T00:00:00"/>
    <x v="3"/>
    <n v="27"/>
    <x v="10"/>
    <x v="0"/>
    <n v="2.3472949941027107E-2"/>
    <n v="5.0091384266095808E-2"/>
  </r>
  <r>
    <s v="C0648"/>
    <x v="6"/>
    <x v="3"/>
    <x v="4"/>
    <n v="604435"/>
    <n v="438510"/>
    <n v="1287269"/>
    <n v="55603"/>
    <n v="5682"/>
    <n v="2003"/>
    <n v="14.432510090989945"/>
    <n v="336167"/>
    <n v="689747"/>
    <n v="105.17986595947848"/>
    <d v="2025-04-15T00:00:00"/>
    <d v="2025-05-08T00:00:00"/>
    <x v="0"/>
    <n v="23"/>
    <x v="2"/>
    <x v="0"/>
    <n v="0.76661193587375431"/>
    <n v="1.5729333424551322"/>
  </r>
  <r>
    <s v="C0649"/>
    <x v="7"/>
    <x v="3"/>
    <x v="1"/>
    <n v="1173969"/>
    <n v="356556"/>
    <n v="644749"/>
    <n v="37863"/>
    <n v="3019"/>
    <n v="1898"/>
    <n v="11.998115303065997"/>
    <n v="38274"/>
    <n v="134433"/>
    <n v="251.23843862674403"/>
    <d v="2026-05-16T00:00:00"/>
    <d v="2026-06-03T00:00:00"/>
    <x v="7"/>
    <n v="18"/>
    <x v="4"/>
    <x v="1"/>
    <n v="0.10734358698212904"/>
    <n v="0.37703193888197084"/>
  </r>
  <r>
    <s v="C0650"/>
    <x v="12"/>
    <x v="0"/>
    <x v="1"/>
    <n v="1753576"/>
    <n v="1176315"/>
    <n v="2212078"/>
    <n v="140400"/>
    <n v="17758"/>
    <n v="3806"/>
    <n v="13.768760918631489"/>
    <n v="247397"/>
    <n v="499128"/>
    <n v="101.75184015974325"/>
    <d v="2025-08-03T00:00:00"/>
    <d v="2025-08-22T00:00:00"/>
    <x v="7"/>
    <n v="19"/>
    <x v="3"/>
    <x v="0"/>
    <n v="0.21031526419368962"/>
    <n v="0.42431491564759438"/>
  </r>
  <r>
    <s v="C0651"/>
    <x v="0"/>
    <x v="0"/>
    <x v="1"/>
    <n v="1952585"/>
    <n v="539963"/>
    <n v="1231040"/>
    <n v="61223"/>
    <n v="4054"/>
    <n v="4770"/>
    <n v="12.972555526952773"/>
    <n v="305662"/>
    <n v="958249"/>
    <n v="213.49955179250281"/>
    <d v="2026-03-17T00:00:00"/>
    <d v="2026-03-27T00:00:00"/>
    <x v="4"/>
    <n v="10"/>
    <x v="9"/>
    <x v="1"/>
    <n v="0.5660795276713404"/>
    <n v="1.7746567820387693"/>
  </r>
  <r>
    <s v="C0652"/>
    <x v="0"/>
    <x v="4"/>
    <x v="1"/>
    <n v="552887"/>
    <n v="218792"/>
    <n v="394025"/>
    <n v="11721"/>
    <n v="1309"/>
    <n v="1134"/>
    <n v="6.4737284727046696"/>
    <n v="308208"/>
    <n v="1068890"/>
    <n v="246.80799979234803"/>
    <d v="2025-03-25T00:00:00"/>
    <d v="2025-04-21T00:00:00"/>
    <x v="3"/>
    <n v="27"/>
    <x v="9"/>
    <x v="0"/>
    <n v="1.4086803905078795"/>
    <n v="4.8854162857874144"/>
  </r>
  <r>
    <s v="C0653"/>
    <x v="9"/>
    <x v="1"/>
    <x v="2"/>
    <n v="1595274"/>
    <n v="962190"/>
    <n v="2693432"/>
    <n v="69309"/>
    <n v="8399"/>
    <n v="5448"/>
    <n v="8.6423679314896216"/>
    <n v="61006"/>
    <n v="137495"/>
    <n v="125.37947087171754"/>
    <d v="2025-09-27T00:00:00"/>
    <d v="2025-10-05T00:00:00"/>
    <x v="2"/>
    <n v="8"/>
    <x v="11"/>
    <x v="0"/>
    <n v="6.3403277938868616E-2"/>
    <n v="0.14289797233394652"/>
  </r>
  <r>
    <s v="C0654"/>
    <x v="8"/>
    <x v="0"/>
    <x v="2"/>
    <n v="411945"/>
    <n v="140288"/>
    <n v="234177"/>
    <n v="15226"/>
    <n v="2125"/>
    <n v="1397"/>
    <n v="13.363937043795621"/>
    <n v="353934"/>
    <n v="1119465"/>
    <n v="216.2920205462035"/>
    <d v="2025-01-01T00:00:00"/>
    <d v="2025-01-17T00:00:00"/>
    <x v="6"/>
    <n v="16"/>
    <x v="10"/>
    <x v="0"/>
    <n v="2.5229100136861313"/>
    <n v="7.9797630588503647"/>
  </r>
  <r>
    <s v="C0655"/>
    <x v="1"/>
    <x v="3"/>
    <x v="7"/>
    <n v="354456"/>
    <n v="159661"/>
    <n v="187607"/>
    <n v="12540"/>
    <n v="1064"/>
    <n v="919"/>
    <n v="9.0961474624360363"/>
    <n v="58762"/>
    <n v="274718"/>
    <n v="367.50961505735"/>
    <d v="2025-08-14T00:00:00"/>
    <d v="2025-08-29T00:00:00"/>
    <x v="2"/>
    <n v="15"/>
    <x v="3"/>
    <x v="0"/>
    <n v="0.36804228960109231"/>
    <n v="1.720633091362324"/>
  </r>
  <r>
    <s v="C0656"/>
    <x v="1"/>
    <x v="1"/>
    <x v="7"/>
    <n v="676816"/>
    <n v="555411"/>
    <n v="1088050"/>
    <n v="73625"/>
    <n v="8999"/>
    <n v="6887"/>
    <n v="16.11617342832605"/>
    <n v="114510"/>
    <n v="520977"/>
    <n v="354.96201205134923"/>
    <d v="2025-11-30T00:00:00"/>
    <d v="2025-12-18T00:00:00"/>
    <x v="4"/>
    <n v="18"/>
    <x v="6"/>
    <x v="0"/>
    <n v="0.20617164586225337"/>
    <n v="0.93800266829429013"/>
  </r>
  <r>
    <s v="C0657"/>
    <x v="7"/>
    <x v="4"/>
    <x v="4"/>
    <n v="1744122"/>
    <n v="730559"/>
    <n v="1464969"/>
    <n v="101317"/>
    <n v="7202"/>
    <n v="8656"/>
    <n v="16.039087876543853"/>
    <n v="129141"/>
    <n v="572812"/>
    <n v="343.55549360776206"/>
    <d v="2026-04-07T00:00:00"/>
    <d v="2026-04-26T00:00:00"/>
    <x v="1"/>
    <n v="19"/>
    <x v="2"/>
    <x v="1"/>
    <n v="0.17677011712948579"/>
    <n v="0.78407356558470975"/>
  </r>
  <r>
    <s v="C0658"/>
    <x v="2"/>
    <x v="0"/>
    <x v="2"/>
    <n v="1792991"/>
    <n v="1581969"/>
    <n v="4689499"/>
    <n v="153684"/>
    <n v="4835"/>
    <n v="12223"/>
    <n v="10.793005425517189"/>
    <n v="322713"/>
    <n v="416869"/>
    <n v="29.176388927622998"/>
    <d v="2025-08-23T00:00:00"/>
    <d v="2025-09-19T00:00:00"/>
    <x v="6"/>
    <n v="27"/>
    <x v="3"/>
    <x v="0"/>
    <n v="0.20399451569531388"/>
    <n v="0.26351274898559957"/>
  </r>
  <r>
    <s v="C0659"/>
    <x v="8"/>
    <x v="4"/>
    <x v="7"/>
    <n v="279294"/>
    <n v="162116"/>
    <n v="348013"/>
    <n v="19549"/>
    <n v="833"/>
    <n v="689"/>
    <n v="12.997483283574724"/>
    <n v="262652"/>
    <n v="577385"/>
    <n v="119.8288990755829"/>
    <d v="2025-02-18T00:00:00"/>
    <d v="2025-03-16T00:00:00"/>
    <x v="4"/>
    <n v="26"/>
    <x v="1"/>
    <x v="0"/>
    <n v="1.6201485356164722"/>
    <n v="3.5615546892348688"/>
  </r>
  <r>
    <s v="C0660"/>
    <x v="10"/>
    <x v="2"/>
    <x v="4"/>
    <n v="1908421"/>
    <n v="637091"/>
    <n v="1720054"/>
    <n v="59194"/>
    <n v="2810"/>
    <n v="2548"/>
    <n v="10.132304490253356"/>
    <n v="23792"/>
    <n v="115405"/>
    <n v="385.05800268997984"/>
    <d v="2026-02-26T00:00:00"/>
    <d v="2026-03-15T00:00:00"/>
    <x v="6"/>
    <n v="17"/>
    <x v="1"/>
    <x v="1"/>
    <n v="3.7344743529574266E-2"/>
    <n v="0.18114366707424842"/>
  </r>
  <r>
    <s v="C0661"/>
    <x v="10"/>
    <x v="3"/>
    <x v="7"/>
    <n v="756672"/>
    <n v="499212"/>
    <n v="926244"/>
    <n v="72369"/>
    <n v="7283"/>
    <n v="5941"/>
    <n v="17.145621499483184"/>
    <n v="431571"/>
    <n v="1120471"/>
    <n v="159.62611018812663"/>
    <d v="2026-04-24T00:00:00"/>
    <d v="2026-05-11T00:00:00"/>
    <x v="4"/>
    <n v="17"/>
    <x v="2"/>
    <x v="1"/>
    <n v="0.86450445902742723"/>
    <n v="2.2444792993758163"/>
  </r>
  <r>
    <s v="C0662"/>
    <x v="3"/>
    <x v="3"/>
    <x v="6"/>
    <n v="1082312"/>
    <n v="637701"/>
    <n v="853545"/>
    <n v="22781"/>
    <n v="2882"/>
    <n v="2060"/>
    <n v="4.347335193139104"/>
    <n v="444288"/>
    <n v="1913100"/>
    <n v="330.59907087294727"/>
    <d v="2025-12-06T00:00:00"/>
    <d v="2025-12-18T00:00:00"/>
    <x v="2"/>
    <n v="12"/>
    <x v="5"/>
    <x v="0"/>
    <n v="0.69670268668231661"/>
    <n v="2.9999952956009164"/>
  </r>
  <r>
    <s v="C0663"/>
    <x v="12"/>
    <x v="0"/>
    <x v="2"/>
    <n v="1313853"/>
    <n v="441111"/>
    <n v="1155158"/>
    <n v="38210"/>
    <n v="4023"/>
    <n v="2864"/>
    <n v="10.223503834635727"/>
    <n v="447714"/>
    <n v="1260771"/>
    <n v="181.60187083718625"/>
    <d v="2026-02-22T00:00:00"/>
    <d v="2026-03-17T00:00:00"/>
    <x v="0"/>
    <n v="23"/>
    <x v="1"/>
    <x v="1"/>
    <n v="1.0149690214027762"/>
    <n v="2.858171752688099"/>
  </r>
  <r>
    <s v="C0664"/>
    <x v="6"/>
    <x v="3"/>
    <x v="6"/>
    <n v="79481"/>
    <n v="70007"/>
    <n v="198120"/>
    <n v="2253"/>
    <n v="78"/>
    <n v="103"/>
    <n v="3.4767951776250943"/>
    <n v="226718"/>
    <n v="689459"/>
    <n v="204.10421757425524"/>
    <d v="2026-04-10T00:00:00"/>
    <d v="2026-04-26T00:00:00"/>
    <x v="5"/>
    <n v="16"/>
    <x v="2"/>
    <x v="1"/>
    <n v="3.2385047209564757"/>
    <n v="9.8484294427700085"/>
  </r>
  <r>
    <s v="C0665"/>
    <x v="4"/>
    <x v="3"/>
    <x v="4"/>
    <n v="1350609"/>
    <n v="1161497"/>
    <n v="2329385"/>
    <n v="106130"/>
    <n v="4859"/>
    <n v="9799"/>
    <n v="10.399338095578377"/>
    <n v="28066"/>
    <n v="88105"/>
    <n v="213.92075821278414"/>
    <d v="2025-10-29T00:00:00"/>
    <d v="2025-11-21T00:00:00"/>
    <x v="1"/>
    <n v="23"/>
    <x v="8"/>
    <x v="0"/>
    <n v="2.4163643987027087E-2"/>
    <n v="7.5854694415913262E-2"/>
  </r>
  <r>
    <s v="C0666"/>
    <x v="5"/>
    <x v="1"/>
    <x v="4"/>
    <n v="127361"/>
    <n v="55841"/>
    <n v="89713"/>
    <n v="3308"/>
    <n v="257"/>
    <n v="178"/>
    <n v="6.7029601905410008"/>
    <n v="370770"/>
    <n v="1650198"/>
    <n v="345.07322598915772"/>
    <d v="2025-06-21T00:00:00"/>
    <d v="2025-07-12T00:00:00"/>
    <x v="6"/>
    <n v="21"/>
    <x v="0"/>
    <x v="0"/>
    <n v="6.6397449902401462"/>
    <n v="29.551727225515304"/>
  </r>
  <r>
    <s v="C0667"/>
    <x v="12"/>
    <x v="0"/>
    <x v="3"/>
    <n v="911874"/>
    <n v="394532"/>
    <n v="922262"/>
    <n v="29722"/>
    <n v="1730"/>
    <n v="1099"/>
    <n v="8.2505348108645187"/>
    <n v="245517"/>
    <n v="1073856"/>
    <n v="337.38559855325701"/>
    <d v="2025-03-11T00:00:00"/>
    <d v="2025-04-01T00:00:00"/>
    <x v="0"/>
    <n v="21"/>
    <x v="9"/>
    <x v="0"/>
    <n v="0.62229933186661668"/>
    <n v="2.7218476574777206"/>
  </r>
  <r>
    <s v="C0668"/>
    <x v="3"/>
    <x v="1"/>
    <x v="0"/>
    <n v="958820"/>
    <n v="470105"/>
    <n v="553807"/>
    <n v="14161"/>
    <n v="1194"/>
    <n v="311"/>
    <n v="3.3324470065198204"/>
    <n v="258353"/>
    <n v="659753"/>
    <n v="155.36881708360266"/>
    <d v="2025-05-09T00:00:00"/>
    <d v="2025-05-31T00:00:00"/>
    <x v="4"/>
    <n v="22"/>
    <x v="4"/>
    <x v="0"/>
    <n v="0.54956445900383954"/>
    <n v="1.4034162580700056"/>
  </r>
  <r>
    <s v="C0669"/>
    <x v="11"/>
    <x v="0"/>
    <x v="6"/>
    <n v="1093345"/>
    <n v="416123"/>
    <n v="897956"/>
    <n v="14888"/>
    <n v="1739"/>
    <n v="1420"/>
    <n v="4.3369388377955556"/>
    <n v="163008"/>
    <n v="285653"/>
    <n v="75.238638594424813"/>
    <d v="2026-01-13T00:00:00"/>
    <d v="2026-02-08T00:00:00"/>
    <x v="4"/>
    <n v="26"/>
    <x v="10"/>
    <x v="1"/>
    <n v="0.39173032973423721"/>
    <n v="0.68646289678772865"/>
  </r>
  <r>
    <s v="C0670"/>
    <x v="12"/>
    <x v="4"/>
    <x v="0"/>
    <n v="625302"/>
    <n v="517137"/>
    <n v="1078426"/>
    <n v="29781"/>
    <n v="3040"/>
    <n v="2582"/>
    <n v="6.8459615150337338"/>
    <n v="191494"/>
    <n v="696811"/>
    <n v="263.88137487336417"/>
    <d v="2025-10-15T00:00:00"/>
    <d v="2025-11-08T00:00:00"/>
    <x v="6"/>
    <n v="24"/>
    <x v="8"/>
    <x v="0"/>
    <n v="0.37029645915879156"/>
    <n v="1.3474398466943962"/>
  </r>
  <r>
    <s v="C0671"/>
    <x v="5"/>
    <x v="1"/>
    <x v="5"/>
    <n v="838994"/>
    <n v="426592"/>
    <n v="770647"/>
    <n v="10493"/>
    <n v="1492"/>
    <n v="418"/>
    <n v="2.9074619308378966"/>
    <n v="159125"/>
    <n v="251832"/>
    <n v="58.260487038491746"/>
    <d v="2025-05-29T00:00:00"/>
    <d v="2025-06-14T00:00:00"/>
    <x v="3"/>
    <n v="16"/>
    <x v="4"/>
    <x v="0"/>
    <n v="0.37301449628685018"/>
    <n v="0.59033455854774586"/>
  </r>
  <r>
    <s v="C0672"/>
    <x v="0"/>
    <x v="4"/>
    <x v="2"/>
    <n v="1252263"/>
    <n v="498346"/>
    <n v="882210"/>
    <n v="67709"/>
    <n v="3260"/>
    <n v="4108"/>
    <n v="15.065235800026489"/>
    <n v="344798"/>
    <n v="1626406"/>
    <n v="371.69821170656439"/>
    <d v="2026-02-14T00:00:00"/>
    <d v="2026-03-02T00:00:00"/>
    <x v="0"/>
    <n v="16"/>
    <x v="1"/>
    <x v="1"/>
    <n v="0.69188475476877509"/>
    <n v="3.2636080153146607"/>
  </r>
  <r>
    <s v="C0673"/>
    <x v="14"/>
    <x v="0"/>
    <x v="0"/>
    <n v="1759010"/>
    <n v="893404"/>
    <n v="1634114"/>
    <n v="88997"/>
    <n v="10076"/>
    <n v="2541"/>
    <n v="11.373801773889527"/>
    <n v="396496"/>
    <n v="639713"/>
    <n v="61.341602437351192"/>
    <d v="2025-04-22T00:00:00"/>
    <d v="2025-05-09T00:00:00"/>
    <x v="1"/>
    <n v="17"/>
    <x v="2"/>
    <x v="0"/>
    <n v="0.44380369911036888"/>
    <n v="0.71603999982090971"/>
  </r>
  <r>
    <s v="C0674"/>
    <x v="4"/>
    <x v="4"/>
    <x v="6"/>
    <n v="347852"/>
    <n v="157693"/>
    <n v="217521"/>
    <n v="10110"/>
    <n v="395"/>
    <n v="284"/>
    <n v="6.8417748409885029"/>
    <n v="14114"/>
    <n v="50437"/>
    <n v="257.3543998866374"/>
    <d v="2026-01-29T00:00:00"/>
    <d v="2026-02-25T00:00:00"/>
    <x v="6"/>
    <n v="27"/>
    <x v="10"/>
    <x v="1"/>
    <n v="8.9503021694051096E-2"/>
    <n v="0.31984298605518319"/>
  </r>
  <r>
    <s v="C0675"/>
    <x v="12"/>
    <x v="0"/>
    <x v="5"/>
    <n v="1723209"/>
    <n v="1454661"/>
    <n v="3162446"/>
    <n v="62259"/>
    <n v="6272"/>
    <n v="3318"/>
    <n v="4.9392263902036282"/>
    <n v="339665"/>
    <n v="740546"/>
    <n v="118.02246330943724"/>
    <d v="2026-04-13T00:00:00"/>
    <d v="2026-05-11T00:00:00"/>
    <x v="1"/>
    <n v="28"/>
    <x v="2"/>
    <x v="1"/>
    <n v="0.23350113875329029"/>
    <n v="0.50908493456551041"/>
  </r>
  <r>
    <s v="C0676"/>
    <x v="1"/>
    <x v="4"/>
    <x v="5"/>
    <n v="1147990"/>
    <n v="458689"/>
    <n v="596105"/>
    <n v="22540"/>
    <n v="3070"/>
    <n v="2134"/>
    <n v="6.0485426945054277"/>
    <n v="214161"/>
    <n v="759650"/>
    <n v="254.70977442204696"/>
    <d v="2026-05-02T00:00:00"/>
    <d v="2026-06-01T00:00:00"/>
    <x v="7"/>
    <n v="30"/>
    <x v="4"/>
    <x v="1"/>
    <n v="0.46689805074898244"/>
    <n v="1.6561330225926498"/>
  </r>
  <r>
    <s v="C0677"/>
    <x v="8"/>
    <x v="3"/>
    <x v="1"/>
    <n v="800907"/>
    <n v="245200"/>
    <n v="679711"/>
    <n v="15717"/>
    <n v="976"/>
    <n v="917"/>
    <n v="7.181892332789559"/>
    <n v="299512"/>
    <n v="558669"/>
    <n v="86.526416303854276"/>
    <d v="2025-10-16T00:00:00"/>
    <d v="2025-11-11T00:00:00"/>
    <x v="0"/>
    <n v="26"/>
    <x v="8"/>
    <x v="0"/>
    <n v="1.2215008156606852"/>
    <n v="2.2784216965742252"/>
  </r>
  <r>
    <s v="C0678"/>
    <x v="4"/>
    <x v="3"/>
    <x v="5"/>
    <n v="1606534"/>
    <n v="923130"/>
    <n v="1134597"/>
    <n v="109538"/>
    <n v="12521"/>
    <n v="9716"/>
    <n v="14.274804198758574"/>
    <n v="285187"/>
    <n v="627836"/>
    <n v="120.1488847668372"/>
    <d v="2026-04-26T00:00:00"/>
    <d v="2026-05-06T00:00:00"/>
    <x v="2"/>
    <n v="10"/>
    <x v="2"/>
    <x v="1"/>
    <n v="0.30893481958120739"/>
    <n v="0.68011655996446874"/>
  </r>
  <r>
    <s v="C0679"/>
    <x v="3"/>
    <x v="4"/>
    <x v="2"/>
    <n v="277820"/>
    <n v="191680"/>
    <n v="364637"/>
    <n v="11375"/>
    <n v="777"/>
    <n v="876"/>
    <n v="6.796744574290484"/>
    <n v="486467"/>
    <n v="718527"/>
    <n v="47.703132997716189"/>
    <d v="2025-07-16T00:00:00"/>
    <d v="2025-07-30T00:00:00"/>
    <x v="2"/>
    <n v="14"/>
    <x v="7"/>
    <x v="0"/>
    <n v="2.5379121452420703"/>
    <n v="3.748575751252087"/>
  </r>
  <r>
    <s v="C0680"/>
    <x v="13"/>
    <x v="2"/>
    <x v="7"/>
    <n v="1481016"/>
    <n v="1148324"/>
    <n v="2025891"/>
    <n v="126241"/>
    <n v="9903"/>
    <n v="5596"/>
    <n v="12.34320627279409"/>
    <n v="407394"/>
    <n v="1074006"/>
    <n v="163.62833031414306"/>
    <d v="2025-03-07T00:00:00"/>
    <d v="2025-03-17T00:00:00"/>
    <x v="6"/>
    <n v="10"/>
    <x v="9"/>
    <x v="0"/>
    <n v="0.35477269481435553"/>
    <n v="0.93528133174957595"/>
  </r>
  <r>
    <s v="C0681"/>
    <x v="9"/>
    <x v="0"/>
    <x v="5"/>
    <n v="1147071"/>
    <n v="753859"/>
    <n v="875001"/>
    <n v="80605"/>
    <n v="11137"/>
    <n v="5178"/>
    <n v="12.856515608356469"/>
    <n v="291157"/>
    <n v="1018870"/>
    <n v="249.93834941285974"/>
    <d v="2025-02-12T00:00:00"/>
    <d v="2025-03-06T00:00:00"/>
    <x v="1"/>
    <n v="22"/>
    <x v="1"/>
    <x v="0"/>
    <n v="0.38622209192965795"/>
    <n v="1.3515392135664628"/>
  </r>
  <r>
    <s v="C0682"/>
    <x v="6"/>
    <x v="1"/>
    <x v="2"/>
    <n v="264022"/>
    <n v="192725"/>
    <n v="253125"/>
    <n v="11348"/>
    <n v="1267"/>
    <n v="446"/>
    <n v="6.7770138798806583"/>
    <n v="106236"/>
    <n v="210321"/>
    <n v="97.975262622839722"/>
    <d v="2025-11-20T00:00:00"/>
    <d v="2025-12-11T00:00:00"/>
    <x v="6"/>
    <n v="21"/>
    <x v="6"/>
    <x v="0"/>
    <n v="0.55123102866779095"/>
    <n v="1.09130107666364"/>
  </r>
  <r>
    <s v="C0683"/>
    <x v="1"/>
    <x v="4"/>
    <x v="6"/>
    <n v="1385607"/>
    <n v="1245080"/>
    <n v="2673043"/>
    <n v="173076"/>
    <n v="9265"/>
    <n v="14763"/>
    <n v="15.830629357149743"/>
    <n v="82587"/>
    <n v="379411"/>
    <n v="359.40765495780209"/>
    <d v="2026-03-08T00:00:00"/>
    <d v="2026-03-17T00:00:00"/>
    <x v="0"/>
    <n v="9"/>
    <x v="9"/>
    <x v="1"/>
    <n v="6.6330677546824299E-2"/>
    <n v="0.30472821023548685"/>
  </r>
  <r>
    <s v="C0684"/>
    <x v="7"/>
    <x v="4"/>
    <x v="3"/>
    <n v="1839310"/>
    <n v="1179134"/>
    <n v="3386340"/>
    <n v="117793"/>
    <n v="9340"/>
    <n v="7047"/>
    <n v="11.379537864229173"/>
    <n v="50918"/>
    <n v="159416"/>
    <n v="213.08378176676226"/>
    <d v="2025-05-09T00:00:00"/>
    <d v="2025-05-18T00:00:00"/>
    <x v="5"/>
    <n v="9"/>
    <x v="4"/>
    <x v="0"/>
    <n v="4.3182539049845058E-2"/>
    <n v="0.13519752632016377"/>
  </r>
  <r>
    <s v="C0685"/>
    <x v="12"/>
    <x v="1"/>
    <x v="6"/>
    <n v="640507"/>
    <n v="384195"/>
    <n v="773979"/>
    <n v="54115"/>
    <n v="7504"/>
    <n v="1184"/>
    <n v="16.346646885045356"/>
    <n v="168890"/>
    <n v="585275"/>
    <n v="246.54212801231571"/>
    <d v="2025-04-13T00:00:00"/>
    <d v="2025-05-01T00:00:00"/>
    <x v="5"/>
    <n v="18"/>
    <x v="2"/>
    <x v="0"/>
    <n v="0.43959447676310209"/>
    <n v="1.5233800543994587"/>
  </r>
  <r>
    <s v="C0686"/>
    <x v="11"/>
    <x v="2"/>
    <x v="0"/>
    <n v="1282937"/>
    <n v="476655"/>
    <n v="1373470"/>
    <n v="51164"/>
    <n v="3705"/>
    <n v="1058"/>
    <n v="11.73322423975412"/>
    <n v="441867"/>
    <n v="1856549"/>
    <n v="320.16013868426472"/>
    <d v="2026-01-10T00:00:00"/>
    <d v="2026-01-18T00:00:00"/>
    <x v="2"/>
    <n v="8"/>
    <x v="10"/>
    <x v="1"/>
    <n v="0.92701639550618375"/>
    <n v="3.8949533729846535"/>
  </r>
  <r>
    <s v="C0687"/>
    <x v="5"/>
    <x v="2"/>
    <x v="1"/>
    <n v="1959193"/>
    <n v="1371505"/>
    <n v="3847629"/>
    <n v="50012"/>
    <n v="3676"/>
    <n v="4624"/>
    <n v="4.2516797240987092"/>
    <n v="418938"/>
    <n v="545642"/>
    <n v="30.244093398068451"/>
    <d v="2025-04-08T00:00:00"/>
    <d v="2025-04-22T00:00:00"/>
    <x v="2"/>
    <n v="14"/>
    <x v="2"/>
    <x v="0"/>
    <n v="0.30545860204665676"/>
    <n v="0.39784178694208189"/>
  </r>
  <r>
    <s v="C0688"/>
    <x v="14"/>
    <x v="3"/>
    <x v="0"/>
    <n v="1498817"/>
    <n v="1258747"/>
    <n v="2593771"/>
    <n v="97817"/>
    <n v="9522"/>
    <n v="8329"/>
    <n v="9.1891380873201687"/>
    <n v="99846"/>
    <n v="310696"/>
    <n v="211.1752098231276"/>
    <d v="2026-02-23T00:00:00"/>
    <d v="2026-03-12T00:00:00"/>
    <x v="4"/>
    <n v="17"/>
    <x v="1"/>
    <x v="1"/>
    <n v="7.9321738204738521E-2"/>
    <n v="0.24682958529394708"/>
  </r>
  <r>
    <s v="C0689"/>
    <x v="2"/>
    <x v="0"/>
    <x v="6"/>
    <n v="995334"/>
    <n v="512817"/>
    <n v="732178"/>
    <n v="18415"/>
    <n v="2496"/>
    <n v="1071"/>
    <n v="4.2865193626576339"/>
    <n v="428537"/>
    <n v="624594"/>
    <n v="45.750308608124854"/>
    <d v="2026-01-23T00:00:00"/>
    <d v="2026-02-05T00:00:00"/>
    <x v="4"/>
    <n v="13"/>
    <x v="10"/>
    <x v="1"/>
    <n v="0.83565287422218837"/>
    <n v="1.217966643071505"/>
  </r>
  <r>
    <s v="C0690"/>
    <x v="10"/>
    <x v="4"/>
    <x v="6"/>
    <n v="1352212"/>
    <n v="1186746"/>
    <n v="2141689"/>
    <n v="98740"/>
    <n v="7455"/>
    <n v="7571"/>
    <n v="9.5863815846019289"/>
    <n v="131711"/>
    <n v="444893"/>
    <n v="237.77968430882765"/>
    <d v="2026-02-02T00:00:00"/>
    <d v="2026-02-28T00:00:00"/>
    <x v="7"/>
    <n v="26"/>
    <x v="1"/>
    <x v="1"/>
    <n v="0.11098499594690017"/>
    <n v="0.3748847689396046"/>
  </r>
  <r>
    <s v="C0691"/>
    <x v="14"/>
    <x v="1"/>
    <x v="0"/>
    <n v="1383513"/>
    <n v="1120439"/>
    <n v="2276549"/>
    <n v="124637"/>
    <n v="11899"/>
    <n v="9992"/>
    <n v="13.077731139312359"/>
    <n v="68588"/>
    <n v="162713"/>
    <n v="137.23246048871522"/>
    <d v="2025-11-23T00:00:00"/>
    <d v="2025-12-14T00:00:00"/>
    <x v="2"/>
    <n v="21"/>
    <x v="6"/>
    <x v="0"/>
    <n v="6.1215291506275665E-2"/>
    <n v="0.14522254223567727"/>
  </r>
  <r>
    <s v="C0692"/>
    <x v="6"/>
    <x v="4"/>
    <x v="1"/>
    <n v="1441693"/>
    <n v="1123557"/>
    <n v="3236750"/>
    <n v="83568"/>
    <n v="6602"/>
    <n v="2425"/>
    <n v="8.2412374272066309"/>
    <n v="463427"/>
    <n v="2036181"/>
    <n v="339.37470194874277"/>
    <d v="2026-04-05T00:00:00"/>
    <d v="2026-04-14T00:00:00"/>
    <x v="6"/>
    <n v="9"/>
    <x v="2"/>
    <x v="1"/>
    <n v="0.41246416514693957"/>
    <n v="1.8122631962597358"/>
  </r>
  <r>
    <s v="C0693"/>
    <x v="14"/>
    <x v="4"/>
    <x v="0"/>
    <n v="1032431"/>
    <n v="433701"/>
    <n v="482173"/>
    <n v="18211"/>
    <n v="940"/>
    <n v="1288"/>
    <n v="4.7126937682873677"/>
    <n v="30923"/>
    <n v="53006"/>
    <n v="71.412864211105003"/>
    <d v="2026-04-08T00:00:00"/>
    <d v="2026-05-02T00:00:00"/>
    <x v="7"/>
    <n v="24"/>
    <x v="2"/>
    <x v="1"/>
    <n v="7.1300273690860755E-2"/>
    <n v="0.12221784132386138"/>
  </r>
  <r>
    <s v="C0694"/>
    <x v="1"/>
    <x v="1"/>
    <x v="3"/>
    <n v="1349944"/>
    <n v="499614"/>
    <n v="581532"/>
    <n v="59384"/>
    <n v="4683"/>
    <n v="1540"/>
    <n v="13.131537546986275"/>
    <n v="225968"/>
    <n v="261906"/>
    <n v="15.904021808397651"/>
    <d v="2026-02-11T00:00:00"/>
    <d v="2026-02-23T00:00:00"/>
    <x v="5"/>
    <n v="12"/>
    <x v="1"/>
    <x v="1"/>
    <n v="0.45228516414672126"/>
    <n v="0.52421669528876291"/>
  </r>
  <r>
    <s v="C0695"/>
    <x v="0"/>
    <x v="2"/>
    <x v="0"/>
    <n v="878418"/>
    <n v="315186"/>
    <n v="409894"/>
    <n v="8266"/>
    <n v="503"/>
    <n v="790"/>
    <n v="3.0328123711078536"/>
    <n v="174919"/>
    <n v="645165"/>
    <n v="268.83643286321097"/>
    <d v="2026-02-22T00:00:00"/>
    <d v="2026-03-15T00:00:00"/>
    <x v="6"/>
    <n v="21"/>
    <x v="1"/>
    <x v="1"/>
    <n v="0.55497071570437773"/>
    <n v="2.0469341912394587"/>
  </r>
  <r>
    <s v="C0696"/>
    <x v="5"/>
    <x v="3"/>
    <x v="1"/>
    <n v="1210032"/>
    <n v="896959"/>
    <n v="2491635"/>
    <n v="105104"/>
    <n v="12987"/>
    <n v="9836"/>
    <n v="14.262301844342943"/>
    <n v="283990"/>
    <n v="519972"/>
    <n v="83.095179407725624"/>
    <d v="2025-04-30T00:00:00"/>
    <d v="2025-05-29T00:00:00"/>
    <x v="5"/>
    <n v="29"/>
    <x v="2"/>
    <x v="0"/>
    <n v="0.3166142488118186"/>
    <n v="0.5797054268924221"/>
  </r>
  <r>
    <s v="C0697"/>
    <x v="6"/>
    <x v="2"/>
    <x v="0"/>
    <n v="1900125"/>
    <n v="1250249"/>
    <n v="2629082"/>
    <n v="145181"/>
    <n v="12274"/>
    <n v="11316"/>
    <n v="13.498991000992602"/>
    <n v="96716"/>
    <n v="195050"/>
    <n v="101.67293932751562"/>
    <d v="2025-11-29T00:00:00"/>
    <d v="2025-12-27T00:00:00"/>
    <x v="0"/>
    <n v="28"/>
    <x v="6"/>
    <x v="0"/>
    <n v="7.7357390407830753E-2"/>
    <n v="0.15600892302253391"/>
  </r>
  <r>
    <s v="C0698"/>
    <x v="11"/>
    <x v="3"/>
    <x v="4"/>
    <n v="770231"/>
    <n v="496556"/>
    <n v="941067"/>
    <n v="71838"/>
    <n v="7237"/>
    <n v="2437"/>
    <n v="16.415469755677105"/>
    <n v="199118"/>
    <n v="887985"/>
    <n v="345.95917998372823"/>
    <d v="2026-01-30T00:00:00"/>
    <d v="2026-02-21T00:00:00"/>
    <x v="2"/>
    <n v="22"/>
    <x v="10"/>
    <x v="1"/>
    <n v="0.40099807473880084"/>
    <n v="1.788287725855694"/>
  </r>
  <r>
    <s v="C0699"/>
    <x v="5"/>
    <x v="0"/>
    <x v="5"/>
    <n v="1175561"/>
    <n v="433802"/>
    <n v="1045887"/>
    <n v="29258"/>
    <n v="3856"/>
    <n v="633"/>
    <n v="7.7793555585267011"/>
    <n v="193451"/>
    <n v="302263"/>
    <n v="56.247835369163248"/>
    <d v="2025-03-28T00:00:00"/>
    <d v="2025-04-17T00:00:00"/>
    <x v="4"/>
    <n v="20"/>
    <x v="9"/>
    <x v="0"/>
    <n v="0.44594308002268318"/>
    <n v="0.69677640951401787"/>
  </r>
  <r>
    <s v="C0700"/>
    <x v="13"/>
    <x v="3"/>
    <x v="3"/>
    <n v="454682"/>
    <n v="135797"/>
    <n v="229851"/>
    <n v="9250"/>
    <n v="808"/>
    <n v="320"/>
    <n v="7.6422895940263773"/>
    <n v="479471"/>
    <n v="835739"/>
    <n v="74.304389629404071"/>
    <d v="2025-08-09T00:00:00"/>
    <d v="2025-08-16T00:00:00"/>
    <x v="6"/>
    <n v="7"/>
    <x v="3"/>
    <x v="0"/>
    <n v="3.5307922855438632"/>
    <n v="6.1543259423993169"/>
  </r>
  <r>
    <s v="C0701"/>
    <x v="13"/>
    <x v="4"/>
    <x v="7"/>
    <n v="173760"/>
    <n v="60431"/>
    <n v="79272"/>
    <n v="4683"/>
    <n v="156"/>
    <n v="218"/>
    <n v="8.3682216081150411"/>
    <n v="13947"/>
    <n v="46190"/>
    <n v="231.18233311823332"/>
    <d v="2025-01-16T00:00:00"/>
    <d v="2025-02-15T00:00:00"/>
    <x v="2"/>
    <n v="30"/>
    <x v="10"/>
    <x v="0"/>
    <n v="0.23079214310535984"/>
    <n v="0.76434280418990252"/>
  </r>
  <r>
    <s v="C0702"/>
    <x v="13"/>
    <x v="4"/>
    <x v="1"/>
    <n v="1574130"/>
    <n v="1122787"/>
    <n v="1362217"/>
    <n v="102014"/>
    <n v="8240"/>
    <n v="7726"/>
    <n v="10.507781084034638"/>
    <n v="491487"/>
    <n v="1358319"/>
    <n v="176.36926307308229"/>
    <d v="2025-12-22T00:00:00"/>
    <d v="2026-01-05T00:00:00"/>
    <x v="5"/>
    <n v="14"/>
    <x v="5"/>
    <x v="0"/>
    <n v="0.43773841343015191"/>
    <n v="1.2097744273847133"/>
  </r>
  <r>
    <s v="C0703"/>
    <x v="13"/>
    <x v="2"/>
    <x v="5"/>
    <n v="690275"/>
    <n v="467395"/>
    <n v="775683"/>
    <n v="41885"/>
    <n v="2736"/>
    <n v="3602"/>
    <n v="10.317397490345426"/>
    <n v="486255"/>
    <n v="2144276"/>
    <n v="340.9776763220944"/>
    <d v="2026-02-05T00:00:00"/>
    <d v="2026-03-07T00:00:00"/>
    <x v="4"/>
    <n v="30"/>
    <x v="1"/>
    <x v="1"/>
    <n v="1.0403513088501162"/>
    <n v="4.5877170273537375"/>
  </r>
  <r>
    <s v="C0704"/>
    <x v="7"/>
    <x v="3"/>
    <x v="0"/>
    <n v="1377091"/>
    <n v="1011872"/>
    <n v="2472469"/>
    <n v="66418"/>
    <n v="6058"/>
    <n v="1389"/>
    <n v="7.2998363429366568"/>
    <n v="351948"/>
    <n v="1372282"/>
    <n v="289.9104413151943"/>
    <d v="2025-08-30T00:00:00"/>
    <d v="2025-09-23T00:00:00"/>
    <x v="4"/>
    <n v="24"/>
    <x v="3"/>
    <x v="0"/>
    <n v="0.34781869643591284"/>
    <n v="1.3561814142500237"/>
  </r>
  <r>
    <s v="C0705"/>
    <x v="9"/>
    <x v="1"/>
    <x v="0"/>
    <n v="56432"/>
    <n v="31472"/>
    <n v="76184"/>
    <n v="4114"/>
    <n v="129"/>
    <n v="349"/>
    <n v="14.590747330960854"/>
    <n v="400767"/>
    <n v="1519752"/>
    <n v="279.21086316987174"/>
    <d v="2025-10-24T00:00:00"/>
    <d v="2025-11-02T00:00:00"/>
    <x v="6"/>
    <n v="9"/>
    <x v="8"/>
    <x v="0"/>
    <n v="12.734081087951195"/>
    <n v="48.289018810371125"/>
  </r>
  <r>
    <s v="C0706"/>
    <x v="10"/>
    <x v="2"/>
    <x v="1"/>
    <n v="1409169"/>
    <n v="369182"/>
    <n v="667156"/>
    <n v="12596"/>
    <n v="1808"/>
    <n v="991"/>
    <n v="4.1700299581236351"/>
    <n v="267419"/>
    <n v="458978"/>
    <n v="71.632531719885279"/>
    <d v="2025-02-28T00:00:00"/>
    <d v="2025-03-15T00:00:00"/>
    <x v="0"/>
    <n v="15"/>
    <x v="1"/>
    <x v="0"/>
    <n v="0.72435546695125985"/>
    <n v="1.2432296265798441"/>
  </r>
  <r>
    <s v="C0707"/>
    <x v="4"/>
    <x v="3"/>
    <x v="2"/>
    <n v="186545"/>
    <n v="161195"/>
    <n v="462225"/>
    <n v="18878"/>
    <n v="2429"/>
    <n v="1608"/>
    <n v="14.215701479574427"/>
    <n v="235598"/>
    <n v="461285"/>
    <n v="95.793258007283583"/>
    <d v="2026-02-18T00:00:00"/>
    <d v="2026-03-17T00:00:00"/>
    <x v="3"/>
    <n v="27"/>
    <x v="1"/>
    <x v="1"/>
    <n v="1.4615713886907162"/>
    <n v="2.8616582400198518"/>
  </r>
  <r>
    <s v="C0708"/>
    <x v="8"/>
    <x v="4"/>
    <x v="0"/>
    <n v="719274"/>
    <n v="221786"/>
    <n v="527337"/>
    <n v="17299"/>
    <n v="580"/>
    <n v="1109"/>
    <n v="8.5614060400566316"/>
    <n v="397186"/>
    <n v="1504660"/>
    <n v="278.83006953920835"/>
    <d v="2025-02-26T00:00:00"/>
    <d v="2025-03-07T00:00:00"/>
    <x v="1"/>
    <n v="9"/>
    <x v="1"/>
    <x v="0"/>
    <n v="1.7908524433462887"/>
    <n v="6.7842875564733571"/>
  </r>
  <r>
    <s v="C0709"/>
    <x v="13"/>
    <x v="1"/>
    <x v="0"/>
    <n v="97980"/>
    <n v="49752"/>
    <n v="68971"/>
    <n v="2960"/>
    <n v="288"/>
    <n v="83"/>
    <n v="6.6952082328348608"/>
    <n v="487325"/>
    <n v="2208670"/>
    <n v="353.22320833119585"/>
    <d v="2025-08-29T00:00:00"/>
    <d v="2025-09-19T00:00:00"/>
    <x v="5"/>
    <n v="21"/>
    <x v="3"/>
    <x v="0"/>
    <n v="9.795083614729057"/>
    <n v="44.393592217398293"/>
  </r>
  <r>
    <s v="C0710"/>
    <x v="3"/>
    <x v="0"/>
    <x v="0"/>
    <n v="186138"/>
    <n v="118148"/>
    <n v="197704"/>
    <n v="12170"/>
    <n v="1194"/>
    <n v="1061"/>
    <n v="12.209262958323459"/>
    <n v="126437"/>
    <n v="391074"/>
    <n v="209.30344756677238"/>
    <d v="2025-12-06T00:00:00"/>
    <d v="2026-01-01T00:00:00"/>
    <x v="4"/>
    <n v="26"/>
    <x v="5"/>
    <x v="0"/>
    <n v="1.0701577682229069"/>
    <n v="3.3100348715170802"/>
  </r>
  <r>
    <s v="C0711"/>
    <x v="10"/>
    <x v="4"/>
    <x v="5"/>
    <n v="1488671"/>
    <n v="997624"/>
    <n v="1456637"/>
    <n v="145405"/>
    <n v="20318"/>
    <n v="5329"/>
    <n v="17.145938750471117"/>
    <n v="214031"/>
    <n v="291089"/>
    <n v="36.003195798739434"/>
    <d v="2026-02-04T00:00:00"/>
    <d v="2026-02-27T00:00:00"/>
    <x v="2"/>
    <n v="23"/>
    <x v="1"/>
    <x v="1"/>
    <n v="0.21454074881919441"/>
    <n v="0.29178227468465073"/>
  </r>
  <r>
    <s v="C0712"/>
    <x v="9"/>
    <x v="1"/>
    <x v="6"/>
    <n v="802211"/>
    <n v="616321"/>
    <n v="1001834"/>
    <n v="86740"/>
    <n v="5993"/>
    <n v="6975"/>
    <n v="16.177933252314947"/>
    <n v="29779"/>
    <n v="141485"/>
    <n v="375.11669297155714"/>
    <d v="2025-08-12T00:00:00"/>
    <d v="2025-09-10T00:00:00"/>
    <x v="2"/>
    <n v="29"/>
    <x v="3"/>
    <x v="0"/>
    <n v="4.831735410605837E-2"/>
    <n v="0.2295638149600614"/>
  </r>
  <r>
    <s v="C0713"/>
    <x v="7"/>
    <x v="0"/>
    <x v="2"/>
    <n v="959587"/>
    <n v="324299"/>
    <n v="491324"/>
    <n v="30663"/>
    <n v="4567"/>
    <n v="1396"/>
    <n v="11.293898531910367"/>
    <n v="97421"/>
    <n v="343723"/>
    <n v="252.8222867759518"/>
    <d v="2025-12-21T00:00:00"/>
    <d v="2025-12-31T00:00:00"/>
    <x v="7"/>
    <n v="10"/>
    <x v="5"/>
    <x v="0"/>
    <n v="0.30040487328052201"/>
    <n v="1.0598953434947378"/>
  </r>
  <r>
    <s v="C0714"/>
    <x v="7"/>
    <x v="0"/>
    <x v="0"/>
    <n v="1242096"/>
    <n v="791545"/>
    <n v="2333716"/>
    <n v="30962"/>
    <n v="1484"/>
    <n v="1849"/>
    <n v="4.3326658623325267"/>
    <n v="132190"/>
    <n v="192667"/>
    <n v="45.750056736515617"/>
    <d v="2025-11-22T00:00:00"/>
    <d v="2025-12-11T00:00:00"/>
    <x v="6"/>
    <n v="19"/>
    <x v="6"/>
    <x v="0"/>
    <n v="0.16700250775382322"/>
    <n v="0.24340624980260125"/>
  </r>
  <r>
    <s v="C0715"/>
    <x v="14"/>
    <x v="0"/>
    <x v="6"/>
    <n v="1873789"/>
    <n v="1480095"/>
    <n v="3052294"/>
    <n v="150542"/>
    <n v="8186"/>
    <n v="5890"/>
    <n v="11.122123917721497"/>
    <n v="355600"/>
    <n v="754952"/>
    <n v="112.30371203599549"/>
    <d v="2025-12-11T00:00:00"/>
    <d v="2026-01-03T00:00:00"/>
    <x v="5"/>
    <n v="23"/>
    <x v="5"/>
    <x v="0"/>
    <n v="0.24025484850634587"/>
    <n v="0.51006996172542973"/>
  </r>
  <r>
    <s v="C0716"/>
    <x v="4"/>
    <x v="3"/>
    <x v="4"/>
    <n v="1402698"/>
    <n v="510949"/>
    <n v="1500855"/>
    <n v="17668"/>
    <n v="1149"/>
    <n v="1439"/>
    <n v="3.9643878351851161"/>
    <n v="181259"/>
    <n v="487774"/>
    <n v="169.10332728305906"/>
    <d v="2026-02-27T00:00:00"/>
    <d v="2026-03-24T00:00:00"/>
    <x v="4"/>
    <n v="25"/>
    <x v="1"/>
    <x v="1"/>
    <n v="0.3547496912607716"/>
    <n v="0.95464322270911584"/>
  </r>
  <r>
    <s v="C0717"/>
    <x v="5"/>
    <x v="4"/>
    <x v="6"/>
    <n v="1838695"/>
    <n v="1394801"/>
    <n v="3478031"/>
    <n v="147082"/>
    <n v="5185"/>
    <n v="13423"/>
    <n v="11.879113938117337"/>
    <n v="329506"/>
    <n v="418018"/>
    <n v="26.862029826467499"/>
    <d v="2025-09-12T00:00:00"/>
    <d v="2025-10-11T00:00:00"/>
    <x v="4"/>
    <n v="29"/>
    <x v="11"/>
    <x v="0"/>
    <n v="0.23623871792463585"/>
    <n v="0.29969723279521593"/>
  </r>
  <r>
    <s v="C0718"/>
    <x v="8"/>
    <x v="4"/>
    <x v="3"/>
    <n v="399257"/>
    <n v="252178"/>
    <n v="454772"/>
    <n v="31009"/>
    <n v="2577"/>
    <n v="2807"/>
    <n v="14.431473007161607"/>
    <n v="228519"/>
    <n v="491249"/>
    <n v="114.97074641495892"/>
    <d v="2025-12-27T00:00:00"/>
    <d v="2026-01-06T00:00:00"/>
    <x v="5"/>
    <n v="10"/>
    <x v="5"/>
    <x v="0"/>
    <n v="0.90618134809539297"/>
    <n v="1.9480248078738034"/>
  </r>
  <r>
    <s v="C0719"/>
    <x v="7"/>
    <x v="1"/>
    <x v="4"/>
    <n v="1332490"/>
    <n v="809117"/>
    <n v="1941865"/>
    <n v="56787"/>
    <n v="5512"/>
    <n v="5453"/>
    <n v="8.3735726724317985"/>
    <n v="336351"/>
    <n v="1504760"/>
    <n v="347.37788798011604"/>
    <d v="2026-03-03T00:00:00"/>
    <d v="2026-03-17T00:00:00"/>
    <x v="1"/>
    <n v="14"/>
    <x v="9"/>
    <x v="1"/>
    <n v="0.4157013139014506"/>
    <n v="1.8597557584379021"/>
  </r>
  <r>
    <s v="C0720"/>
    <x v="11"/>
    <x v="4"/>
    <x v="0"/>
    <n v="1979294"/>
    <n v="768669"/>
    <n v="2165311"/>
    <n v="55961"/>
    <n v="2730"/>
    <n v="3057"/>
    <n v="8.0331065777337187"/>
    <n v="223562"/>
    <n v="724086"/>
    <n v="223.88599135810199"/>
    <d v="2026-02-03T00:00:00"/>
    <d v="2026-02-21T00:00:00"/>
    <x v="3"/>
    <n v="18"/>
    <x v="1"/>
    <x v="1"/>
    <n v="0.29084300264483154"/>
    <n v="0.94199974241188345"/>
  </r>
  <r>
    <s v="C0721"/>
    <x v="2"/>
    <x v="4"/>
    <x v="3"/>
    <n v="1686851"/>
    <n v="452888"/>
    <n v="669735"/>
    <n v="19892"/>
    <n v="825"/>
    <n v="1686"/>
    <n v="4.9466976382681809"/>
    <n v="222325"/>
    <n v="744740"/>
    <n v="234.97807264140334"/>
    <d v="2025-08-08T00:00:00"/>
    <d v="2025-09-06T00:00:00"/>
    <x v="5"/>
    <n v="29"/>
    <x v="3"/>
    <x v="0"/>
    <n v="0.49090503612372155"/>
    <n v="1.6444242285068273"/>
  </r>
  <r>
    <s v="C0722"/>
    <x v="8"/>
    <x v="3"/>
    <x v="2"/>
    <n v="498621"/>
    <n v="265156"/>
    <n v="296537"/>
    <n v="18040"/>
    <n v="1297"/>
    <n v="1272"/>
    <n v="7.7724056781668143"/>
    <n v="146113"/>
    <n v="665390"/>
    <n v="355.39411277572839"/>
    <d v="2025-07-02T00:00:00"/>
    <d v="2025-07-16T00:00:00"/>
    <x v="2"/>
    <n v="14"/>
    <x v="7"/>
    <x v="0"/>
    <n v="0.55104542231742826"/>
    <n v="2.509428411953718"/>
  </r>
  <r>
    <s v="C0723"/>
    <x v="8"/>
    <x v="1"/>
    <x v="0"/>
    <n v="316283"/>
    <n v="199667"/>
    <n v="447292"/>
    <n v="20035"/>
    <n v="1741"/>
    <n v="1955"/>
    <n v="11.885289006195315"/>
    <n v="27045"/>
    <n v="96534"/>
    <n v="256.93843594009979"/>
    <d v="2025-03-19T00:00:00"/>
    <d v="2025-03-31T00:00:00"/>
    <x v="0"/>
    <n v="12"/>
    <x v="9"/>
    <x v="0"/>
    <n v="0.13545052512433201"/>
    <n v="0.48347498585144266"/>
  </r>
  <r>
    <s v="C0724"/>
    <x v="8"/>
    <x v="2"/>
    <x v="6"/>
    <n v="1470687"/>
    <n v="923155"/>
    <n v="1147708"/>
    <n v="106521"/>
    <n v="10063"/>
    <n v="7332"/>
    <n v="13.423097962963965"/>
    <n v="21937"/>
    <n v="103437"/>
    <n v="371.51843916670464"/>
    <d v="2025-07-11T00:00:00"/>
    <d v="2025-08-02T00:00:00"/>
    <x v="2"/>
    <n v="22"/>
    <x v="7"/>
    <x v="0"/>
    <n v="2.3763073373377169E-2"/>
    <n v="0.11204727266818681"/>
  </r>
  <r>
    <s v="C0725"/>
    <x v="2"/>
    <x v="2"/>
    <x v="6"/>
    <n v="179961"/>
    <n v="128815"/>
    <n v="190558"/>
    <n v="8998"/>
    <n v="1101"/>
    <n v="711"/>
    <n v="8.3918798276598228"/>
    <n v="380783"/>
    <n v="914995"/>
    <n v="140.29302778748001"/>
    <d v="2025-04-02T00:00:00"/>
    <d v="2025-04-15T00:00:00"/>
    <x v="5"/>
    <n v="13"/>
    <x v="2"/>
    <x v="0"/>
    <n v="2.9560454915964756"/>
    <n v="7.1031712145324688"/>
  </r>
  <r>
    <s v="C0726"/>
    <x v="11"/>
    <x v="2"/>
    <x v="5"/>
    <n v="571578"/>
    <n v="277979"/>
    <n v="557622"/>
    <n v="35968"/>
    <n v="4169"/>
    <n v="1833"/>
    <n v="15.098262818414341"/>
    <n v="112940"/>
    <n v="514963"/>
    <n v="355.96157251638039"/>
    <d v="2026-02-17T00:00:00"/>
    <d v="2026-03-17T00:00:00"/>
    <x v="4"/>
    <n v="28"/>
    <x v="1"/>
    <x v="1"/>
    <n v="0.40628968375308927"/>
    <n v="1.8525248310124145"/>
  </r>
  <r>
    <s v="C0727"/>
    <x v="2"/>
    <x v="4"/>
    <x v="6"/>
    <n v="1907772"/>
    <n v="1566766"/>
    <n v="2489435"/>
    <n v="162053"/>
    <n v="18343"/>
    <n v="15461"/>
    <n v="12.500718039579617"/>
    <n v="269690"/>
    <n v="599877"/>
    <n v="122.432051614817"/>
    <d v="2025-05-19T00:00:00"/>
    <d v="2025-06-05T00:00:00"/>
    <x v="5"/>
    <n v="17"/>
    <x v="4"/>
    <x v="0"/>
    <n v="0.17213163931308184"/>
    <n v="0.38287593680230486"/>
  </r>
  <r>
    <s v="C0728"/>
    <x v="1"/>
    <x v="4"/>
    <x v="0"/>
    <n v="605506"/>
    <n v="279650"/>
    <n v="763245"/>
    <n v="14758"/>
    <n v="1029"/>
    <n v="581"/>
    <n v="5.8530305739316999"/>
    <n v="268592"/>
    <n v="1279762"/>
    <n v="376.47063203669506"/>
    <d v="2026-02-14T00:00:00"/>
    <d v="2026-03-04T00:00:00"/>
    <x v="4"/>
    <n v="18"/>
    <x v="1"/>
    <x v="1"/>
    <n v="0.96045771500089394"/>
    <n v="4.5762989451099587"/>
  </r>
  <r>
    <s v="C0729"/>
    <x v="8"/>
    <x v="3"/>
    <x v="3"/>
    <n v="518136"/>
    <n v="207333"/>
    <n v="433769"/>
    <n v="22585"/>
    <n v="871"/>
    <n v="1256"/>
    <n v="11.91899022345695"/>
    <n v="397085"/>
    <n v="1109702"/>
    <n v="179.46207990732464"/>
    <d v="2026-02-12T00:00:00"/>
    <d v="2026-03-10T00:00:00"/>
    <x v="4"/>
    <n v="26"/>
    <x v="1"/>
    <x v="1"/>
    <n v="1.9152040437364046"/>
    <n v="5.3522690550949434"/>
  </r>
  <r>
    <s v="C0730"/>
    <x v="4"/>
    <x v="1"/>
    <x v="2"/>
    <n v="839485"/>
    <n v="594413"/>
    <n v="664911"/>
    <n v="54399"/>
    <n v="2540"/>
    <n v="3271"/>
    <n v="10.129320859402471"/>
    <n v="473597"/>
    <n v="2185173"/>
    <n v="361.39924872834916"/>
    <d v="2026-05-07T00:00:00"/>
    <d v="2026-05-23T00:00:00"/>
    <x v="5"/>
    <n v="16"/>
    <x v="4"/>
    <x v="1"/>
    <n v="0.79674737934735618"/>
    <n v="3.6761864225715115"/>
  </r>
  <r>
    <s v="C0731"/>
    <x v="12"/>
    <x v="2"/>
    <x v="3"/>
    <n v="1246473"/>
    <n v="521364"/>
    <n v="880134"/>
    <n v="49389"/>
    <n v="1550"/>
    <n v="3869"/>
    <n v="10.512425100313791"/>
    <n v="103145"/>
    <n v="471419"/>
    <n v="357.04493673954141"/>
    <d v="2025-09-28T00:00:00"/>
    <d v="2025-10-24T00:00:00"/>
    <x v="4"/>
    <n v="26"/>
    <x v="11"/>
    <x v="0"/>
    <n v="0.19783682801267444"/>
    <n v="0.90420320543804333"/>
  </r>
  <r>
    <s v="C0732"/>
    <x v="11"/>
    <x v="1"/>
    <x v="1"/>
    <n v="1309128"/>
    <n v="704014"/>
    <n v="1941698"/>
    <n v="85255"/>
    <n v="3574"/>
    <n v="4169"/>
    <n v="13.20968048930845"/>
    <n v="328337"/>
    <n v="382415"/>
    <n v="16.470272920810022"/>
    <d v="2025-09-17T00:00:00"/>
    <d v="2025-10-01T00:00:00"/>
    <x v="0"/>
    <n v="14"/>
    <x v="11"/>
    <x v="0"/>
    <n v="0.46637850951827664"/>
    <n v="0.54319232287994268"/>
  </r>
  <r>
    <s v="C0733"/>
    <x v="12"/>
    <x v="0"/>
    <x v="2"/>
    <n v="444939"/>
    <n v="324020"/>
    <n v="444622"/>
    <n v="28163"/>
    <n v="2289"/>
    <n v="902"/>
    <n v="9.6765631751126477"/>
    <n v="186263"/>
    <n v="804528"/>
    <n v="331.93119406430691"/>
    <d v="2025-12-08T00:00:00"/>
    <d v="2026-01-06T00:00:00"/>
    <x v="0"/>
    <n v="29"/>
    <x v="5"/>
    <x v="0"/>
    <n v="0.57485031788161223"/>
    <n v="2.4829578421085117"/>
  </r>
  <r>
    <s v="C0734"/>
    <x v="0"/>
    <x v="2"/>
    <x v="2"/>
    <n v="1167573"/>
    <n v="674477"/>
    <n v="1038793"/>
    <n v="48946"/>
    <n v="4014"/>
    <n v="2330"/>
    <n v="8.1974626265980906"/>
    <n v="160492"/>
    <n v="693840"/>
    <n v="332.3206141116068"/>
    <d v="2025-03-01T00:00:00"/>
    <d v="2025-03-12T00:00:00"/>
    <x v="7"/>
    <n v="11"/>
    <x v="9"/>
    <x v="0"/>
    <n v="0.23795029333839404"/>
    <n v="1.028708169440915"/>
  </r>
  <r>
    <s v="C0735"/>
    <x v="8"/>
    <x v="2"/>
    <x v="4"/>
    <n v="459087"/>
    <n v="243888"/>
    <n v="390620"/>
    <n v="25971"/>
    <n v="1454"/>
    <n v="697"/>
    <n v="11.530702617594962"/>
    <n v="334509"/>
    <n v="459542"/>
    <n v="37.378067555730937"/>
    <d v="2025-11-19T00:00:00"/>
    <d v="2025-12-19T00:00:00"/>
    <x v="5"/>
    <n v="30"/>
    <x v="6"/>
    <x v="0"/>
    <n v="1.3715680968313324"/>
    <n v="1.884233746637801"/>
  </r>
  <r>
    <s v="C0736"/>
    <x v="1"/>
    <x v="2"/>
    <x v="5"/>
    <n v="325420"/>
    <n v="250607"/>
    <n v="383104"/>
    <n v="28871"/>
    <n v="3293"/>
    <n v="1532"/>
    <n v="13.44575370999214"/>
    <n v="377628"/>
    <n v="917288"/>
    <n v="142.90783522408296"/>
    <d v="2025-05-13T00:00:00"/>
    <d v="2025-06-08T00:00:00"/>
    <x v="3"/>
    <n v="26"/>
    <x v="4"/>
    <x v="0"/>
    <n v="1.5068533600418184"/>
    <n v="3.6602648768789381"/>
  </r>
  <r>
    <s v="C0737"/>
    <x v="11"/>
    <x v="3"/>
    <x v="6"/>
    <n v="1714304"/>
    <n v="592606"/>
    <n v="703684"/>
    <n v="13597"/>
    <n v="747"/>
    <n v="900"/>
    <n v="2.5723668002011455"/>
    <n v="498818"/>
    <n v="1261337"/>
    <n v="152.86517326960936"/>
    <d v="2025-07-21T00:00:00"/>
    <d v="2025-08-01T00:00:00"/>
    <x v="3"/>
    <n v="11"/>
    <x v="7"/>
    <x v="0"/>
    <n v="0.84173633071551757"/>
    <n v="2.1284580311370456"/>
  </r>
  <r>
    <s v="C0738"/>
    <x v="7"/>
    <x v="4"/>
    <x v="6"/>
    <n v="1005392"/>
    <n v="551810"/>
    <n v="999045"/>
    <n v="75604"/>
    <n v="3049"/>
    <n v="2541"/>
    <n v="14.714122614668094"/>
    <n v="345838"/>
    <n v="1139173"/>
    <n v="229.39497683886674"/>
    <d v="2025-12-26T00:00:00"/>
    <d v="2026-01-04T00:00:00"/>
    <x v="4"/>
    <n v="9"/>
    <x v="5"/>
    <x v="0"/>
    <n v="0.62673383954622064"/>
    <n v="2.0644297856146139"/>
  </r>
  <r>
    <s v="C0739"/>
    <x v="13"/>
    <x v="4"/>
    <x v="5"/>
    <n v="1981477"/>
    <n v="1537000"/>
    <n v="3059570"/>
    <n v="98938"/>
    <n v="13525"/>
    <n v="4590"/>
    <n v="7.6156798959011063"/>
    <n v="127829"/>
    <n v="506508"/>
    <n v="296.23872517190938"/>
    <d v="2026-03-15T00:00:00"/>
    <d v="2026-03-25T00:00:00"/>
    <x v="4"/>
    <n v="10"/>
    <x v="9"/>
    <x v="1"/>
    <n v="8.3167859466493174E-2"/>
    <n v="0.32954326610279766"/>
  </r>
  <r>
    <s v="C0740"/>
    <x v="10"/>
    <x v="1"/>
    <x v="3"/>
    <n v="216013"/>
    <n v="125034"/>
    <n v="280779"/>
    <n v="4803"/>
    <n v="229"/>
    <n v="236"/>
    <n v="4.2132539949133836"/>
    <n v="329261"/>
    <n v="982522"/>
    <n v="198.40217942604804"/>
    <d v="2025-11-11T00:00:00"/>
    <d v="2025-12-03T00:00:00"/>
    <x v="5"/>
    <n v="22"/>
    <x v="6"/>
    <x v="0"/>
    <n v="2.6333717228913733"/>
    <n v="7.8580386134971292"/>
  </r>
  <r>
    <s v="C0741"/>
    <x v="10"/>
    <x v="0"/>
    <x v="2"/>
    <n v="1288541"/>
    <n v="572199"/>
    <n v="1576626"/>
    <n v="37264"/>
    <n v="5486"/>
    <n v="1731"/>
    <n v="7.7736941169068805"/>
    <n v="314046"/>
    <n v="1421246"/>
    <n v="352.55981607789943"/>
    <d v="2025-01-10T00:00:00"/>
    <d v="2025-01-21T00:00:00"/>
    <x v="3"/>
    <n v="11"/>
    <x v="10"/>
    <x v="0"/>
    <n v="0.54884052576114251"/>
    <n v="2.4838316739456028"/>
  </r>
  <r>
    <s v="C0742"/>
    <x v="11"/>
    <x v="2"/>
    <x v="1"/>
    <n v="1782677"/>
    <n v="818480"/>
    <n v="1280701"/>
    <n v="68839"/>
    <n v="4241"/>
    <n v="5700"/>
    <n v="9.6251588310038123"/>
    <n v="375860"/>
    <n v="1355061"/>
    <n v="260.52280104294152"/>
    <d v="2025-11-28T00:00:00"/>
    <d v="2025-12-22T00:00:00"/>
    <x v="0"/>
    <n v="24"/>
    <x v="6"/>
    <x v="0"/>
    <n v="0.45921708532890237"/>
    <n v="1.6555822988955136"/>
  </r>
  <r>
    <s v="C0743"/>
    <x v="2"/>
    <x v="3"/>
    <x v="5"/>
    <n v="1669054"/>
    <n v="865620"/>
    <n v="2384179"/>
    <n v="72557"/>
    <n v="6901"/>
    <n v="4463"/>
    <n v="9.6949007647697609"/>
    <n v="338069"/>
    <n v="1292167"/>
    <n v="282.21990185435521"/>
    <d v="2026-04-16T00:00:00"/>
    <d v="2026-04-26T00:00:00"/>
    <x v="3"/>
    <n v="10"/>
    <x v="2"/>
    <x v="1"/>
    <n v="0.39055128116263488"/>
    <n v="1.4927647235507497"/>
  </r>
  <r>
    <s v="C0744"/>
    <x v="11"/>
    <x v="4"/>
    <x v="3"/>
    <n v="895751"/>
    <n v="400392"/>
    <n v="1102330"/>
    <n v="39319"/>
    <n v="3261"/>
    <n v="3244"/>
    <n v="11.444784111570661"/>
    <n v="126141"/>
    <n v="402543"/>
    <n v="219.12145931933313"/>
    <d v="2025-10-17T00:00:00"/>
    <d v="2025-11-07T00:00:00"/>
    <x v="7"/>
    <n v="21"/>
    <x v="8"/>
    <x v="0"/>
    <n v="0.31504375711802435"/>
    <n v="1.0053722352094947"/>
  </r>
  <r>
    <s v="C0745"/>
    <x v="10"/>
    <x v="4"/>
    <x v="5"/>
    <n v="70943"/>
    <n v="57050"/>
    <n v="140035"/>
    <n v="7318"/>
    <n v="905"/>
    <n v="289"/>
    <n v="14.920245398773005"/>
    <n v="493995"/>
    <n v="1846304"/>
    <n v="273.74953187785303"/>
    <d v="2025-02-10T00:00:00"/>
    <d v="2025-02-27T00:00:00"/>
    <x v="7"/>
    <n v="17"/>
    <x v="1"/>
    <x v="0"/>
    <n v="8.6589833479404028"/>
    <n v="32.362909728308502"/>
  </r>
  <r>
    <s v="C0746"/>
    <x v="11"/>
    <x v="3"/>
    <x v="1"/>
    <n v="86987"/>
    <n v="73096"/>
    <n v="103458"/>
    <n v="8618"/>
    <n v="653"/>
    <n v="415"/>
    <n v="13.251067089854438"/>
    <n v="147975"/>
    <n v="546205"/>
    <n v="269.11978374725459"/>
    <d v="2025-08-30T00:00:00"/>
    <d v="2025-09-15T00:00:00"/>
    <x v="5"/>
    <n v="16"/>
    <x v="3"/>
    <x v="0"/>
    <n v="2.02439257962132"/>
    <n v="7.4724335120936853"/>
  </r>
  <r>
    <s v="C0747"/>
    <x v="9"/>
    <x v="0"/>
    <x v="7"/>
    <n v="72227"/>
    <n v="42428"/>
    <n v="99820"/>
    <n v="4957"/>
    <n v="160"/>
    <n v="458"/>
    <n v="13.139907608183274"/>
    <n v="193477"/>
    <n v="480162"/>
    <n v="148.17523529928621"/>
    <d v="2026-02-14T00:00:00"/>
    <d v="2026-03-10T00:00:00"/>
    <x v="0"/>
    <n v="24"/>
    <x v="1"/>
    <x v="1"/>
    <n v="4.5601253888941269"/>
    <n v="11.31710191383049"/>
  </r>
  <r>
    <s v="C0748"/>
    <x v="9"/>
    <x v="4"/>
    <x v="5"/>
    <n v="1654873"/>
    <n v="1238030"/>
    <n v="1503428"/>
    <n v="92309"/>
    <n v="4504"/>
    <n v="8562"/>
    <n v="8.5115061832104217"/>
    <n v="368552"/>
    <n v="560782"/>
    <n v="52.158175779808545"/>
    <d v="2025-11-05T00:00:00"/>
    <d v="2025-11-25T00:00:00"/>
    <x v="3"/>
    <n v="20"/>
    <x v="6"/>
    <x v="0"/>
    <n v="0.29769230147896253"/>
    <n v="0.45296317536731745"/>
  </r>
  <r>
    <s v="C0749"/>
    <x v="9"/>
    <x v="2"/>
    <x v="6"/>
    <n v="1074103"/>
    <n v="361199"/>
    <n v="641006"/>
    <n v="17839"/>
    <n v="1427"/>
    <n v="1311"/>
    <n v="5.6968596258572148"/>
    <n v="464320"/>
    <n v="1966917"/>
    <n v="323.61237939352173"/>
    <d v="2025-09-04T00:00:00"/>
    <d v="2025-09-14T00:00:00"/>
    <x v="5"/>
    <n v="10"/>
    <x v="11"/>
    <x v="0"/>
    <n v="1.2854963607318957"/>
    <n v="5.4455217207135123"/>
  </r>
  <r>
    <s v="C0750"/>
    <x v="4"/>
    <x v="0"/>
    <x v="2"/>
    <n v="1833200"/>
    <n v="1172004"/>
    <n v="2653445"/>
    <n v="104719"/>
    <n v="13748"/>
    <n v="8367"/>
    <n v="10.821976716803015"/>
    <n v="173725"/>
    <n v="773690"/>
    <n v="345.3532882429127"/>
    <d v="2026-01-16T00:00:00"/>
    <d v="2026-01-23T00:00:00"/>
    <x v="3"/>
    <n v="7"/>
    <x v="10"/>
    <x v="1"/>
    <n v="0.14822901628322088"/>
    <n v="0.66014279814744659"/>
  </r>
  <r>
    <s v="C0751"/>
    <x v="6"/>
    <x v="3"/>
    <x v="7"/>
    <n v="899403"/>
    <n v="493745"/>
    <n v="1240690"/>
    <n v="12562"/>
    <n v="799"/>
    <n v="368"/>
    <n v="2.7805851198493148"/>
    <n v="412314"/>
    <n v="1102948"/>
    <n v="167.50195239550442"/>
    <d v="2025-01-18T00:00:00"/>
    <d v="2025-01-29T00:00:00"/>
    <x v="4"/>
    <n v="11"/>
    <x v="10"/>
    <x v="0"/>
    <n v="0.83507478556744874"/>
    <n v="2.2338413553554974"/>
  </r>
  <r>
    <s v="C0752"/>
    <x v="11"/>
    <x v="0"/>
    <x v="6"/>
    <n v="646365"/>
    <n v="360631"/>
    <n v="441722"/>
    <n v="23118"/>
    <n v="1844"/>
    <n v="1603"/>
    <n v="7.3662552581447525"/>
    <n v="160903"/>
    <n v="712503"/>
    <n v="342.81523650895258"/>
    <d v="2026-04-08T00:00:00"/>
    <d v="2026-05-04T00:00:00"/>
    <x v="6"/>
    <n v="26"/>
    <x v="2"/>
    <x v="1"/>
    <n v="0.4461707396202767"/>
    <n v="1.9757120158832713"/>
  </r>
  <r>
    <s v="C0753"/>
    <x v="13"/>
    <x v="3"/>
    <x v="1"/>
    <n v="592841"/>
    <n v="255719"/>
    <n v="342705"/>
    <n v="8122"/>
    <n v="508"/>
    <n v="583"/>
    <n v="3.6027827419941421"/>
    <n v="95639"/>
    <n v="307279"/>
    <n v="221.2904777339788"/>
    <d v="2026-05-02T00:00:00"/>
    <d v="2026-05-10T00:00:00"/>
    <x v="0"/>
    <n v="8"/>
    <x v="4"/>
    <x v="1"/>
    <n v="0.37400036759098854"/>
    <n v="1.201627567759924"/>
  </r>
  <r>
    <s v="C0754"/>
    <x v="3"/>
    <x v="0"/>
    <x v="2"/>
    <n v="1156711"/>
    <n v="386255"/>
    <n v="956218"/>
    <n v="49688"/>
    <n v="5656"/>
    <n v="3891"/>
    <n v="15.335723809400525"/>
    <n v="326718"/>
    <n v="949994"/>
    <n v="190.76879755630239"/>
    <d v="2025-03-29T00:00:00"/>
    <d v="2025-04-17T00:00:00"/>
    <x v="5"/>
    <n v="19"/>
    <x v="9"/>
    <x v="0"/>
    <n v="0.84586089500459538"/>
    <n v="2.4594995534038393"/>
  </r>
  <r>
    <s v="C0755"/>
    <x v="1"/>
    <x v="1"/>
    <x v="2"/>
    <n v="485048"/>
    <n v="242268"/>
    <n v="521826"/>
    <n v="32209"/>
    <n v="3520"/>
    <n v="2308"/>
    <n v="15.700381395809599"/>
    <n v="111311"/>
    <n v="177630"/>
    <n v="59.579915731598852"/>
    <d v="2025-03-20T00:00:00"/>
    <d v="2025-04-18T00:00:00"/>
    <x v="7"/>
    <n v="29"/>
    <x v="9"/>
    <x v="0"/>
    <n v="0.459453993098552"/>
    <n v="0.73319629501213535"/>
  </r>
  <r>
    <s v="C0756"/>
    <x v="4"/>
    <x v="4"/>
    <x v="5"/>
    <n v="679492"/>
    <n v="199131"/>
    <n v="549235"/>
    <n v="11522"/>
    <n v="600"/>
    <n v="907"/>
    <n v="6.5429290266206666"/>
    <n v="363229"/>
    <n v="1604162"/>
    <n v="341.63929642181654"/>
    <d v="2025-11-20T00:00:00"/>
    <d v="2025-11-27T00:00:00"/>
    <x v="3"/>
    <n v="7"/>
    <x v="6"/>
    <x v="0"/>
    <n v="1.824070586699208"/>
    <n v="8.0558125053356839"/>
  </r>
  <r>
    <s v="C0757"/>
    <x v="12"/>
    <x v="1"/>
    <x v="3"/>
    <n v="1358631"/>
    <n v="663122"/>
    <n v="1309231"/>
    <n v="45368"/>
    <n v="1427"/>
    <n v="4113"/>
    <n v="7.6770187084729509"/>
    <n v="303949"/>
    <n v="1291927"/>
    <n v="325.04729411842118"/>
    <d v="2025-12-09T00:00:00"/>
    <d v="2026-01-06T00:00:00"/>
    <x v="3"/>
    <n v="28"/>
    <x v="5"/>
    <x v="0"/>
    <n v="0.45836060332789441"/>
    <n v="1.9482493417500852"/>
  </r>
  <r>
    <s v="C0758"/>
    <x v="7"/>
    <x v="3"/>
    <x v="2"/>
    <n v="1593262"/>
    <n v="1005391"/>
    <n v="2886531"/>
    <n v="54031"/>
    <n v="6488"/>
    <n v="2393"/>
    <n v="6.2574660007897425"/>
    <n v="457015"/>
    <n v="529619"/>
    <n v="15.886568274564292"/>
    <d v="2026-02-08T00:00:00"/>
    <d v="2026-02-28T00:00:00"/>
    <x v="6"/>
    <n v="20"/>
    <x v="1"/>
    <x v="1"/>
    <n v="0.45456444308731631"/>
    <n v="0.52677913369027574"/>
  </r>
  <r>
    <s v="C0759"/>
    <x v="11"/>
    <x v="3"/>
    <x v="1"/>
    <n v="1060259"/>
    <n v="477083"/>
    <n v="634517"/>
    <n v="40505"/>
    <n v="3609"/>
    <n v="2621"/>
    <n v="9.795989377110482"/>
    <n v="275350"/>
    <n v="730000"/>
    <n v="165.11712366079536"/>
    <d v="2025-12-05T00:00:00"/>
    <d v="2026-01-04T00:00:00"/>
    <x v="0"/>
    <n v="30"/>
    <x v="5"/>
    <x v="0"/>
    <n v="0.57715324167912085"/>
    <n v="1.5301320734547239"/>
  </r>
  <r>
    <s v="C0760"/>
    <x v="8"/>
    <x v="4"/>
    <x v="5"/>
    <n v="1838758"/>
    <n v="673968"/>
    <n v="1670472"/>
    <n v="40107"/>
    <n v="1448"/>
    <n v="3549"/>
    <n v="6.692305866153883"/>
    <n v="147258"/>
    <n v="488108"/>
    <n v="231.46450447513888"/>
    <d v="2026-02-22T00:00:00"/>
    <d v="2026-03-04T00:00:00"/>
    <x v="2"/>
    <n v="10"/>
    <x v="1"/>
    <x v="1"/>
    <n v="0.21849405313011894"/>
    <n v="0.72423023051539537"/>
  </r>
  <r>
    <s v="C0761"/>
    <x v="11"/>
    <x v="1"/>
    <x v="7"/>
    <n v="1566474"/>
    <n v="1121397"/>
    <n v="2374199"/>
    <n v="153924"/>
    <n v="13682"/>
    <n v="12935"/>
    <n v="16.0996507035421"/>
    <n v="398480"/>
    <n v="1528497"/>
    <n v="283.58186107207388"/>
    <d v="2026-04-07T00:00:00"/>
    <d v="2026-04-15T00:00:00"/>
    <x v="7"/>
    <n v="8"/>
    <x v="2"/>
    <x v="1"/>
    <n v="0.35534248798596751"/>
    <n v="1.3630293285963846"/>
  </r>
  <r>
    <s v="C0762"/>
    <x v="3"/>
    <x v="0"/>
    <x v="5"/>
    <n v="1282196"/>
    <n v="1070634"/>
    <n v="2668780"/>
    <n v="61428"/>
    <n v="7026"/>
    <n v="6089"/>
    <n v="6.9625100641302256"/>
    <n v="287264"/>
    <n v="1169604"/>
    <n v="307.15300211651999"/>
    <d v="2025-12-26T00:00:00"/>
    <d v="2026-01-17T00:00:00"/>
    <x v="5"/>
    <n v="22"/>
    <x v="5"/>
    <x v="0"/>
    <n v="0.26831204688063337"/>
    <n v="1.0924405539147832"/>
  </r>
  <r>
    <s v="C0763"/>
    <x v="1"/>
    <x v="2"/>
    <x v="6"/>
    <n v="1790538"/>
    <n v="1341985"/>
    <n v="1551266"/>
    <n v="85350"/>
    <n v="10305"/>
    <n v="1974"/>
    <n v="7.2749695413883169"/>
    <n v="252260"/>
    <n v="526855"/>
    <n v="108.85396019979385"/>
    <d v="2025-01-28T00:00:00"/>
    <d v="2025-02-04T00:00:00"/>
    <x v="2"/>
    <n v="7"/>
    <x v="10"/>
    <x v="0"/>
    <n v="0.18797527543154358"/>
    <n v="0.39259380693524892"/>
  </r>
  <r>
    <s v="C0764"/>
    <x v="4"/>
    <x v="4"/>
    <x v="3"/>
    <n v="1036194"/>
    <n v="337696"/>
    <n v="967707"/>
    <n v="12367"/>
    <n v="1787"/>
    <n v="378"/>
    <n v="4.3032786885245899"/>
    <n v="251670"/>
    <n v="756726"/>
    <n v="200.68184527357255"/>
    <d v="2025-02-07T00:00:00"/>
    <d v="2025-02-23T00:00:00"/>
    <x v="0"/>
    <n v="16"/>
    <x v="1"/>
    <x v="0"/>
    <n v="0.74525608831611867"/>
    <n v="2.2408497583625508"/>
  </r>
  <r>
    <s v="C0765"/>
    <x v="5"/>
    <x v="3"/>
    <x v="0"/>
    <n v="89832"/>
    <n v="69497"/>
    <n v="128006"/>
    <n v="6647"/>
    <n v="269"/>
    <n v="257"/>
    <n v="10.321308833474827"/>
    <n v="484118"/>
    <n v="794311"/>
    <n v="64.073841501452122"/>
    <d v="2025-05-17T00:00:00"/>
    <d v="2025-06-12T00:00:00"/>
    <x v="4"/>
    <n v="26"/>
    <x v="4"/>
    <x v="0"/>
    <n v="6.9660273105313895"/>
    <n v="11.429428608429141"/>
  </r>
  <r>
    <s v="C0766"/>
    <x v="8"/>
    <x v="4"/>
    <x v="4"/>
    <n v="1221322"/>
    <n v="849604"/>
    <n v="1552980"/>
    <n v="55215"/>
    <n v="2138"/>
    <n v="2797"/>
    <n v="7.0797689276415827"/>
    <n v="17281"/>
    <n v="65804"/>
    <n v="280.78814883397956"/>
    <d v="2026-03-14T00:00:00"/>
    <d v="2026-03-30T00:00:00"/>
    <x v="0"/>
    <n v="16"/>
    <x v="9"/>
    <x v="1"/>
    <n v="2.0340064312314915E-2"/>
    <n v="7.7452554366504861E-2"/>
  </r>
  <r>
    <s v="C0767"/>
    <x v="0"/>
    <x v="0"/>
    <x v="1"/>
    <n v="630032"/>
    <n v="326676"/>
    <n v="478124"/>
    <n v="39336"/>
    <n v="4776"/>
    <n v="2024"/>
    <n v="14.122861795785427"/>
    <n v="100647"/>
    <n v="151833"/>
    <n v="50.856955497928404"/>
    <d v="2025-11-14T00:00:00"/>
    <d v="2025-12-03T00:00:00"/>
    <x v="5"/>
    <n v="19"/>
    <x v="6"/>
    <x v="0"/>
    <n v="0.30809425853138889"/>
    <n v="0.46478161848436983"/>
  </r>
  <r>
    <s v="C0768"/>
    <x v="14"/>
    <x v="3"/>
    <x v="0"/>
    <n v="1365207"/>
    <n v="963339"/>
    <n v="1091545"/>
    <n v="129438"/>
    <n v="11373"/>
    <n v="6190"/>
    <n v="15.259529615223716"/>
    <n v="142457"/>
    <n v="199336"/>
    <n v="39.927135907677403"/>
    <d v="2025-11-25T00:00:00"/>
    <d v="2025-12-23T00:00:00"/>
    <x v="2"/>
    <n v="28"/>
    <x v="6"/>
    <x v="0"/>
    <n v="0.14787836888156713"/>
    <n v="0.20692196620296696"/>
  </r>
  <r>
    <s v="C0769"/>
    <x v="0"/>
    <x v="1"/>
    <x v="7"/>
    <n v="452099"/>
    <n v="280606"/>
    <n v="794747"/>
    <n v="19046"/>
    <n v="2828"/>
    <n v="1670"/>
    <n v="8.3904121793546818"/>
    <n v="54435"/>
    <n v="108662"/>
    <n v="99.617892899788743"/>
    <d v="2025-06-08T00:00:00"/>
    <d v="2025-06-18T00:00:00"/>
    <x v="4"/>
    <n v="10"/>
    <x v="0"/>
    <x v="0"/>
    <n v="0.19399086263301568"/>
    <n v="0.38724047240614956"/>
  </r>
  <r>
    <s v="C0770"/>
    <x v="3"/>
    <x v="0"/>
    <x v="4"/>
    <n v="1857533"/>
    <n v="1446820"/>
    <n v="1699859"/>
    <n v="110298"/>
    <n v="12378"/>
    <n v="4077"/>
    <n v="8.7607995465918354"/>
    <n v="240618"/>
    <n v="304947"/>
    <n v="26.734907612896791"/>
    <d v="2025-08-07T00:00:00"/>
    <d v="2025-08-27T00:00:00"/>
    <x v="0"/>
    <n v="20"/>
    <x v="3"/>
    <x v="0"/>
    <n v="0.16630817931739955"/>
    <n v="0.21077051741059705"/>
  </r>
  <r>
    <s v="C0771"/>
    <x v="7"/>
    <x v="2"/>
    <x v="1"/>
    <n v="354565"/>
    <n v="282546"/>
    <n v="731208"/>
    <n v="19001"/>
    <n v="1927"/>
    <n v="1619"/>
    <n v="7.9799395496662484"/>
    <n v="56796"/>
    <n v="204882"/>
    <n v="260.73315022184664"/>
    <d v="2025-07-15T00:00:00"/>
    <d v="2025-07-31T00:00:00"/>
    <x v="0"/>
    <n v="16"/>
    <x v="7"/>
    <x v="0"/>
    <n v="0.20101505595549043"/>
    <n v="0.72512794376844836"/>
  </r>
  <r>
    <s v="C0772"/>
    <x v="7"/>
    <x v="4"/>
    <x v="6"/>
    <n v="332359"/>
    <n v="181540"/>
    <n v="283575"/>
    <n v="16600"/>
    <n v="2208"/>
    <n v="487"/>
    <n v="10.628511622782858"/>
    <n v="134396"/>
    <n v="637480"/>
    <n v="374.32959314265304"/>
    <d v="2025-01-09T00:00:00"/>
    <d v="2025-01-24T00:00:00"/>
    <x v="3"/>
    <n v="15"/>
    <x v="10"/>
    <x v="0"/>
    <n v="0.74031067533325989"/>
    <n v="3.5115126142998787"/>
  </r>
  <r>
    <s v="C0773"/>
    <x v="8"/>
    <x v="0"/>
    <x v="6"/>
    <n v="1102352"/>
    <n v="631452"/>
    <n v="825920"/>
    <n v="35784"/>
    <n v="3492"/>
    <n v="1015"/>
    <n v="6.3806908521946246"/>
    <n v="349009"/>
    <n v="1092637"/>
    <n v="213.06843090006274"/>
    <d v="2025-08-27T00:00:00"/>
    <d v="2025-09-26T00:00:00"/>
    <x v="5"/>
    <n v="30"/>
    <x v="3"/>
    <x v="0"/>
    <n v="0.5527086777775666"/>
    <n v="1.7303563849667116"/>
  </r>
  <r>
    <s v="C0774"/>
    <x v="3"/>
    <x v="1"/>
    <x v="1"/>
    <n v="251967"/>
    <n v="135388"/>
    <n v="240167"/>
    <n v="17160"/>
    <n v="1947"/>
    <n v="1470"/>
    <n v="15.19854049103318"/>
    <n v="348111"/>
    <n v="840884"/>
    <n v="141.55628520787911"/>
    <d v="2025-02-05T00:00:00"/>
    <d v="2025-02-18T00:00:00"/>
    <x v="0"/>
    <n v="13"/>
    <x v="1"/>
    <x v="0"/>
    <n v="2.5712101515643928"/>
    <n v="6.210919727006825"/>
  </r>
  <r>
    <s v="C0775"/>
    <x v="14"/>
    <x v="2"/>
    <x v="0"/>
    <n v="139816"/>
    <n v="103345"/>
    <n v="198537"/>
    <n v="4817"/>
    <n v="283"/>
    <n v="430"/>
    <n v="5.3510087570758138"/>
    <n v="49953"/>
    <n v="240056"/>
    <n v="380.56372990611175"/>
    <d v="2026-02-21T00:00:00"/>
    <d v="2026-03-21T00:00:00"/>
    <x v="3"/>
    <n v="28"/>
    <x v="1"/>
    <x v="1"/>
    <n v="0.48336155595336011"/>
    <n v="2.3228603222216848"/>
  </r>
  <r>
    <s v="C0776"/>
    <x v="0"/>
    <x v="4"/>
    <x v="0"/>
    <n v="607340"/>
    <n v="325523"/>
    <n v="415415"/>
    <n v="42780"/>
    <n v="3613"/>
    <n v="2082"/>
    <n v="14.891420882702604"/>
    <n v="146579"/>
    <n v="164685"/>
    <n v="12.352383356415311"/>
    <d v="2025-08-28T00:00:00"/>
    <d v="2025-09-14T00:00:00"/>
    <x v="4"/>
    <n v="17"/>
    <x v="3"/>
    <x v="0"/>
    <n v="0.45028769088512949"/>
    <n v="0.50590895267001101"/>
  </r>
  <r>
    <s v="C0777"/>
    <x v="5"/>
    <x v="1"/>
    <x v="4"/>
    <n v="1789647"/>
    <n v="832410"/>
    <n v="1367343"/>
    <n v="52348"/>
    <n v="4371"/>
    <n v="3166"/>
    <n v="7.1941711416249206"/>
    <n v="175380"/>
    <n v="220574"/>
    <n v="25.769186908427415"/>
    <d v="2025-04-06T00:00:00"/>
    <d v="2025-04-17T00:00:00"/>
    <x v="1"/>
    <n v="11"/>
    <x v="2"/>
    <x v="0"/>
    <n v="0.21068944390384545"/>
    <n v="0.26498240049975375"/>
  </r>
  <r>
    <s v="C0778"/>
    <x v="0"/>
    <x v="2"/>
    <x v="5"/>
    <n v="1512356"/>
    <n v="1100747"/>
    <n v="2631522"/>
    <n v="36627"/>
    <n v="5439"/>
    <n v="1292"/>
    <n v="3.9389614507239177"/>
    <n v="365369"/>
    <n v="1564506"/>
    <n v="328.19888934200765"/>
    <d v="2026-03-05T00:00:00"/>
    <d v="2026-03-13T00:00:00"/>
    <x v="3"/>
    <n v="8"/>
    <x v="9"/>
    <x v="1"/>
    <n v="0.33192822692226281"/>
    <n v="1.4213129810937482"/>
  </r>
  <r>
    <s v="C0779"/>
    <x v="13"/>
    <x v="4"/>
    <x v="6"/>
    <n v="834301"/>
    <n v="642715"/>
    <n v="1311244"/>
    <n v="46813"/>
    <n v="5680"/>
    <n v="3404"/>
    <n v="8.6970118948523059"/>
    <n v="15393"/>
    <n v="26438"/>
    <n v="71.753394400051974"/>
    <d v="2025-04-14T00:00:00"/>
    <d v="2025-05-13T00:00:00"/>
    <x v="5"/>
    <n v="29"/>
    <x v="2"/>
    <x v="0"/>
    <n v="2.3949962269435132E-2"/>
    <n v="4.1134873155286557E-2"/>
  </r>
  <r>
    <s v="C0780"/>
    <x v="0"/>
    <x v="3"/>
    <x v="6"/>
    <n v="386468"/>
    <n v="245692"/>
    <n v="423283"/>
    <n v="13951"/>
    <n v="2081"/>
    <n v="324"/>
    <n v="6.657115412793253"/>
    <n v="327897"/>
    <n v="402084"/>
    <n v="22.625092635797216"/>
    <d v="2025-12-02T00:00:00"/>
    <d v="2025-12-09T00:00:00"/>
    <x v="6"/>
    <n v="7"/>
    <x v="5"/>
    <x v="0"/>
    <n v="1.3345855786920209"/>
    <n v="1.636536802175081"/>
  </r>
  <r>
    <s v="C0781"/>
    <x v="14"/>
    <x v="0"/>
    <x v="4"/>
    <n v="463660"/>
    <n v="318617"/>
    <n v="593271"/>
    <n v="24883"/>
    <n v="1796"/>
    <n v="1802"/>
    <n v="8.9389455051048756"/>
    <n v="255504"/>
    <n v="823797"/>
    <n v="222.42039263573173"/>
    <d v="2026-03-31T00:00:00"/>
    <d v="2026-04-27T00:00:00"/>
    <x v="5"/>
    <n v="27"/>
    <x v="9"/>
    <x v="1"/>
    <n v="0.80191577976065309"/>
    <n v="2.5855400057121876"/>
  </r>
  <r>
    <s v="C0782"/>
    <x v="3"/>
    <x v="1"/>
    <x v="7"/>
    <n v="597576"/>
    <n v="313791"/>
    <n v="808517"/>
    <n v="37001"/>
    <n v="4062"/>
    <n v="1424"/>
    <n v="13.539903948806689"/>
    <n v="464096"/>
    <n v="2260470"/>
    <n v="387.06948562366404"/>
    <d v="2025-06-11T00:00:00"/>
    <d v="2025-06-30T00:00:00"/>
    <x v="2"/>
    <n v="19"/>
    <x v="0"/>
    <x v="0"/>
    <n v="1.4789971669040858"/>
    <n v="7.2037438932282951"/>
  </r>
  <r>
    <s v="C0783"/>
    <x v="1"/>
    <x v="3"/>
    <x v="2"/>
    <n v="665571"/>
    <n v="333241"/>
    <n v="917099"/>
    <n v="32866"/>
    <n v="2789"/>
    <n v="2559"/>
    <n v="11.467376463280329"/>
    <n v="343875"/>
    <n v="629557"/>
    <n v="83.077280988731374"/>
    <d v="2025-11-24T00:00:00"/>
    <d v="2025-12-08T00:00:00"/>
    <x v="6"/>
    <n v="14"/>
    <x v="6"/>
    <x v="0"/>
    <n v="1.0319108393024867"/>
    <n v="1.8891943068229899"/>
  </r>
  <r>
    <s v="C0784"/>
    <x v="1"/>
    <x v="0"/>
    <x v="7"/>
    <n v="452647"/>
    <n v="280561"/>
    <n v="493127"/>
    <n v="11745"/>
    <n v="805"/>
    <n v="432"/>
    <n v="4.6271577304044396"/>
    <n v="411179"/>
    <n v="624455"/>
    <n v="51.869380488789552"/>
    <d v="2025-09-26T00:00:00"/>
    <d v="2025-10-07T00:00:00"/>
    <x v="0"/>
    <n v="11"/>
    <x v="11"/>
    <x v="0"/>
    <n v="1.4655600742797465"/>
    <n v="2.2257370054996954"/>
  </r>
  <r>
    <s v="C0785"/>
    <x v="13"/>
    <x v="4"/>
    <x v="6"/>
    <n v="1138874"/>
    <n v="522388"/>
    <n v="1367795"/>
    <n v="66145"/>
    <n v="5859"/>
    <n v="4146"/>
    <n v="14.577287380261414"/>
    <n v="447144"/>
    <n v="1246491"/>
    <n v="178.76724276743064"/>
    <d v="2026-01-15T00:00:00"/>
    <d v="2026-02-14T00:00:00"/>
    <x v="6"/>
    <n v="30"/>
    <x v="10"/>
    <x v="1"/>
    <n v="0.8559614692527393"/>
    <n v="2.3861401869874501"/>
  </r>
  <r>
    <s v="C0786"/>
    <x v="1"/>
    <x v="3"/>
    <x v="5"/>
    <n v="1007188"/>
    <n v="716232"/>
    <n v="1374801"/>
    <n v="16688"/>
    <n v="1587"/>
    <n v="1106"/>
    <n v="2.7059667817131881"/>
    <n v="434985"/>
    <n v="506349"/>
    <n v="16.406082968378218"/>
    <d v="2025-12-24T00:00:00"/>
    <d v="2026-01-19T00:00:00"/>
    <x v="7"/>
    <n v="26"/>
    <x v="5"/>
    <x v="0"/>
    <n v="0.60732416312032977"/>
    <n v="0.70696226920885974"/>
  </r>
  <r>
    <s v="C0787"/>
    <x v="14"/>
    <x v="4"/>
    <x v="5"/>
    <n v="1201851"/>
    <n v="622117"/>
    <n v="1767096"/>
    <n v="35734"/>
    <n v="3075"/>
    <n v="2901"/>
    <n v="6.7045266404872388"/>
    <n v="348254"/>
    <n v="716352"/>
    <n v="105.69813986343301"/>
    <d v="2026-01-12T00:00:00"/>
    <d v="2026-02-08T00:00:00"/>
    <x v="6"/>
    <n v="27"/>
    <x v="10"/>
    <x v="1"/>
    <n v="0.55978859282096449"/>
    <n v="1.1514747226004112"/>
  </r>
  <r>
    <s v="C0788"/>
    <x v="12"/>
    <x v="1"/>
    <x v="4"/>
    <n v="1429446"/>
    <n v="831044"/>
    <n v="1135082"/>
    <n v="110216"/>
    <n v="4697"/>
    <n v="2847"/>
    <n v="14.170128176125452"/>
    <n v="178411"/>
    <n v="737440"/>
    <n v="313.33774262797698"/>
    <d v="2025-12-30T00:00:00"/>
    <d v="2026-01-25T00:00:00"/>
    <x v="0"/>
    <n v="26"/>
    <x v="5"/>
    <x v="0"/>
    <n v="0.21468297707461939"/>
    <n v="0.88736577124676908"/>
  </r>
  <r>
    <s v="C0789"/>
    <x v="14"/>
    <x v="4"/>
    <x v="5"/>
    <n v="353012"/>
    <n v="305115"/>
    <n v="444616"/>
    <n v="29160"/>
    <n v="2430"/>
    <n v="1944"/>
    <n v="10.990610097831965"/>
    <n v="462196"/>
    <n v="1906348"/>
    <n v="312.45445655090049"/>
    <d v="2026-05-13T00:00:00"/>
    <d v="2026-06-02T00:00:00"/>
    <x v="2"/>
    <n v="20"/>
    <x v="4"/>
    <x v="1"/>
    <n v="1.5148255575766514"/>
    <n v="6.2479655211969254"/>
  </r>
  <r>
    <s v="C0790"/>
    <x v="0"/>
    <x v="4"/>
    <x v="7"/>
    <n v="1375208"/>
    <n v="1019618"/>
    <n v="1602711"/>
    <n v="100263"/>
    <n v="13970"/>
    <n v="3587"/>
    <n v="11.555307968278317"/>
    <n v="459711"/>
    <n v="980390"/>
    <n v="113.26224519317572"/>
    <d v="2025-10-19T00:00:00"/>
    <d v="2025-11-07T00:00:00"/>
    <x v="7"/>
    <n v="19"/>
    <x v="8"/>
    <x v="0"/>
    <n v="0.45086591252802521"/>
    <n v="0.9615267678679662"/>
  </r>
  <r>
    <s v="C0791"/>
    <x v="2"/>
    <x v="0"/>
    <x v="1"/>
    <n v="608489"/>
    <n v="398064"/>
    <n v="847842"/>
    <n v="10238"/>
    <n v="1169"/>
    <n v="218"/>
    <n v="2.9203846617629323"/>
    <n v="90692"/>
    <n v="185405"/>
    <n v="104.43368764609889"/>
    <d v="2026-04-15T00:00:00"/>
    <d v="2026-05-08T00:00:00"/>
    <x v="1"/>
    <n v="23"/>
    <x v="2"/>
    <x v="1"/>
    <n v="0.22783271031793884"/>
    <n v="0.46576681136701636"/>
  </r>
  <r>
    <s v="C0792"/>
    <x v="14"/>
    <x v="0"/>
    <x v="3"/>
    <n v="1957289"/>
    <n v="787711"/>
    <n v="1831688"/>
    <n v="109552"/>
    <n v="4544"/>
    <n v="7085"/>
    <n v="15.383941572480261"/>
    <n v="396680"/>
    <n v="960279"/>
    <n v="142.07900574770596"/>
    <d v="2026-03-30T00:00:00"/>
    <d v="2026-04-28T00:00:00"/>
    <x v="3"/>
    <n v="29"/>
    <x v="9"/>
    <x v="1"/>
    <n v="0.50358570592514262"/>
    <n v="1.2190752699911516"/>
  </r>
  <r>
    <s v="C0793"/>
    <x v="4"/>
    <x v="2"/>
    <x v="4"/>
    <n v="296754"/>
    <n v="176809"/>
    <n v="249579"/>
    <n v="12869"/>
    <n v="947"/>
    <n v="1212"/>
    <n v="8.4995673297173795"/>
    <n v="306467"/>
    <n v="1351665"/>
    <n v="341.04748635252736"/>
    <d v="2026-02-27T00:00:00"/>
    <d v="2026-03-23T00:00:00"/>
    <x v="7"/>
    <n v="24"/>
    <x v="1"/>
    <x v="1"/>
    <n v="1.7333223987466702"/>
    <n v="7.6447748700575193"/>
  </r>
  <r>
    <s v="C0794"/>
    <x v="6"/>
    <x v="0"/>
    <x v="3"/>
    <n v="636519"/>
    <n v="252934"/>
    <n v="585149"/>
    <n v="20883"/>
    <n v="2510"/>
    <n v="1355"/>
    <n v="9.7843706263293981"/>
    <n v="307140"/>
    <n v="730374"/>
    <n v="137.79839812463374"/>
    <d v="2025-06-22T00:00:00"/>
    <d v="2025-07-15T00:00:00"/>
    <x v="5"/>
    <n v="23"/>
    <x v="0"/>
    <x v="0"/>
    <n v="1.2143088710889007"/>
    <n v="2.8876070437347292"/>
  </r>
  <r>
    <s v="C0795"/>
    <x v="9"/>
    <x v="1"/>
    <x v="3"/>
    <n v="863026"/>
    <n v="338536"/>
    <n v="588757"/>
    <n v="43672"/>
    <n v="6237"/>
    <n v="1767"/>
    <n v="15.264550889713355"/>
    <n v="175009"/>
    <n v="527424"/>
    <n v="201.3696438468879"/>
    <d v="2025-06-26T00:00:00"/>
    <d v="2025-07-15T00:00:00"/>
    <x v="1"/>
    <n v="19"/>
    <x v="0"/>
    <x v="0"/>
    <n v="0.51695831462532793"/>
    <n v="1.5579554316232247"/>
  </r>
  <r>
    <s v="C0796"/>
    <x v="3"/>
    <x v="4"/>
    <x v="5"/>
    <n v="1685504"/>
    <n v="949882"/>
    <n v="1657886"/>
    <n v="131243"/>
    <n v="6465"/>
    <n v="3628"/>
    <n v="14.879321852609062"/>
    <n v="465738"/>
    <n v="1159541"/>
    <n v="148.96851878094552"/>
    <d v="2026-03-27T00:00:00"/>
    <d v="2026-04-13T00:00:00"/>
    <x v="0"/>
    <n v="17"/>
    <x v="9"/>
    <x v="1"/>
    <n v="0.49031142815633943"/>
    <n v="1.2207211000945382"/>
  </r>
  <r>
    <s v="C0797"/>
    <x v="7"/>
    <x v="2"/>
    <x v="6"/>
    <n v="373618"/>
    <n v="238683"/>
    <n v="525574"/>
    <n v="33516"/>
    <n v="2819"/>
    <n v="3301"/>
    <n v="16.606126117067408"/>
    <n v="457004"/>
    <n v="891029"/>
    <n v="94.971816439243412"/>
    <d v="2025-03-05T00:00:00"/>
    <d v="2025-04-04T00:00:00"/>
    <x v="3"/>
    <n v="30"/>
    <x v="9"/>
    <x v="0"/>
    <n v="1.914690195782691"/>
    <n v="3.7331062539016187"/>
  </r>
  <r>
    <s v="C0798"/>
    <x v="10"/>
    <x v="3"/>
    <x v="6"/>
    <n v="836013"/>
    <n v="341299"/>
    <n v="732179"/>
    <n v="49124"/>
    <n v="6610"/>
    <n v="4299"/>
    <n v="17.589562231357256"/>
    <n v="38580"/>
    <n v="117266"/>
    <n v="203.9554173146708"/>
    <d v="2025-10-08T00:00:00"/>
    <d v="2025-10-27T00:00:00"/>
    <x v="1"/>
    <n v="19"/>
    <x v="8"/>
    <x v="0"/>
    <n v="0.1130387138550069"/>
    <n v="0.34358729442512281"/>
  </r>
  <r>
    <s v="C0799"/>
    <x v="6"/>
    <x v="2"/>
    <x v="5"/>
    <n v="1231497"/>
    <n v="442611"/>
    <n v="1167204"/>
    <n v="41753"/>
    <n v="5538"/>
    <n v="939"/>
    <n v="10.896701618351102"/>
    <n v="316892"/>
    <n v="1351236"/>
    <n v="326.4026860886359"/>
    <d v="2025-07-01T00:00:00"/>
    <d v="2025-07-17T00:00:00"/>
    <x v="0"/>
    <n v="16"/>
    <x v="7"/>
    <x v="0"/>
    <n v="0.71596051611912037"/>
    <n v="3.0528748720659902"/>
  </r>
  <r>
    <s v="C0800"/>
    <x v="13"/>
    <x v="0"/>
    <x v="5"/>
    <n v="1747406"/>
    <n v="941695"/>
    <n v="1395940"/>
    <n v="100479"/>
    <n v="11759"/>
    <n v="2413"/>
    <n v="12.174961107364911"/>
    <n v="397623"/>
    <n v="1961389"/>
    <n v="393.27855782990417"/>
    <d v="2025-11-24T00:00:00"/>
    <d v="2025-12-20T00:00:00"/>
    <x v="7"/>
    <n v="26"/>
    <x v="6"/>
    <x v="0"/>
    <n v="0.42224180865354494"/>
    <n v="2.0828283042811102"/>
  </r>
  <r>
    <s v="C0801"/>
    <x v="13"/>
    <x v="0"/>
    <x v="3"/>
    <n v="530498"/>
    <n v="145696"/>
    <n v="391394"/>
    <n v="4873"/>
    <n v="551"/>
    <n v="380"/>
    <n v="3.9836371623105644"/>
    <n v="392657"/>
    <n v="929431"/>
    <n v="136.70302579605101"/>
    <d v="2025-11-22T00:00:00"/>
    <d v="2025-12-20T00:00:00"/>
    <x v="6"/>
    <n v="28"/>
    <x v="6"/>
    <x v="0"/>
    <n v="2.6950431034482758"/>
    <n v="6.3792485723698658"/>
  </r>
  <r>
    <s v="C0802"/>
    <x v="13"/>
    <x v="0"/>
    <x v="5"/>
    <n v="1777472"/>
    <n v="686020"/>
    <n v="1936581"/>
    <n v="72963"/>
    <n v="9613"/>
    <n v="1870"/>
    <n v="12.309553657327776"/>
    <n v="133750"/>
    <n v="406402"/>
    <n v="203.85196261682245"/>
    <d v="2025-05-12T00:00:00"/>
    <d v="2025-05-30T00:00:00"/>
    <x v="3"/>
    <n v="18"/>
    <x v="4"/>
    <x v="0"/>
    <n v="0.19496516136555786"/>
    <n v="0.59240546922830239"/>
  </r>
  <r>
    <s v="C0803"/>
    <x v="2"/>
    <x v="4"/>
    <x v="5"/>
    <n v="803450"/>
    <n v="672957"/>
    <n v="1168808"/>
    <n v="90689"/>
    <n v="3042"/>
    <n v="6056"/>
    <n v="14.828139093582502"/>
    <n v="304324"/>
    <n v="544616"/>
    <n v="78.959267096909869"/>
    <d v="2025-04-22T00:00:00"/>
    <d v="2025-04-29T00:00:00"/>
    <x v="1"/>
    <n v="7"/>
    <x v="2"/>
    <x v="0"/>
    <n v="0.45221908680643785"/>
    <n v="0.80928796342113984"/>
  </r>
  <r>
    <s v="C0804"/>
    <x v="9"/>
    <x v="3"/>
    <x v="6"/>
    <n v="631053"/>
    <n v="385060"/>
    <n v="800722"/>
    <n v="18105"/>
    <n v="2279"/>
    <n v="561"/>
    <n v="5.4394120396821277"/>
    <n v="418273"/>
    <n v="1125102"/>
    <n v="168.98747946915054"/>
    <d v="2025-06-13T00:00:00"/>
    <d v="2025-07-03T00:00:00"/>
    <x v="0"/>
    <n v="20"/>
    <x v="0"/>
    <x v="0"/>
    <n v="1.086254090271646"/>
    <n v="2.9218874980522518"/>
  </r>
  <r>
    <s v="C0805"/>
    <x v="11"/>
    <x v="0"/>
    <x v="2"/>
    <n v="1495455"/>
    <n v="1229952"/>
    <n v="1839667"/>
    <n v="85076"/>
    <n v="7700"/>
    <n v="4113"/>
    <n v="7.877461884691435"/>
    <n v="143332"/>
    <n v="563854"/>
    <n v="293.39017107135879"/>
    <d v="2025-01-14T00:00:00"/>
    <d v="2025-02-02T00:00:00"/>
    <x v="6"/>
    <n v="19"/>
    <x v="10"/>
    <x v="0"/>
    <n v="0.11653462899365179"/>
    <n v="0.45843577635550004"/>
  </r>
  <r>
    <s v="C0806"/>
    <x v="11"/>
    <x v="3"/>
    <x v="2"/>
    <n v="1919592"/>
    <n v="866093"/>
    <n v="1456574"/>
    <n v="36416"/>
    <n v="2355"/>
    <n v="1958"/>
    <n v="4.7026127679129148"/>
    <n v="39158"/>
    <n v="80349"/>
    <n v="105.19178711885182"/>
    <d v="2026-01-14T00:00:00"/>
    <d v="2026-01-23T00:00:00"/>
    <x v="6"/>
    <n v="9"/>
    <x v="10"/>
    <x v="1"/>
    <n v="4.5212234713824039E-2"/>
    <n v="9.2771792405665437E-2"/>
  </r>
  <r>
    <s v="C0807"/>
    <x v="2"/>
    <x v="0"/>
    <x v="6"/>
    <n v="738261"/>
    <n v="217335"/>
    <n v="297953"/>
    <n v="26253"/>
    <n v="3017"/>
    <n v="538"/>
    <n v="13.715232245151492"/>
    <n v="83863"/>
    <n v="391800"/>
    <n v="367.19053694716382"/>
    <d v="2025-10-02T00:00:00"/>
    <d v="2025-10-27T00:00:00"/>
    <x v="2"/>
    <n v="25"/>
    <x v="8"/>
    <x v="0"/>
    <n v="0.38586974026272802"/>
    <n v="1.8027469114500656"/>
  </r>
  <r>
    <s v="C0808"/>
    <x v="12"/>
    <x v="2"/>
    <x v="2"/>
    <n v="1964669"/>
    <n v="915139"/>
    <n v="2181133"/>
    <n v="44099"/>
    <n v="3565"/>
    <n v="2967"/>
    <n v="5.5326021511486232"/>
    <n v="33945"/>
    <n v="54532"/>
    <n v="60.648107232287529"/>
    <d v="2026-01-08T00:00:00"/>
    <d v="2026-02-06T00:00:00"/>
    <x v="6"/>
    <n v="29"/>
    <x v="10"/>
    <x v="1"/>
    <n v="3.7092725804495276E-2"/>
    <n v="5.9588761925783953E-2"/>
  </r>
  <r>
    <s v="C0809"/>
    <x v="5"/>
    <x v="3"/>
    <x v="3"/>
    <n v="1852957"/>
    <n v="624350"/>
    <n v="917515"/>
    <n v="35631"/>
    <n v="2830"/>
    <n v="2000"/>
    <n v="6.4804997197084964"/>
    <n v="484520"/>
    <n v="1501519"/>
    <n v="209.89824981424917"/>
    <d v="2025-12-18T00:00:00"/>
    <d v="2025-12-26T00:00:00"/>
    <x v="3"/>
    <n v="8"/>
    <x v="5"/>
    <x v="0"/>
    <n v="0.77603908064386962"/>
    <n v="2.4049315287899415"/>
  </r>
  <r>
    <s v="C0810"/>
    <x v="12"/>
    <x v="0"/>
    <x v="3"/>
    <n v="133909"/>
    <n v="101034"/>
    <n v="134428"/>
    <n v="13668"/>
    <n v="490"/>
    <n v="659"/>
    <n v="14.665360175782411"/>
    <n v="386726"/>
    <n v="1162652"/>
    <n v="200.63972942083024"/>
    <d v="2025-03-30T00:00:00"/>
    <d v="2025-04-13T00:00:00"/>
    <x v="7"/>
    <n v="14"/>
    <x v="9"/>
    <x v="0"/>
    <n v="3.8276817704931014"/>
    <n v="11.507532117900904"/>
  </r>
  <r>
    <s v="C0811"/>
    <x v="5"/>
    <x v="2"/>
    <x v="2"/>
    <n v="440354"/>
    <n v="138547"/>
    <n v="205998"/>
    <n v="8498"/>
    <n v="681"/>
    <n v="373"/>
    <n v="6.894411282813774"/>
    <n v="360596"/>
    <n v="1265791"/>
    <n v="251.02746564021788"/>
    <d v="2025-08-13T00:00:00"/>
    <d v="2025-08-25T00:00:00"/>
    <x v="1"/>
    <n v="12"/>
    <x v="3"/>
    <x v="0"/>
    <n v="2.6026980014002468"/>
    <n v="9.1361848325838881"/>
  </r>
  <r>
    <s v="C0812"/>
    <x v="8"/>
    <x v="0"/>
    <x v="2"/>
    <n v="323487"/>
    <n v="166619"/>
    <n v="380915"/>
    <n v="23037"/>
    <n v="1034"/>
    <n v="1068"/>
    <n v="15.087715086514745"/>
    <n v="10428"/>
    <n v="24025"/>
    <n v="130.38933640199463"/>
    <d v="2025-11-07T00:00:00"/>
    <d v="2025-11-24T00:00:00"/>
    <x v="1"/>
    <n v="17"/>
    <x v="6"/>
    <x v="0"/>
    <n v="6.258589956727624E-2"/>
    <n v="0.14419123869426656"/>
  </r>
  <r>
    <s v="C0813"/>
    <x v="12"/>
    <x v="3"/>
    <x v="2"/>
    <n v="1833845"/>
    <n v="1382260"/>
    <n v="2438060"/>
    <n v="140205"/>
    <n v="14470"/>
    <n v="13453"/>
    <n v="12.163268849565204"/>
    <n v="339312"/>
    <n v="1084938"/>
    <n v="219.74642806620457"/>
    <d v="2025-05-14T00:00:00"/>
    <d v="2025-06-06T00:00:00"/>
    <x v="6"/>
    <n v="23"/>
    <x v="4"/>
    <x v="0"/>
    <n v="0.24547624904142493"/>
    <n v="0.78490153806085683"/>
  </r>
  <r>
    <s v="C0814"/>
    <x v="12"/>
    <x v="3"/>
    <x v="1"/>
    <n v="1300888"/>
    <n v="679438"/>
    <n v="1083574"/>
    <n v="76843"/>
    <n v="4748"/>
    <n v="1648"/>
    <n v="12.251154630738935"/>
    <n v="362064"/>
    <n v="635596"/>
    <n v="75.547969419771093"/>
    <d v="2025-12-06T00:00:00"/>
    <d v="2025-12-24T00:00:00"/>
    <x v="5"/>
    <n v="18"/>
    <x v="5"/>
    <x v="0"/>
    <n v="0.5328874746481651"/>
    <n v="0.93547314103715129"/>
  </r>
  <r>
    <s v="C0815"/>
    <x v="9"/>
    <x v="1"/>
    <x v="5"/>
    <n v="1790837"/>
    <n v="930469"/>
    <n v="1141629"/>
    <n v="59382"/>
    <n v="6556"/>
    <n v="4969"/>
    <n v="7.6205655427531704"/>
    <n v="67435"/>
    <n v="255298"/>
    <n v="278.58382145770003"/>
    <d v="2026-03-07T00:00:00"/>
    <d v="2026-03-16T00:00:00"/>
    <x v="4"/>
    <n v="9"/>
    <x v="9"/>
    <x v="1"/>
    <n v="7.2474203869231535E-2"/>
    <n v="0.27437561057918103"/>
  </r>
  <r>
    <s v="C0816"/>
    <x v="10"/>
    <x v="3"/>
    <x v="7"/>
    <n v="1624004"/>
    <n v="580320"/>
    <n v="904327"/>
    <n v="71448"/>
    <n v="3835"/>
    <n v="4700"/>
    <n v="13.7825682382134"/>
    <n v="51679"/>
    <n v="177614"/>
    <n v="243.6869908473461"/>
    <d v="2025-11-26T00:00:00"/>
    <d v="2025-12-10T00:00:00"/>
    <x v="1"/>
    <n v="14"/>
    <x v="6"/>
    <x v="0"/>
    <n v="8.9052591673559417E-2"/>
    <n v="0.30606217259443064"/>
  </r>
  <r>
    <s v="C0817"/>
    <x v="1"/>
    <x v="0"/>
    <x v="1"/>
    <n v="1399862"/>
    <n v="981096"/>
    <n v="2929612"/>
    <n v="35154"/>
    <n v="2819"/>
    <n v="1785"/>
    <n v="4.0524066961846756"/>
    <n v="415783"/>
    <n v="2023039"/>
    <n v="386.56125911833817"/>
    <d v="2025-12-16T00:00:00"/>
    <d v="2026-01-12T00:00:00"/>
    <x v="7"/>
    <n v="27"/>
    <x v="5"/>
    <x v="0"/>
    <n v="0.42379440951751918"/>
    <n v="2.0620194150215676"/>
  </r>
  <r>
    <s v="C0818"/>
    <x v="12"/>
    <x v="4"/>
    <x v="7"/>
    <n v="1170527"/>
    <n v="578832"/>
    <n v="1097654"/>
    <n v="64952"/>
    <n v="6719"/>
    <n v="6051"/>
    <n v="13.427384802498826"/>
    <n v="164437"/>
    <n v="531541"/>
    <n v="223.2490254626392"/>
    <d v="2025-11-27T00:00:00"/>
    <d v="2025-12-21T00:00:00"/>
    <x v="2"/>
    <n v="24"/>
    <x v="6"/>
    <x v="0"/>
    <n v="0.28408415567902257"/>
    <n v="0.91829926472620726"/>
  </r>
  <r>
    <s v="C0819"/>
    <x v="11"/>
    <x v="2"/>
    <x v="1"/>
    <n v="848896"/>
    <n v="629491"/>
    <n v="1520022"/>
    <n v="90958"/>
    <n v="8386"/>
    <n v="7509"/>
    <n v="16.97450797549131"/>
    <n v="26612"/>
    <n v="93105"/>
    <n v="249.86096497820532"/>
    <d v="2025-08-30T00:00:00"/>
    <d v="2025-09-18T00:00:00"/>
    <x v="7"/>
    <n v="19"/>
    <x v="3"/>
    <x v="0"/>
    <n v="4.2275425701082302E-2"/>
    <n v="0.14790521230645076"/>
  </r>
  <r>
    <s v="C0820"/>
    <x v="12"/>
    <x v="0"/>
    <x v="5"/>
    <n v="1137145"/>
    <n v="977506"/>
    <n v="2512556"/>
    <n v="32850"/>
    <n v="3550"/>
    <n v="2459"/>
    <n v="3.9753208675956975"/>
    <n v="298319"/>
    <n v="1089112"/>
    <n v="265.08301516162226"/>
    <d v="2025-06-26T00:00:00"/>
    <d v="2025-07-13T00:00:00"/>
    <x v="2"/>
    <n v="17"/>
    <x v="0"/>
    <x v="0"/>
    <n v="0.30518380449838672"/>
    <n v="1.1141742352476609"/>
  </r>
  <r>
    <s v="C0821"/>
    <x v="0"/>
    <x v="4"/>
    <x v="3"/>
    <n v="203680"/>
    <n v="81692"/>
    <n v="114071"/>
    <n v="4276"/>
    <n v="508"/>
    <n v="356"/>
    <n v="6.2919257699652356"/>
    <n v="205175"/>
    <n v="782024"/>
    <n v="281.14975021323261"/>
    <d v="2025-04-10T00:00:00"/>
    <d v="2025-05-04T00:00:00"/>
    <x v="4"/>
    <n v="24"/>
    <x v="2"/>
    <x v="0"/>
    <n v="2.5115678401801889"/>
    <n v="9.5728345492826712"/>
  </r>
  <r>
    <s v="C0822"/>
    <x v="4"/>
    <x v="3"/>
    <x v="7"/>
    <n v="1519687"/>
    <n v="432873"/>
    <n v="732965"/>
    <n v="44442"/>
    <n v="2948"/>
    <n v="3579"/>
    <n v="11.774585155461303"/>
    <n v="243904"/>
    <n v="1085043"/>
    <n v="344.86478286538966"/>
    <d v="2025-02-11T00:00:00"/>
    <d v="2025-03-12T00:00:00"/>
    <x v="4"/>
    <n v="29"/>
    <x v="1"/>
    <x v="0"/>
    <n v="0.56345394607656285"/>
    <n v="2.5066081737599712"/>
  </r>
  <r>
    <s v="C0823"/>
    <x v="1"/>
    <x v="0"/>
    <x v="0"/>
    <n v="1459624"/>
    <n v="669655"/>
    <n v="1340981"/>
    <n v="56642"/>
    <n v="7264"/>
    <n v="2462"/>
    <n v="9.9107749512808834"/>
    <n v="294964"/>
    <n v="1058423"/>
    <n v="258.83124720304852"/>
    <d v="2025-12-23T00:00:00"/>
    <d v="2026-01-16T00:00:00"/>
    <x v="1"/>
    <n v="24"/>
    <x v="5"/>
    <x v="0"/>
    <n v="0.44047158611523846"/>
    <n v="1.58054968603236"/>
  </r>
  <r>
    <s v="C0824"/>
    <x v="1"/>
    <x v="3"/>
    <x v="4"/>
    <n v="691843"/>
    <n v="229168"/>
    <n v="397363"/>
    <n v="32631"/>
    <n v="1531"/>
    <n v="997"/>
    <n v="15.34201982824827"/>
    <n v="499771"/>
    <n v="1939094"/>
    <n v="287.99650239809836"/>
    <d v="2026-01-28T00:00:00"/>
    <d v="2026-02-19T00:00:00"/>
    <x v="5"/>
    <n v="22"/>
    <x v="10"/>
    <x v="1"/>
    <n v="2.1808062207638064"/>
    <n v="8.4614518606437201"/>
  </r>
  <r>
    <s v="C0825"/>
    <x v="6"/>
    <x v="0"/>
    <x v="1"/>
    <n v="1519782"/>
    <n v="456852"/>
    <n v="798407"/>
    <n v="46218"/>
    <n v="5279"/>
    <n v="4312"/>
    <n v="12.215991174384703"/>
    <n v="143913"/>
    <n v="631142"/>
    <n v="338.558017691244"/>
    <d v="2025-11-06T00:00:00"/>
    <d v="2025-11-23T00:00:00"/>
    <x v="2"/>
    <n v="17"/>
    <x v="6"/>
    <x v="0"/>
    <n v="0.31501011268419532"/>
    <n v="1.381502105714761"/>
  </r>
  <r>
    <s v="C0826"/>
    <x v="8"/>
    <x v="4"/>
    <x v="5"/>
    <n v="1172894"/>
    <n v="442642"/>
    <n v="842171"/>
    <n v="18342"/>
    <n v="1289"/>
    <n v="847"/>
    <n v="4.6263120083498626"/>
    <n v="278233"/>
    <n v="1212997"/>
    <n v="335.96446144059115"/>
    <d v="2026-01-19T00:00:00"/>
    <d v="2026-02-06T00:00:00"/>
    <x v="2"/>
    <n v="18"/>
    <x v="10"/>
    <x v="1"/>
    <n v="0.6285734295435137"/>
    <n v="2.7403567668680333"/>
  </r>
  <r>
    <s v="C0827"/>
    <x v="4"/>
    <x v="3"/>
    <x v="5"/>
    <n v="1617122"/>
    <n v="755324"/>
    <n v="1279426"/>
    <n v="69444"/>
    <n v="8504"/>
    <n v="2242"/>
    <n v="10.616636039633324"/>
    <n v="256916"/>
    <n v="579959"/>
    <n v="125.7387628641268"/>
    <d v="2026-05-10T00:00:00"/>
    <d v="2026-05-20T00:00:00"/>
    <x v="2"/>
    <n v="10"/>
    <x v="4"/>
    <x v="1"/>
    <n v="0.34014012529722343"/>
    <n v="0.767828110850443"/>
  </r>
  <r>
    <s v="C0828"/>
    <x v="9"/>
    <x v="4"/>
    <x v="2"/>
    <n v="1795470"/>
    <n v="541815"/>
    <n v="831874"/>
    <n v="62265"/>
    <n v="4270"/>
    <n v="4632"/>
    <n v="13.134926127921892"/>
    <n v="493052"/>
    <n v="1999647"/>
    <n v="305.56513308941049"/>
    <d v="2026-01-31T00:00:00"/>
    <d v="2026-02-10T00:00:00"/>
    <x v="4"/>
    <n v="10"/>
    <x v="10"/>
    <x v="1"/>
    <n v="0.91000064597694785"/>
    <n v="3.6906453309709035"/>
  </r>
  <r>
    <s v="C0829"/>
    <x v="0"/>
    <x v="0"/>
    <x v="7"/>
    <n v="1083399"/>
    <n v="781796"/>
    <n v="1785009"/>
    <n v="55941"/>
    <n v="6414"/>
    <n v="5353"/>
    <n v="8.660571299929904"/>
    <n v="152838"/>
    <n v="201587"/>
    <n v="31.895863594132351"/>
    <d v="2025-06-23T00:00:00"/>
    <d v="2025-07-20T00:00:00"/>
    <x v="2"/>
    <n v="27"/>
    <x v="0"/>
    <x v="0"/>
    <n v="0.19549601174731004"/>
    <n v="0.25785115298620098"/>
  </r>
  <r>
    <s v="C0830"/>
    <x v="13"/>
    <x v="0"/>
    <x v="7"/>
    <n v="1002066"/>
    <n v="348882"/>
    <n v="762219"/>
    <n v="39315"/>
    <n v="5270"/>
    <n v="2399"/>
    <n v="13.467017501619457"/>
    <n v="313758"/>
    <n v="930132"/>
    <n v="196.4488554873501"/>
    <d v="2025-06-13T00:00:00"/>
    <d v="2025-06-20T00:00:00"/>
    <x v="0"/>
    <n v="7"/>
    <x v="0"/>
    <x v="0"/>
    <n v="0.89932412678212115"/>
    <n v="2.6660360809672037"/>
  </r>
  <r>
    <s v="C0831"/>
    <x v="8"/>
    <x v="4"/>
    <x v="6"/>
    <n v="124538"/>
    <n v="44552"/>
    <n v="66955"/>
    <n v="3878"/>
    <n v="495"/>
    <n v="166"/>
    <n v="10.188094810558448"/>
    <n v="148849"/>
    <n v="225813"/>
    <n v="51.706091408071266"/>
    <d v="2025-05-24T00:00:00"/>
    <d v="2025-06-18T00:00:00"/>
    <x v="5"/>
    <n v="25"/>
    <x v="4"/>
    <x v="0"/>
    <n v="3.3410172382833543"/>
    <n v="5.0685266654695633"/>
  </r>
  <r>
    <s v="C0832"/>
    <x v="7"/>
    <x v="3"/>
    <x v="4"/>
    <n v="1472150"/>
    <n v="709319"/>
    <n v="1109722"/>
    <n v="67694"/>
    <n v="6465"/>
    <n v="2871"/>
    <n v="10.859711920870581"/>
    <n v="191519"/>
    <n v="924922"/>
    <n v="382.94007383079486"/>
    <d v="2025-08-16T00:00:00"/>
    <d v="2025-08-27T00:00:00"/>
    <x v="4"/>
    <n v="11"/>
    <x v="3"/>
    <x v="0"/>
    <n v="0.27000404613439088"/>
    <n v="1.3039577397475608"/>
  </r>
  <r>
    <s v="C0833"/>
    <x v="8"/>
    <x v="0"/>
    <x v="6"/>
    <n v="1256638"/>
    <n v="748980"/>
    <n v="1028221"/>
    <n v="44059"/>
    <n v="5653"/>
    <n v="3610"/>
    <n v="7.1192822238244009"/>
    <n v="115641"/>
    <n v="328358"/>
    <n v="183.94600530953556"/>
    <d v="2026-05-12T00:00:00"/>
    <d v="2026-06-07T00:00:00"/>
    <x v="2"/>
    <n v="26"/>
    <x v="4"/>
    <x v="1"/>
    <n v="0.15439798125450613"/>
    <n v="0.43840690005073568"/>
  </r>
  <r>
    <s v="C0834"/>
    <x v="8"/>
    <x v="2"/>
    <x v="5"/>
    <n v="1486887"/>
    <n v="581696"/>
    <n v="830960"/>
    <n v="21330"/>
    <n v="2098"/>
    <n v="2130"/>
    <n v="4.3937039278248431"/>
    <n v="70112"/>
    <n v="202114"/>
    <n v="188.27304883614789"/>
    <d v="2026-04-12T00:00:00"/>
    <d v="2026-05-05T00:00:00"/>
    <x v="0"/>
    <n v="23"/>
    <x v="2"/>
    <x v="1"/>
    <n v="0.12053031136538674"/>
    <n v="0.3474564033447024"/>
  </r>
  <r>
    <s v="C0835"/>
    <x v="0"/>
    <x v="1"/>
    <x v="6"/>
    <n v="706281"/>
    <n v="327880"/>
    <n v="932528"/>
    <n v="7488"/>
    <n v="400"/>
    <n v="482"/>
    <n v="2.5527632060509942"/>
    <n v="478820"/>
    <n v="1908304"/>
    <n v="298.54308508416523"/>
    <d v="2025-01-12T00:00:00"/>
    <d v="2025-02-01T00:00:00"/>
    <x v="6"/>
    <n v="20"/>
    <x v="10"/>
    <x v="0"/>
    <n v="1.4603513480541661"/>
    <n v="5.8201293156032694"/>
  </r>
  <r>
    <s v="C0836"/>
    <x v="6"/>
    <x v="2"/>
    <x v="6"/>
    <n v="1846925"/>
    <n v="1521198"/>
    <n v="3622057"/>
    <n v="91799"/>
    <n v="10275"/>
    <n v="8701"/>
    <n v="7.2820895110301223"/>
    <n v="159922"/>
    <n v="331078"/>
    <n v="107.0246745288328"/>
    <d v="2025-08-18T00:00:00"/>
    <d v="2025-08-26T00:00:00"/>
    <x v="7"/>
    <n v="8"/>
    <x v="3"/>
    <x v="0"/>
    <n v="0.10512898386666299"/>
    <n v="0.2176429366854282"/>
  </r>
  <r>
    <s v="C0837"/>
    <x v="4"/>
    <x v="1"/>
    <x v="4"/>
    <n v="746077"/>
    <n v="553489"/>
    <n v="1571265"/>
    <n v="72255"/>
    <n v="4776"/>
    <n v="5948"/>
    <n v="14.991987193964107"/>
    <n v="34803"/>
    <n v="91882"/>
    <n v="164.00597649627906"/>
    <d v="2025-03-02T00:00:00"/>
    <d v="2025-03-09T00:00:00"/>
    <x v="5"/>
    <n v="7"/>
    <x v="9"/>
    <x v="0"/>
    <n v="6.2879298414241294E-2"/>
    <n v="0.16600510579252703"/>
  </r>
  <r>
    <s v="C0838"/>
    <x v="6"/>
    <x v="2"/>
    <x v="3"/>
    <n v="1317460"/>
    <n v="1017725"/>
    <n v="2043843"/>
    <n v="61296"/>
    <n v="4933"/>
    <n v="5772"/>
    <n v="7.074700926085141"/>
    <n v="243164"/>
    <n v="1148763"/>
    <n v="372.4231382934974"/>
    <d v="2025-03-17T00:00:00"/>
    <d v="2025-04-07T00:00:00"/>
    <x v="1"/>
    <n v="21"/>
    <x v="9"/>
    <x v="0"/>
    <n v="0.2389289837628043"/>
    <n v="1.1287558033850009"/>
  </r>
  <r>
    <s v="C0839"/>
    <x v="13"/>
    <x v="2"/>
    <x v="7"/>
    <n v="1769448"/>
    <n v="1245351"/>
    <n v="2514598"/>
    <n v="107693"/>
    <n v="9811"/>
    <n v="3356"/>
    <n v="9.704894443413945"/>
    <n v="45757"/>
    <n v="69556"/>
    <n v="52.011714054680155"/>
    <d v="2025-10-19T00:00:00"/>
    <d v="2025-10-28T00:00:00"/>
    <x v="3"/>
    <n v="9"/>
    <x v="8"/>
    <x v="0"/>
    <n v="3.6742251782830707E-2"/>
    <n v="5.5852526717367235E-2"/>
  </r>
  <r>
    <s v="C0840"/>
    <x v="2"/>
    <x v="4"/>
    <x v="3"/>
    <n v="1488112"/>
    <n v="1208712"/>
    <n v="1898808"/>
    <n v="70415"/>
    <n v="8822"/>
    <n v="6039"/>
    <n v="7.0551132114184361"/>
    <n v="36103"/>
    <n v="69518"/>
    <n v="92.554635348862973"/>
    <d v="2025-01-28T00:00:00"/>
    <d v="2025-02-20T00:00:00"/>
    <x v="4"/>
    <n v="23"/>
    <x v="10"/>
    <x v="0"/>
    <n v="2.9868984505821074E-2"/>
    <n v="5.7514114197592149E-2"/>
  </r>
  <r>
    <s v="C0841"/>
    <x v="14"/>
    <x v="0"/>
    <x v="0"/>
    <n v="804520"/>
    <n v="255320"/>
    <n v="588955"/>
    <n v="15477"/>
    <n v="2175"/>
    <n v="548"/>
    <n v="7.1283095723014247"/>
    <n v="29455"/>
    <n v="41933"/>
    <n v="42.362926498047869"/>
    <d v="2025-04-20T00:00:00"/>
    <d v="2025-05-16T00:00:00"/>
    <x v="7"/>
    <n v="26"/>
    <x v="2"/>
    <x v="0"/>
    <n v="0.11536503211655962"/>
    <n v="0.16423703587654709"/>
  </r>
  <r>
    <s v="C0842"/>
    <x v="4"/>
    <x v="4"/>
    <x v="2"/>
    <n v="1738358"/>
    <n v="1234000"/>
    <n v="2269614"/>
    <n v="147950"/>
    <n v="16374"/>
    <n v="5402"/>
    <n v="13.754132901134522"/>
    <n v="185250"/>
    <n v="533439"/>
    <n v="187.95627530364371"/>
    <d v="2025-03-23T00:00:00"/>
    <d v="2025-04-05T00:00:00"/>
    <x v="5"/>
    <n v="13"/>
    <x v="9"/>
    <x v="0"/>
    <n v="0.15012155591572124"/>
    <n v="0.43228444084278767"/>
  </r>
  <r>
    <s v="C0843"/>
    <x v="11"/>
    <x v="2"/>
    <x v="4"/>
    <n v="201077"/>
    <n v="142913"/>
    <n v="320594"/>
    <n v="12524"/>
    <n v="593"/>
    <n v="1152"/>
    <n v="9.9843961011244602"/>
    <n v="156730"/>
    <n v="312095"/>
    <n v="99.129075480125053"/>
    <d v="2025-01-30T00:00:00"/>
    <d v="2025-02-20T00:00:00"/>
    <x v="2"/>
    <n v="21"/>
    <x v="10"/>
    <x v="0"/>
    <n v="1.0966811976517181"/>
    <n v="2.1838111298482294"/>
  </r>
  <r>
    <s v="C0844"/>
    <x v="14"/>
    <x v="3"/>
    <x v="1"/>
    <n v="502246"/>
    <n v="188705"/>
    <n v="266881"/>
    <n v="3793"/>
    <n v="531"/>
    <n v="356"/>
    <n v="2.4800614716091256"/>
    <n v="189365"/>
    <n v="585419"/>
    <n v="209.1484698861986"/>
    <d v="2025-09-07T00:00:00"/>
    <d v="2025-10-07T00:00:00"/>
    <x v="1"/>
    <n v="30"/>
    <x v="11"/>
    <x v="0"/>
    <n v="1.0034975225881668"/>
    <n v="3.1022972364272277"/>
  </r>
  <r>
    <s v="C0845"/>
    <x v="4"/>
    <x v="1"/>
    <x v="7"/>
    <n v="1976143"/>
    <n v="747262"/>
    <n v="1305008"/>
    <n v="43069"/>
    <n v="3762"/>
    <n v="2199"/>
    <n v="6.5612864028948348"/>
    <n v="244426"/>
    <n v="1084179"/>
    <n v="343.56124143912677"/>
    <d v="2025-09-14T00:00:00"/>
    <d v="2025-10-06T00:00:00"/>
    <x v="5"/>
    <n v="22"/>
    <x v="11"/>
    <x v="0"/>
    <n v="0.32709544978869526"/>
    <n v="1.4508686377736322"/>
  </r>
  <r>
    <s v="C0846"/>
    <x v="7"/>
    <x v="1"/>
    <x v="7"/>
    <n v="1282553"/>
    <n v="1122797"/>
    <n v="1897264"/>
    <n v="163095"/>
    <n v="23689"/>
    <n v="9241"/>
    <n v="17.458632326235286"/>
    <n v="211944"/>
    <n v="976807"/>
    <n v="360.87976069150341"/>
    <d v="2025-11-20T00:00:00"/>
    <d v="2025-12-07T00:00:00"/>
    <x v="6"/>
    <n v="17"/>
    <x v="6"/>
    <x v="0"/>
    <n v="0.18876430913157052"/>
    <n v="0.86997649619655204"/>
  </r>
  <r>
    <s v="C0847"/>
    <x v="2"/>
    <x v="0"/>
    <x v="4"/>
    <n v="373294"/>
    <n v="115816"/>
    <n v="265208"/>
    <n v="8537"/>
    <n v="272"/>
    <n v="207"/>
    <n v="7.7847620363334951"/>
    <n v="142240"/>
    <n v="274241"/>
    <n v="92.801602924634423"/>
    <d v="2025-07-02T00:00:00"/>
    <d v="2025-07-18T00:00:00"/>
    <x v="4"/>
    <n v="16"/>
    <x v="7"/>
    <x v="0"/>
    <n v="1.2281550044898806"/>
    <n v="2.3679025350556056"/>
  </r>
  <r>
    <s v="C0848"/>
    <x v="1"/>
    <x v="2"/>
    <x v="4"/>
    <n v="103809"/>
    <n v="56596"/>
    <n v="147857"/>
    <n v="4887"/>
    <n v="343"/>
    <n v="243"/>
    <n v="9.6702947204749456"/>
    <n v="188805"/>
    <n v="907409"/>
    <n v="380.60644580387174"/>
    <d v="2026-04-20T00:00:00"/>
    <d v="2026-05-17T00:00:00"/>
    <x v="6"/>
    <n v="27"/>
    <x v="2"/>
    <x v="1"/>
    <n v="3.3360131458053575"/>
    <n v="16.033094211605061"/>
  </r>
  <r>
    <s v="C0849"/>
    <x v="6"/>
    <x v="3"/>
    <x v="3"/>
    <n v="461293"/>
    <n v="329172"/>
    <n v="864192"/>
    <n v="7836"/>
    <n v="897"/>
    <n v="177"/>
    <n v="2.7067915861616418"/>
    <n v="269046"/>
    <n v="953340"/>
    <n v="254.34089337882742"/>
    <d v="2026-03-24T00:00:00"/>
    <d v="2026-04-07T00:00:00"/>
    <x v="3"/>
    <n v="14"/>
    <x v="9"/>
    <x v="1"/>
    <n v="0.81734169370420329"/>
    <n v="2.8961758594291132"/>
  </r>
  <r>
    <s v="C0850"/>
    <x v="8"/>
    <x v="3"/>
    <x v="7"/>
    <n v="908788"/>
    <n v="655657"/>
    <n v="1920623"/>
    <n v="80294"/>
    <n v="8578"/>
    <n v="7960"/>
    <n v="14.768697657464191"/>
    <n v="48266"/>
    <n v="127182"/>
    <n v="163.50225831848505"/>
    <d v="2025-09-25T00:00:00"/>
    <d v="2025-10-08T00:00:00"/>
    <x v="2"/>
    <n v="13"/>
    <x v="11"/>
    <x v="0"/>
    <n v="7.3614710130449304E-2"/>
    <n v="0.19397642364834053"/>
  </r>
  <r>
    <s v="C0851"/>
    <x v="12"/>
    <x v="0"/>
    <x v="1"/>
    <n v="930782"/>
    <n v="650708"/>
    <n v="1060599"/>
    <n v="50360"/>
    <n v="6666"/>
    <n v="2250"/>
    <n v="9.1094623087467816"/>
    <n v="491370"/>
    <n v="1531304"/>
    <n v="211.63970124346213"/>
    <d v="2025-03-18T00:00:00"/>
    <d v="2025-04-04T00:00:00"/>
    <x v="4"/>
    <n v="17"/>
    <x v="9"/>
    <x v="0"/>
    <n v="0.7551313338701845"/>
    <n v="2.3532890328688136"/>
  </r>
  <r>
    <s v="C0852"/>
    <x v="13"/>
    <x v="1"/>
    <x v="6"/>
    <n v="1989951"/>
    <n v="1729643"/>
    <n v="3838922"/>
    <n v="81950"/>
    <n v="3844"/>
    <n v="1719"/>
    <n v="5.0595990039563077"/>
    <n v="259440"/>
    <n v="1166007"/>
    <n v="349.43223866790009"/>
    <d v="2026-03-17T00:00:00"/>
    <d v="2026-04-07T00:00:00"/>
    <x v="2"/>
    <n v="21"/>
    <x v="9"/>
    <x v="1"/>
    <n v="0.14999627090677092"/>
    <n v="0.67413159825466873"/>
  </r>
  <r>
    <s v="C0853"/>
    <x v="14"/>
    <x v="2"/>
    <x v="6"/>
    <n v="319718"/>
    <n v="250157"/>
    <n v="514975"/>
    <n v="20186"/>
    <n v="1238"/>
    <n v="1316"/>
    <n v="9.090291297065443"/>
    <n v="187429"/>
    <n v="578896"/>
    <n v="208.86148888379066"/>
    <d v="2025-07-24T00:00:00"/>
    <d v="2025-08-19T00:00:00"/>
    <x v="2"/>
    <n v="26"/>
    <x v="7"/>
    <x v="0"/>
    <n v="0.7492454738424269"/>
    <n v="2.3141307259041324"/>
  </r>
  <r>
    <s v="C0854"/>
    <x v="3"/>
    <x v="2"/>
    <x v="1"/>
    <n v="206038"/>
    <n v="92379"/>
    <n v="130148"/>
    <n v="7913"/>
    <n v="684"/>
    <n v="566"/>
    <n v="9.9189209668864127"/>
    <n v="219767"/>
    <n v="742671"/>
    <n v="237.93563182825449"/>
    <d v="2025-09-30T00:00:00"/>
    <d v="2025-10-20T00:00:00"/>
    <x v="3"/>
    <n v="20"/>
    <x v="11"/>
    <x v="0"/>
    <n v="2.378971411251475"/>
    <n v="8.0393920696262136"/>
  </r>
  <r>
    <s v="C0855"/>
    <x v="5"/>
    <x v="0"/>
    <x v="7"/>
    <n v="852178"/>
    <n v="578072"/>
    <n v="749541"/>
    <n v="70195"/>
    <n v="6466"/>
    <n v="6155"/>
    <n v="14.326243097745609"/>
    <n v="202336"/>
    <n v="784645"/>
    <n v="287.79307686224894"/>
    <d v="2026-03-24T00:00:00"/>
    <d v="2026-04-04T00:00:00"/>
    <x v="0"/>
    <n v="11"/>
    <x v="9"/>
    <x v="1"/>
    <n v="0.35001868279383885"/>
    <n v="1.3573482195989426"/>
  </r>
  <r>
    <s v="C0856"/>
    <x v="2"/>
    <x v="2"/>
    <x v="7"/>
    <n v="1973401"/>
    <n v="1162012"/>
    <n v="1909308"/>
    <n v="60161"/>
    <n v="2020"/>
    <n v="3844"/>
    <n v="5.6819550916858006"/>
    <n v="95240"/>
    <n v="299487"/>
    <n v="214.45506089878202"/>
    <d v="2026-03-12T00:00:00"/>
    <d v="2026-04-05T00:00:00"/>
    <x v="4"/>
    <n v="24"/>
    <x v="9"/>
    <x v="1"/>
    <n v="8.1961287835237498E-2"/>
    <n v="0.2577314175757221"/>
  </r>
  <r>
    <s v="C0857"/>
    <x v="6"/>
    <x v="2"/>
    <x v="3"/>
    <n v="1788258"/>
    <n v="899080"/>
    <n v="1263674"/>
    <n v="113314"/>
    <n v="6871"/>
    <n v="7140"/>
    <n v="14.16169862526138"/>
    <n v="402327"/>
    <n v="913703"/>
    <n v="127.10456916886015"/>
    <d v="2026-01-24T00:00:00"/>
    <d v="2026-01-31T00:00:00"/>
    <x v="7"/>
    <n v="7"/>
    <x v="10"/>
    <x v="1"/>
    <n v="0.44748743159674331"/>
    <n v="1.0162644036125819"/>
  </r>
  <r>
    <s v="C0858"/>
    <x v="3"/>
    <x v="3"/>
    <x v="6"/>
    <n v="586982"/>
    <n v="514902"/>
    <n v="642034"/>
    <n v="71902"/>
    <n v="4503"/>
    <n v="1616"/>
    <n v="15.152592143747743"/>
    <n v="446788"/>
    <n v="689607"/>
    <n v="54.34769958011406"/>
    <d v="2025-08-21T00:00:00"/>
    <d v="2025-09-02T00:00:00"/>
    <x v="5"/>
    <n v="12"/>
    <x v="3"/>
    <x v="0"/>
    <n v="0.86771463307580865"/>
    <n v="1.339297575072538"/>
  </r>
  <r>
    <s v="C0859"/>
    <x v="5"/>
    <x v="0"/>
    <x v="4"/>
    <n v="917649"/>
    <n v="469216"/>
    <n v="1096664"/>
    <n v="22281"/>
    <n v="2342"/>
    <n v="774"/>
    <n v="5.4126457750801338"/>
    <n v="176397"/>
    <n v="874883"/>
    <n v="395.97385443063092"/>
    <d v="2026-03-03T00:00:00"/>
    <d v="2026-03-13T00:00:00"/>
    <x v="2"/>
    <n v="10"/>
    <x v="9"/>
    <x v="1"/>
    <n v="0.37593986564823023"/>
    <n v="1.8645634419968629"/>
  </r>
  <r>
    <s v="C0860"/>
    <x v="10"/>
    <x v="3"/>
    <x v="1"/>
    <n v="338150"/>
    <n v="200684"/>
    <n v="473035"/>
    <n v="7855"/>
    <n v="963"/>
    <n v="492"/>
    <n v="4.6391341611688031"/>
    <n v="480023"/>
    <n v="2192749"/>
    <n v="356.80081996071021"/>
    <d v="2025-02-21T00:00:00"/>
    <d v="2025-03-11T00:00:00"/>
    <x v="1"/>
    <n v="18"/>
    <x v="1"/>
    <x v="0"/>
    <n v="2.391934583723665"/>
    <n v="10.926376791373503"/>
  </r>
  <r>
    <s v="C0861"/>
    <x v="12"/>
    <x v="0"/>
    <x v="4"/>
    <n v="1169983"/>
    <n v="717012"/>
    <n v="2072244"/>
    <n v="19052"/>
    <n v="1933"/>
    <n v="578"/>
    <n v="3.0073415786625608"/>
    <n v="474732"/>
    <n v="1019047"/>
    <n v="114.65732244719126"/>
    <d v="2025-09-23T00:00:00"/>
    <d v="2025-10-23T00:00:00"/>
    <x v="2"/>
    <n v="30"/>
    <x v="11"/>
    <x v="0"/>
    <n v="0.66209770547773261"/>
    <n v="1.4212412065627911"/>
  </r>
  <r>
    <s v="C0862"/>
    <x v="8"/>
    <x v="2"/>
    <x v="1"/>
    <n v="1966733"/>
    <n v="874068"/>
    <n v="2235221"/>
    <n v="68873"/>
    <n v="6028"/>
    <n v="3722"/>
    <n v="8.9950667453790789"/>
    <n v="454942"/>
    <n v="901956"/>
    <n v="98.257360278892691"/>
    <d v="2026-03-06T00:00:00"/>
    <d v="2026-04-02T00:00:00"/>
    <x v="5"/>
    <n v="27"/>
    <x v="9"/>
    <x v="1"/>
    <n v="0.52048810847668603"/>
    <n v="1.0319059844314173"/>
  </r>
  <r>
    <s v="C0863"/>
    <x v="11"/>
    <x v="0"/>
    <x v="6"/>
    <n v="1254901"/>
    <n v="422481"/>
    <n v="1135271"/>
    <n v="56117"/>
    <n v="8202"/>
    <n v="3906"/>
    <n v="16.148655205796235"/>
    <n v="16723"/>
    <n v="34977"/>
    <n v="109.15505591102075"/>
    <d v="2025-11-06T00:00:00"/>
    <d v="2025-11-25T00:00:00"/>
    <x v="6"/>
    <n v="19"/>
    <x v="6"/>
    <x v="0"/>
    <n v="3.9582845145698861E-2"/>
    <n v="8.2789521895659218E-2"/>
  </r>
  <r>
    <s v="C0864"/>
    <x v="12"/>
    <x v="1"/>
    <x v="3"/>
    <n v="1025145"/>
    <n v="849933"/>
    <n v="1252751"/>
    <n v="120213"/>
    <n v="6652"/>
    <n v="3937"/>
    <n v="15.389683657417702"/>
    <n v="325839"/>
    <n v="1438958"/>
    <n v="341.61625833617217"/>
    <d v="2025-01-17T00:00:00"/>
    <d v="2025-02-16T00:00:00"/>
    <x v="3"/>
    <n v="30"/>
    <x v="10"/>
    <x v="0"/>
    <n v="0.38337021859370091"/>
    <n v="1.6930252149287062"/>
  </r>
  <r>
    <s v="C0865"/>
    <x v="7"/>
    <x v="4"/>
    <x v="2"/>
    <n v="1722904"/>
    <n v="1401613"/>
    <n v="3202834"/>
    <n v="42353"/>
    <n v="4447"/>
    <n v="1261"/>
    <n v="3.4289778990348978"/>
    <n v="307043"/>
    <n v="1348158"/>
    <n v="339.07791416837381"/>
    <d v="2026-01-21T00:00:00"/>
    <d v="2026-02-06T00:00:00"/>
    <x v="0"/>
    <n v="16"/>
    <x v="10"/>
    <x v="1"/>
    <n v="0.21906403550766154"/>
    <n v="0.96186179780010606"/>
  </r>
  <r>
    <s v="C0866"/>
    <x v="2"/>
    <x v="0"/>
    <x v="4"/>
    <n v="296677"/>
    <n v="170289"/>
    <n v="503321"/>
    <n v="8164"/>
    <n v="815"/>
    <n v="564"/>
    <n v="5.6040026073322409"/>
    <n v="255767"/>
    <n v="485323"/>
    <n v="89.752000844518648"/>
    <d v="2025-09-21T00:00:00"/>
    <d v="2025-10-01T00:00:00"/>
    <x v="0"/>
    <n v="10"/>
    <x v="11"/>
    <x v="0"/>
    <n v="1.5019584353657605"/>
    <n v="2.8499961829595568"/>
  </r>
  <r>
    <s v="C0867"/>
    <x v="1"/>
    <x v="3"/>
    <x v="7"/>
    <n v="943144"/>
    <n v="838819"/>
    <n v="1714304"/>
    <n v="18169"/>
    <n v="2702"/>
    <n v="1735"/>
    <n v="2.6949794890196812"/>
    <n v="255171"/>
    <n v="547250"/>
    <n v="114.46402608446884"/>
    <d v="2025-03-22T00:00:00"/>
    <d v="2025-04-09T00:00:00"/>
    <x v="6"/>
    <n v="18"/>
    <x v="9"/>
    <x v="0"/>
    <n v="0.3042026945026281"/>
    <n v="0.65240534608777345"/>
  </r>
  <r>
    <s v="C0868"/>
    <x v="0"/>
    <x v="4"/>
    <x v="1"/>
    <n v="1531042"/>
    <n v="939757"/>
    <n v="2085995"/>
    <n v="48798"/>
    <n v="1589"/>
    <n v="1977"/>
    <n v="5.5720787395039357"/>
    <n v="177656"/>
    <n v="277401"/>
    <n v="56.145021839960371"/>
    <d v="2025-04-13T00:00:00"/>
    <d v="2025-04-24T00:00:00"/>
    <x v="3"/>
    <n v="11"/>
    <x v="2"/>
    <x v="0"/>
    <n v="0.18904461472487036"/>
    <n v="0.29518375494941779"/>
  </r>
  <r>
    <s v="C0869"/>
    <x v="8"/>
    <x v="0"/>
    <x v="3"/>
    <n v="1303554"/>
    <n v="853138"/>
    <n v="1003872"/>
    <n v="19206"/>
    <n v="1870"/>
    <n v="564"/>
    <n v="2.5365181248520172"/>
    <n v="289755"/>
    <n v="907899"/>
    <n v="213.33333333333334"/>
    <d v="2025-09-05T00:00:00"/>
    <d v="2025-10-03T00:00:00"/>
    <x v="0"/>
    <n v="28"/>
    <x v="11"/>
    <x v="0"/>
    <n v="0.33963438505845478"/>
    <n v="1.064187739849825"/>
  </r>
  <r>
    <s v="C0870"/>
    <x v="12"/>
    <x v="2"/>
    <x v="5"/>
    <n v="1931849"/>
    <n v="1485939"/>
    <n v="3923449"/>
    <n v="109893"/>
    <n v="14820"/>
    <n v="2211"/>
    <n v="8.5416696109328853"/>
    <n v="357788"/>
    <n v="1161552"/>
    <n v="224.64811564390087"/>
    <d v="2025-01-04T00:00:00"/>
    <d v="2025-01-20T00:00:00"/>
    <x v="1"/>
    <n v="16"/>
    <x v="10"/>
    <x v="0"/>
    <n v="0.24078242781163964"/>
    <n v="0.78169561469212401"/>
  </r>
  <r>
    <s v="C0871"/>
    <x v="1"/>
    <x v="0"/>
    <x v="3"/>
    <n v="1902494"/>
    <n v="1625030"/>
    <n v="1965894"/>
    <n v="180416"/>
    <n v="20017"/>
    <n v="17124"/>
    <n v="13.387875916136933"/>
    <n v="167495"/>
    <n v="700877"/>
    <n v="318.44652079166542"/>
    <d v="2026-01-27T00:00:00"/>
    <d v="2026-02-19T00:00:00"/>
    <x v="3"/>
    <n v="23"/>
    <x v="10"/>
    <x v="1"/>
    <n v="0.10307194328720085"/>
    <n v="0.4313009605976505"/>
  </r>
  <r>
    <s v="C0872"/>
    <x v="14"/>
    <x v="3"/>
    <x v="1"/>
    <n v="278734"/>
    <n v="180758"/>
    <n v="325578"/>
    <n v="24988"/>
    <n v="3041"/>
    <n v="1942"/>
    <n v="16.58073224974828"/>
    <n v="98009"/>
    <n v="381862"/>
    <n v="289.61932067463192"/>
    <d v="2025-02-26T00:00:00"/>
    <d v="2025-03-27T00:00:00"/>
    <x v="1"/>
    <n v="29"/>
    <x v="1"/>
    <x v="0"/>
    <n v="0.54221113311720648"/>
    <n v="2.112559333473484"/>
  </r>
  <r>
    <s v="C0873"/>
    <x v="11"/>
    <x v="3"/>
    <x v="7"/>
    <n v="1156631"/>
    <n v="295027"/>
    <n v="392442"/>
    <n v="31568"/>
    <n v="2071"/>
    <n v="874"/>
    <n v="11.698251346486932"/>
    <n v="432471"/>
    <n v="2095029"/>
    <n v="384.4322509486185"/>
    <d v="2025-05-17T00:00:00"/>
    <d v="2025-06-16T00:00:00"/>
    <x v="5"/>
    <n v="30"/>
    <x v="4"/>
    <x v="0"/>
    <n v="1.4658692255285108"/>
    <n v="7.1011432851908474"/>
  </r>
  <r>
    <s v="C0874"/>
    <x v="14"/>
    <x v="1"/>
    <x v="6"/>
    <n v="1938274"/>
    <n v="1314070"/>
    <n v="2420894"/>
    <n v="165433"/>
    <n v="24324"/>
    <n v="5393"/>
    <n v="14.850807034632856"/>
    <n v="464583"/>
    <n v="1808425"/>
    <n v="289.2576783911594"/>
    <d v="2026-02-09T00:00:00"/>
    <d v="2026-02-26T00:00:00"/>
    <x v="2"/>
    <n v="17"/>
    <x v="1"/>
    <x v="1"/>
    <n v="0.35354509272717588"/>
    <n v="1.3762014200156765"/>
  </r>
  <r>
    <s v="C0875"/>
    <x v="10"/>
    <x v="4"/>
    <x v="3"/>
    <n v="1764152"/>
    <n v="620759"/>
    <n v="1432010"/>
    <n v="91825"/>
    <n v="10965"/>
    <n v="5877"/>
    <n v="17.505505357151488"/>
    <n v="30976"/>
    <n v="119269"/>
    <n v="285.03680268595042"/>
    <d v="2025-06-11T00:00:00"/>
    <d v="2025-07-06T00:00:00"/>
    <x v="0"/>
    <n v="25"/>
    <x v="0"/>
    <x v="0"/>
    <n v="4.9900202816229811E-2"/>
    <n v="0.19213414545741583"/>
  </r>
  <r>
    <s v="C0876"/>
    <x v="3"/>
    <x v="2"/>
    <x v="5"/>
    <n v="388438"/>
    <n v="307045"/>
    <n v="809541"/>
    <n v="32330"/>
    <n v="4567"/>
    <n v="1197"/>
    <n v="12.40665049097038"/>
    <n v="360732"/>
    <n v="612751"/>
    <n v="69.863222558575345"/>
    <d v="2026-01-22T00:00:00"/>
    <d v="2026-02-12T00:00:00"/>
    <x v="4"/>
    <n v="21"/>
    <x v="10"/>
    <x v="1"/>
    <n v="1.1748505919327785"/>
    <n v="1.9956390757055156"/>
  </r>
  <r>
    <s v="C0877"/>
    <x v="0"/>
    <x v="2"/>
    <x v="0"/>
    <n v="1593588"/>
    <n v="1092007"/>
    <n v="1323028"/>
    <n v="70108"/>
    <n v="9743"/>
    <n v="1830"/>
    <n v="7.4798971068866775"/>
    <n v="33454"/>
    <n v="51350"/>
    <n v="53.49435045136606"/>
    <d v="2025-12-26T00:00:00"/>
    <d v="2026-01-02T00:00:00"/>
    <x v="1"/>
    <n v="7"/>
    <x v="5"/>
    <x v="0"/>
    <n v="3.0635334755180141E-2"/>
    <n v="4.7023508091065348E-2"/>
  </r>
  <r>
    <s v="C0878"/>
    <x v="0"/>
    <x v="0"/>
    <x v="6"/>
    <n v="83023"/>
    <n v="62471"/>
    <n v="147642"/>
    <n v="3918"/>
    <n v="377"/>
    <n v="295"/>
    <n v="7.34740919786781"/>
    <n v="329606"/>
    <n v="1527225"/>
    <n v="363.348664769452"/>
    <d v="2025-04-04T00:00:00"/>
    <d v="2025-04-27T00:00:00"/>
    <x v="2"/>
    <n v="23"/>
    <x v="2"/>
    <x v="0"/>
    <n v="5.2761441308767267"/>
    <n v="24.446943381729124"/>
  </r>
  <r>
    <s v="C0879"/>
    <x v="8"/>
    <x v="0"/>
    <x v="4"/>
    <n v="1735258"/>
    <n v="435793"/>
    <n v="1048784"/>
    <n v="32508"/>
    <n v="4383"/>
    <n v="2879"/>
    <n v="9.1258923387938768"/>
    <n v="446020"/>
    <n v="1804411"/>
    <n v="304.55831577059325"/>
    <d v="2025-05-12T00:00:00"/>
    <d v="2025-05-22T00:00:00"/>
    <x v="1"/>
    <n v="10"/>
    <x v="4"/>
    <x v="0"/>
    <n v="1.023467563728651"/>
    <n v="4.1405231382789536"/>
  </r>
  <r>
    <s v="C0880"/>
    <x v="1"/>
    <x v="2"/>
    <x v="5"/>
    <n v="1477957"/>
    <n v="965695"/>
    <n v="1168372"/>
    <n v="23810"/>
    <n v="3143"/>
    <n v="950"/>
    <n v="2.8894216082717628"/>
    <n v="166901"/>
    <n v="466528"/>
    <n v="179.52378955189005"/>
    <d v="2026-03-02T00:00:00"/>
    <d v="2026-03-20T00:00:00"/>
    <x v="4"/>
    <n v="18"/>
    <x v="9"/>
    <x v="1"/>
    <n v="0.17282993077524478"/>
    <n v="0.48310077198287243"/>
  </r>
  <r>
    <s v="C0881"/>
    <x v="0"/>
    <x v="2"/>
    <x v="6"/>
    <n v="430694"/>
    <n v="170998"/>
    <n v="415011"/>
    <n v="3503"/>
    <n v="137"/>
    <n v="105"/>
    <n v="2.1900840945508135"/>
    <n v="496933"/>
    <n v="656083"/>
    <n v="32.026450245807787"/>
    <d v="2026-04-20T00:00:00"/>
    <d v="2026-05-03T00:00:00"/>
    <x v="6"/>
    <n v="13"/>
    <x v="2"/>
    <x v="1"/>
    <n v="2.9060749248529221"/>
    <n v="3.8367875647668392"/>
  </r>
  <r>
    <s v="C0882"/>
    <x v="11"/>
    <x v="0"/>
    <x v="4"/>
    <n v="353241"/>
    <n v="133887"/>
    <n v="305939"/>
    <n v="7937"/>
    <n v="723"/>
    <n v="228"/>
    <n v="6.6384339032168924"/>
    <n v="354856"/>
    <n v="1604504"/>
    <n v="352.15636765335796"/>
    <d v="2025-09-17T00:00:00"/>
    <d v="2025-10-14T00:00:00"/>
    <x v="4"/>
    <n v="27"/>
    <x v="11"/>
    <x v="0"/>
    <n v="2.6504141552204472"/>
    <n v="11.984016372015207"/>
  </r>
  <r>
    <s v="C0883"/>
    <x v="4"/>
    <x v="3"/>
    <x v="6"/>
    <n v="839431"/>
    <n v="446174"/>
    <n v="1194144"/>
    <n v="42560"/>
    <n v="2290"/>
    <n v="2443"/>
    <n v="10.599676359447212"/>
    <n v="190522"/>
    <n v="762545"/>
    <n v="300.2398673119115"/>
    <d v="2025-10-17T00:00:00"/>
    <d v="2025-11-16T00:00:00"/>
    <x v="0"/>
    <n v="30"/>
    <x v="8"/>
    <x v="0"/>
    <n v="0.42701277976753466"/>
    <n v="1.7090753831464855"/>
  </r>
  <r>
    <s v="C0884"/>
    <x v="8"/>
    <x v="2"/>
    <x v="5"/>
    <n v="647348"/>
    <n v="312143"/>
    <n v="633459"/>
    <n v="37494"/>
    <n v="4143"/>
    <n v="1195"/>
    <n v="13.721915916743288"/>
    <n v="337172"/>
    <n v="541036"/>
    <n v="60.462909138362619"/>
    <d v="2026-03-30T00:00:00"/>
    <d v="2026-04-15T00:00:00"/>
    <x v="4"/>
    <n v="16"/>
    <x v="9"/>
    <x v="1"/>
    <n v="1.0801844026616005"/>
    <n v="1.7332953165696492"/>
  </r>
  <r>
    <s v="C0885"/>
    <x v="4"/>
    <x v="2"/>
    <x v="2"/>
    <n v="961152"/>
    <n v="324621"/>
    <n v="741925"/>
    <n v="47683"/>
    <n v="5312"/>
    <n v="2099"/>
    <n v="16.97179172019062"/>
    <n v="139251"/>
    <n v="356085"/>
    <n v="155.71450115259495"/>
    <d v="2026-04-24T00:00:00"/>
    <d v="2026-05-15T00:00:00"/>
    <x v="3"/>
    <n v="21"/>
    <x v="2"/>
    <x v="1"/>
    <n v="0.4289648543994381"/>
    <n v="1.0969253375474783"/>
  </r>
  <r>
    <s v="C0886"/>
    <x v="6"/>
    <x v="4"/>
    <x v="5"/>
    <n v="763792"/>
    <n v="450824"/>
    <n v="566470"/>
    <n v="38896"/>
    <n v="2615"/>
    <n v="3003"/>
    <n v="9.8739197558248897"/>
    <n v="486414"/>
    <n v="826102"/>
    <n v="69.835160994543742"/>
    <d v="2026-01-30T00:00:00"/>
    <d v="2026-02-09T00:00:00"/>
    <x v="0"/>
    <n v="10"/>
    <x v="10"/>
    <x v="1"/>
    <n v="1.0789443330434938"/>
    <n v="1.8324268450659238"/>
  </r>
  <r>
    <s v="C0887"/>
    <x v="12"/>
    <x v="4"/>
    <x v="4"/>
    <n v="437276"/>
    <n v="357881"/>
    <n v="931026"/>
    <n v="34284"/>
    <n v="3759"/>
    <n v="1995"/>
    <n v="11.187517638544655"/>
    <n v="23098"/>
    <n v="29001"/>
    <n v="25.556325222963029"/>
    <d v="2026-02-07T00:00:00"/>
    <d v="2026-02-22T00:00:00"/>
    <x v="5"/>
    <n v="15"/>
    <x v="1"/>
    <x v="1"/>
    <n v="6.4541006647461027E-2"/>
    <n v="8.1035316208460356E-2"/>
  </r>
  <r>
    <s v="C0888"/>
    <x v="9"/>
    <x v="2"/>
    <x v="4"/>
    <n v="1667991"/>
    <n v="671915"/>
    <n v="1263992"/>
    <n v="70318"/>
    <n v="5917"/>
    <n v="3654"/>
    <n v="11.889747959191267"/>
    <n v="366033"/>
    <n v="978314"/>
    <n v="167.27480855551275"/>
    <d v="2025-09-04T00:00:00"/>
    <d v="2025-09-17T00:00:00"/>
    <x v="0"/>
    <n v="13"/>
    <x v="11"/>
    <x v="0"/>
    <n v="0.5447608700505272"/>
    <n v="1.4560085725128922"/>
  </r>
  <r>
    <s v="C0889"/>
    <x v="5"/>
    <x v="1"/>
    <x v="3"/>
    <n v="1862286"/>
    <n v="892080"/>
    <n v="1465480"/>
    <n v="105439"/>
    <n v="6455"/>
    <n v="10069"/>
    <n v="13.671755896332167"/>
    <n v="310826"/>
    <n v="978578"/>
    <n v="214.8314491065741"/>
    <d v="2025-07-16T00:00:00"/>
    <d v="2025-08-07T00:00:00"/>
    <x v="1"/>
    <n v="22"/>
    <x v="7"/>
    <x v="0"/>
    <n v="0.34842839207245985"/>
    <n v="1.096962155860461"/>
  </r>
  <r>
    <s v="C0890"/>
    <x v="1"/>
    <x v="3"/>
    <x v="0"/>
    <n v="1760158"/>
    <n v="1504338"/>
    <n v="2690297"/>
    <n v="213683"/>
    <n v="14655"/>
    <n v="15436"/>
    <n v="16.204735903766306"/>
    <n v="126993"/>
    <n v="205300"/>
    <n v="61.66245383603821"/>
    <d v="2026-04-20T00:00:00"/>
    <d v="2026-05-17T00:00:00"/>
    <x v="3"/>
    <n v="27"/>
    <x v="2"/>
    <x v="1"/>
    <n v="8.4417863538646234E-2"/>
    <n v="0.13647198967253371"/>
  </r>
  <r>
    <s v="C0891"/>
    <x v="1"/>
    <x v="2"/>
    <x v="7"/>
    <n v="1964635"/>
    <n v="1511528"/>
    <n v="3298635"/>
    <n v="148717"/>
    <n v="18054"/>
    <n v="6570"/>
    <n v="11.467931788230189"/>
    <n v="391350"/>
    <n v="1030636"/>
    <n v="163.35403091861505"/>
    <d v="2025-02-02T00:00:00"/>
    <d v="2025-02-21T00:00:00"/>
    <x v="2"/>
    <n v="19"/>
    <x v="1"/>
    <x v="0"/>
    <n v="0.25891018889494605"/>
    <n v="0.68185041891384079"/>
  </r>
  <r>
    <s v="C0892"/>
    <x v="1"/>
    <x v="1"/>
    <x v="6"/>
    <n v="1559767"/>
    <n v="1018340"/>
    <n v="2957334"/>
    <n v="127789"/>
    <n v="4092"/>
    <n v="7919"/>
    <n v="13.728224365143271"/>
    <n v="230005"/>
    <n v="371014"/>
    <n v="61.306928110258475"/>
    <d v="2025-07-24T00:00:00"/>
    <d v="2025-08-08T00:00:00"/>
    <x v="1"/>
    <n v="15"/>
    <x v="7"/>
    <x v="0"/>
    <n v="0.22586267847673666"/>
    <n v="0.3643321483983738"/>
  </r>
  <r>
    <s v="C0893"/>
    <x v="6"/>
    <x v="2"/>
    <x v="5"/>
    <n v="849641"/>
    <n v="422823"/>
    <n v="877096"/>
    <n v="36741"/>
    <n v="3579"/>
    <n v="1861"/>
    <n v="9.9760419844710437"/>
    <n v="208827"/>
    <n v="959534"/>
    <n v="359.48751837645517"/>
    <d v="2026-04-14T00:00:00"/>
    <d v="2026-04-26T00:00:00"/>
    <x v="7"/>
    <n v="12"/>
    <x v="2"/>
    <x v="1"/>
    <n v="0.49388751321474944"/>
    <n v="2.2693514780416391"/>
  </r>
  <r>
    <s v="C0894"/>
    <x v="5"/>
    <x v="3"/>
    <x v="6"/>
    <n v="1056212"/>
    <n v="751859"/>
    <n v="1752462"/>
    <n v="24274"/>
    <n v="1922"/>
    <n v="715"/>
    <n v="3.5792615370701157"/>
    <n v="84489"/>
    <n v="152145"/>
    <n v="80.07669637467599"/>
    <d v="2026-04-23T00:00:00"/>
    <d v="2026-05-23T00:00:00"/>
    <x v="1"/>
    <n v="30"/>
    <x v="2"/>
    <x v="1"/>
    <n v="0.11237346364145405"/>
    <n v="0.20235842092732814"/>
  </r>
  <r>
    <s v="C0895"/>
    <x v="8"/>
    <x v="3"/>
    <x v="2"/>
    <n v="1882705"/>
    <n v="1623671"/>
    <n v="2114275"/>
    <n v="36256"/>
    <n v="4658"/>
    <n v="2995"/>
    <n v="2.7043040123276207"/>
    <n v="176316"/>
    <n v="795694"/>
    <n v="351.2885954763039"/>
    <d v="2025-03-30T00:00:00"/>
    <d v="2025-04-27T00:00:00"/>
    <x v="6"/>
    <n v="28"/>
    <x v="9"/>
    <x v="0"/>
    <n v="0.10859096454885257"/>
    <n v="0.49005863872668787"/>
  </r>
  <r>
    <s v="C0896"/>
    <x v="5"/>
    <x v="2"/>
    <x v="0"/>
    <n v="924950"/>
    <n v="435628"/>
    <n v="1251799"/>
    <n v="36981"/>
    <n v="2230"/>
    <n v="3497"/>
    <n v="9.8037775349610214"/>
    <n v="161490"/>
    <n v="605229"/>
    <n v="274.77800483002045"/>
    <d v="2025-02-12T00:00:00"/>
    <d v="2025-03-10T00:00:00"/>
    <x v="4"/>
    <n v="26"/>
    <x v="1"/>
    <x v="0"/>
    <n v="0.37070619886692313"/>
    <n v="1.3893252958946625"/>
  </r>
  <r>
    <s v="C0897"/>
    <x v="3"/>
    <x v="3"/>
    <x v="4"/>
    <n v="471801"/>
    <n v="295985"/>
    <n v="782184"/>
    <n v="17356"/>
    <n v="656"/>
    <n v="722"/>
    <n v="6.329374799398618"/>
    <n v="86215"/>
    <n v="264926"/>
    <n v="207.2852751841327"/>
    <d v="2026-02-05T00:00:00"/>
    <d v="2026-03-06T00:00:00"/>
    <x v="5"/>
    <n v="29"/>
    <x v="1"/>
    <x v="1"/>
    <n v="0.29128165278645879"/>
    <n v="0.89506562832575975"/>
  </r>
  <r>
    <s v="C0898"/>
    <x v="4"/>
    <x v="3"/>
    <x v="4"/>
    <n v="334815"/>
    <n v="213443"/>
    <n v="503277"/>
    <n v="16097"/>
    <n v="897"/>
    <n v="449"/>
    <n v="8.1722052257511368"/>
    <n v="90330"/>
    <n v="354746"/>
    <n v="292.72224067308758"/>
    <d v="2025-11-07T00:00:00"/>
    <d v="2025-12-05T00:00:00"/>
    <x v="5"/>
    <n v="28"/>
    <x v="6"/>
    <x v="0"/>
    <n v="0.42320432152846427"/>
    <n v="1.6620174941319228"/>
  </r>
  <r>
    <s v="C0899"/>
    <x v="3"/>
    <x v="4"/>
    <x v="1"/>
    <n v="965239"/>
    <n v="621827"/>
    <n v="732261"/>
    <n v="57792"/>
    <n v="8212"/>
    <n v="1668"/>
    <n v="10.882769644933397"/>
    <n v="452178"/>
    <n v="1577427"/>
    <n v="248.85089500152594"/>
    <d v="2025-07-02T00:00:00"/>
    <d v="2025-07-26T00:00:00"/>
    <x v="4"/>
    <n v="24"/>
    <x v="7"/>
    <x v="0"/>
    <n v="0.7271765298065217"/>
    <n v="2.5367618324710892"/>
  </r>
  <r>
    <s v="C0900"/>
    <x v="1"/>
    <x v="2"/>
    <x v="0"/>
    <n v="232230"/>
    <n v="79947"/>
    <n v="104003"/>
    <n v="1922"/>
    <n v="135"/>
    <n v="179"/>
    <n v="2.7968529150562249"/>
    <n v="187403"/>
    <n v="653531"/>
    <n v="248.73027646302353"/>
    <d v="2026-03-08T00:00:00"/>
    <d v="2026-04-02T00:00:00"/>
    <x v="5"/>
    <n v="25"/>
    <x v="9"/>
    <x v="1"/>
    <n v="2.3440904599297032"/>
    <n v="8.1745531414562151"/>
  </r>
  <r>
    <s v="C0901"/>
    <x v="5"/>
    <x v="2"/>
    <x v="7"/>
    <n v="1955248"/>
    <n v="1305407"/>
    <n v="2489114"/>
    <n v="31040"/>
    <n v="3246"/>
    <n v="2874"/>
    <n v="2.8466217815593144"/>
    <n v="393716"/>
    <n v="1430307"/>
    <n v="263.28394070853102"/>
    <d v="2026-02-22T00:00:00"/>
    <d v="2026-03-12T00:00:00"/>
    <x v="1"/>
    <n v="18"/>
    <x v="1"/>
    <x v="1"/>
    <n v="0.30160402081496424"/>
    <n v="1.0956789721519802"/>
  </r>
  <r>
    <s v="C0902"/>
    <x v="4"/>
    <x v="1"/>
    <x v="5"/>
    <n v="1149091"/>
    <n v="532853"/>
    <n v="628755"/>
    <n v="11380"/>
    <n v="1341"/>
    <n v="1098"/>
    <n v="2.5933981792351739"/>
    <n v="142848"/>
    <n v="477927"/>
    <n v="234.5703125"/>
    <d v="2025-02-03T00:00:00"/>
    <d v="2025-03-04T00:00:00"/>
    <x v="7"/>
    <n v="29"/>
    <x v="1"/>
    <x v="0"/>
    <n v="0.26808144084766344"/>
    <n v="0.89692091439853017"/>
  </r>
  <r>
    <s v="C0903"/>
    <x v="6"/>
    <x v="3"/>
    <x v="3"/>
    <n v="514017"/>
    <n v="328241"/>
    <n v="462248"/>
    <n v="21486"/>
    <n v="2533"/>
    <n v="680"/>
    <n v="7.5246541413168986"/>
    <n v="427251"/>
    <n v="562784"/>
    <n v="31.722102464359359"/>
    <d v="2026-03-10T00:00:00"/>
    <d v="2026-03-24T00:00:00"/>
    <x v="4"/>
    <n v="14"/>
    <x v="9"/>
    <x v="1"/>
    <n v="1.3016381256454861"/>
    <n v="1.7145451055779137"/>
  </r>
  <r>
    <s v="C0904"/>
    <x v="9"/>
    <x v="3"/>
    <x v="2"/>
    <n v="934044"/>
    <n v="513421"/>
    <n v="1521406"/>
    <n v="57697"/>
    <n v="2507"/>
    <n v="2012"/>
    <n v="12.11793050927017"/>
    <n v="460848"/>
    <n v="931255"/>
    <n v="102.07421969933688"/>
    <d v="2025-04-15T00:00:00"/>
    <d v="2025-04-29T00:00:00"/>
    <x v="5"/>
    <n v="14"/>
    <x v="2"/>
    <x v="0"/>
    <n v="0.89760255229139441"/>
    <n v="1.8138233535441675"/>
  </r>
  <r>
    <s v="C0905"/>
    <x v="12"/>
    <x v="1"/>
    <x v="6"/>
    <n v="1371014"/>
    <n v="1039681"/>
    <n v="2700172"/>
    <n v="33079"/>
    <n v="1918"/>
    <n v="1873"/>
    <n v="3.5462800609032965"/>
    <n v="132647"/>
    <n v="649921"/>
    <n v="389.96283368640076"/>
    <d v="2025-06-18T00:00:00"/>
    <d v="2025-07-06T00:00:00"/>
    <x v="2"/>
    <n v="18"/>
    <x v="0"/>
    <x v="0"/>
    <n v="0.12758432634625427"/>
    <n v="0.62511578070581264"/>
  </r>
  <r>
    <s v="C0906"/>
    <x v="9"/>
    <x v="2"/>
    <x v="2"/>
    <n v="1952559"/>
    <n v="1305723"/>
    <n v="3906232"/>
    <n v="191415"/>
    <n v="10981"/>
    <n v="4932"/>
    <n v="15.878406063154282"/>
    <n v="112464"/>
    <n v="275392"/>
    <n v="144.87124768814908"/>
    <d v="2026-01-30T00:00:00"/>
    <d v="2026-02-08T00:00:00"/>
    <x v="6"/>
    <n v="9"/>
    <x v="10"/>
    <x v="1"/>
    <n v="8.6131591463120438E-2"/>
    <n v="0.21091150266940231"/>
  </r>
  <r>
    <s v="C0907"/>
    <x v="12"/>
    <x v="0"/>
    <x v="7"/>
    <n v="1235893"/>
    <n v="478298"/>
    <n v="1259168"/>
    <n v="35049"/>
    <n v="2191"/>
    <n v="2886"/>
    <n v="8.3893305010683719"/>
    <n v="379884"/>
    <n v="586526"/>
    <n v="54.396078803003022"/>
    <d v="2026-04-11T00:00:00"/>
    <d v="2026-04-30T00:00:00"/>
    <x v="7"/>
    <n v="19"/>
    <x v="2"/>
    <x v="1"/>
    <n v="0.79424124708863508"/>
    <n v="1.226277341740923"/>
  </r>
  <r>
    <s v="C0908"/>
    <x v="2"/>
    <x v="4"/>
    <x v="7"/>
    <n v="1717926"/>
    <n v="1153981"/>
    <n v="2487879"/>
    <n v="73357"/>
    <n v="2615"/>
    <n v="6114"/>
    <n v="7.1132886936613335"/>
    <n v="257885"/>
    <n v="934529"/>
    <n v="262.38206952711482"/>
    <d v="2025-12-08T00:00:00"/>
    <d v="2025-12-27T00:00:00"/>
    <x v="3"/>
    <n v="19"/>
    <x v="5"/>
    <x v="0"/>
    <n v="0.2234742166465479"/>
    <n v="0.80983049114326844"/>
  </r>
  <r>
    <s v="C0909"/>
    <x v="13"/>
    <x v="4"/>
    <x v="2"/>
    <n v="1557331"/>
    <n v="887153"/>
    <n v="2301619"/>
    <n v="85311"/>
    <n v="8888"/>
    <n v="3172"/>
    <n v="10.975671614704567"/>
    <n v="403686"/>
    <n v="1106080"/>
    <n v="173.99513483251835"/>
    <d v="2025-09-04T00:00:00"/>
    <d v="2025-09-20T00:00:00"/>
    <x v="1"/>
    <n v="16"/>
    <x v="11"/>
    <x v="0"/>
    <n v="0.45503537721227344"/>
    <n v="1.2467747953284269"/>
  </r>
  <r>
    <s v="C0910"/>
    <x v="7"/>
    <x v="4"/>
    <x v="3"/>
    <n v="754136"/>
    <n v="400467"/>
    <n v="768522"/>
    <n v="45754"/>
    <n v="3618"/>
    <n v="3256"/>
    <n v="13.141657115317868"/>
    <n v="352206"/>
    <n v="1053387"/>
    <n v="199.08263913732304"/>
    <d v="2026-02-01T00:00:00"/>
    <d v="2026-02-20T00:00:00"/>
    <x v="5"/>
    <n v="19"/>
    <x v="1"/>
    <x v="1"/>
    <n v="0.87948819752938445"/>
    <n v="2.630396512072156"/>
  </r>
  <r>
    <s v="C0911"/>
    <x v="4"/>
    <x v="2"/>
    <x v="5"/>
    <n v="1922408"/>
    <n v="1200465"/>
    <n v="2226851"/>
    <n v="53963"/>
    <n v="1745"/>
    <n v="4299"/>
    <n v="4.9986463578696583"/>
    <n v="113046"/>
    <n v="384367"/>
    <n v="240.00937671390409"/>
    <d v="2025-04-09T00:00:00"/>
    <d v="2025-04-23T00:00:00"/>
    <x v="4"/>
    <n v="14"/>
    <x v="2"/>
    <x v="0"/>
    <n v="9.4168509702490286E-2"/>
    <n v="0.3201817629002095"/>
  </r>
  <r>
    <s v="C0912"/>
    <x v="10"/>
    <x v="2"/>
    <x v="6"/>
    <n v="830503"/>
    <n v="732531"/>
    <n v="976112"/>
    <n v="105996"/>
    <n v="6077"/>
    <n v="8073"/>
    <n v="16.401490175842387"/>
    <n v="265191"/>
    <n v="1146590"/>
    <n v="332.36384341851721"/>
    <d v="2025-06-20T00:00:00"/>
    <d v="2025-07-19T00:00:00"/>
    <x v="5"/>
    <n v="29"/>
    <x v="0"/>
    <x v="0"/>
    <n v="0.36202017389025176"/>
    <n v="1.5652443377822918"/>
  </r>
  <r>
    <s v="C0913"/>
    <x v="7"/>
    <x v="0"/>
    <x v="7"/>
    <n v="1055100"/>
    <n v="626965"/>
    <n v="1240332"/>
    <n v="13198"/>
    <n v="549"/>
    <n v="409"/>
    <n v="2.2578612841227184"/>
    <n v="430450"/>
    <n v="1633625"/>
    <n v="279.51562318503892"/>
    <d v="2025-05-07T00:00:00"/>
    <d v="2025-05-23T00:00:00"/>
    <x v="4"/>
    <n v="16"/>
    <x v="4"/>
    <x v="0"/>
    <n v="0.68656145079868891"/>
    <n v="2.6056079685468885"/>
  </r>
  <r>
    <s v="C0914"/>
    <x v="6"/>
    <x v="4"/>
    <x v="1"/>
    <n v="1793036"/>
    <n v="1136414"/>
    <n v="3178904"/>
    <n v="159016"/>
    <n v="21092"/>
    <n v="13998"/>
    <n v="17.080570989093761"/>
    <n v="414890"/>
    <n v="505757"/>
    <n v="21.901467858950564"/>
    <d v="2025-11-16T00:00:00"/>
    <d v="2025-12-08T00:00:00"/>
    <x v="4"/>
    <n v="22"/>
    <x v="6"/>
    <x v="0"/>
    <n v="0.36508701934330273"/>
    <n v="0.44504643554197676"/>
  </r>
  <r>
    <s v="C0915"/>
    <x v="11"/>
    <x v="2"/>
    <x v="7"/>
    <n v="1107078"/>
    <n v="744506"/>
    <n v="885419"/>
    <n v="67701"/>
    <n v="9865"/>
    <n v="2501"/>
    <n v="10.754379414000693"/>
    <n v="211250"/>
    <n v="362489"/>
    <n v="71.592426035502953"/>
    <d v="2026-04-11T00:00:00"/>
    <d v="2026-05-01T00:00:00"/>
    <x v="3"/>
    <n v="20"/>
    <x v="2"/>
    <x v="1"/>
    <n v="0.28374519480031052"/>
    <n v="0.48688526351701666"/>
  </r>
  <r>
    <s v="C0916"/>
    <x v="2"/>
    <x v="3"/>
    <x v="2"/>
    <n v="286358"/>
    <n v="230689"/>
    <n v="614732"/>
    <n v="6923"/>
    <n v="576"/>
    <n v="476"/>
    <n v="3.4570352292480351"/>
    <n v="188834"/>
    <n v="313070"/>
    <n v="65.79111812491395"/>
    <d v="2025-07-25T00:00:00"/>
    <d v="2025-08-16T00:00:00"/>
    <x v="1"/>
    <n v="22"/>
    <x v="7"/>
    <x v="0"/>
    <n v="0.81856525452015483"/>
    <n v="1.3571084880510125"/>
  </r>
  <r>
    <s v="C0917"/>
    <x v="10"/>
    <x v="0"/>
    <x v="7"/>
    <n v="1487781"/>
    <n v="791357"/>
    <n v="1110064"/>
    <n v="85029"/>
    <n v="6039"/>
    <n v="3182"/>
    <n v="11.909921817839484"/>
    <n v="204716"/>
    <n v="225440"/>
    <n v="10.123292756794779"/>
    <d v="2025-05-12T00:00:00"/>
    <d v="2025-06-11T00:00:00"/>
    <x v="3"/>
    <n v="30"/>
    <x v="4"/>
    <x v="0"/>
    <n v="0.25868982014438491"/>
    <n v="0.28487774796962684"/>
  </r>
  <r>
    <s v="C0918"/>
    <x v="1"/>
    <x v="0"/>
    <x v="7"/>
    <n v="612242"/>
    <n v="402044"/>
    <n v="932602"/>
    <n v="18725"/>
    <n v="1645"/>
    <n v="511"/>
    <n v="5.1937101411785775"/>
    <n v="152294"/>
    <n v="253883"/>
    <n v="66.705845272958882"/>
    <d v="2025-09-07T00:00:00"/>
    <d v="2025-09-19T00:00:00"/>
    <x v="5"/>
    <n v="12"/>
    <x v="11"/>
    <x v="0"/>
    <n v="0.37879933539612581"/>
    <n v="0.63148063396046206"/>
  </r>
  <r>
    <s v="C0919"/>
    <x v="11"/>
    <x v="1"/>
    <x v="7"/>
    <n v="1039046"/>
    <n v="723429"/>
    <n v="2043809"/>
    <n v="79771"/>
    <n v="5766"/>
    <n v="6555"/>
    <n v="12.729929267419472"/>
    <n v="389824"/>
    <n v="1446821"/>
    <n v="271.14723567558696"/>
    <d v="2025-05-31T00:00:00"/>
    <d v="2025-06-23T00:00:00"/>
    <x v="7"/>
    <n v="23"/>
    <x v="4"/>
    <x v="0"/>
    <n v="0.53885592089894097"/>
    <n v="1.999948854690647"/>
  </r>
  <r>
    <s v="C0920"/>
    <x v="10"/>
    <x v="2"/>
    <x v="7"/>
    <n v="707362"/>
    <n v="617087"/>
    <n v="1395247"/>
    <n v="55019"/>
    <n v="7762"/>
    <n v="3091"/>
    <n v="10.674669860165585"/>
    <n v="360336"/>
    <n v="1006171"/>
    <n v="179.23132853780916"/>
    <d v="2025-04-19T00:00:00"/>
    <d v="2025-05-01T00:00:00"/>
    <x v="4"/>
    <n v="12"/>
    <x v="2"/>
    <x v="0"/>
    <n v="0.58393062890645886"/>
    <n v="1.6305172528346894"/>
  </r>
  <r>
    <s v="C0921"/>
    <x v="4"/>
    <x v="1"/>
    <x v="3"/>
    <n v="1673057"/>
    <n v="825105"/>
    <n v="945977"/>
    <n v="42209"/>
    <n v="1743"/>
    <n v="1382"/>
    <n v="5.4943310245362715"/>
    <n v="265212"/>
    <n v="1267918"/>
    <n v="378.07716091277922"/>
    <d v="2025-10-23T00:00:00"/>
    <d v="2025-10-30T00:00:00"/>
    <x v="0"/>
    <n v="7"/>
    <x v="8"/>
    <x v="0"/>
    <n v="0.32142818186776229"/>
    <n v="1.5366747262469624"/>
  </r>
  <r>
    <s v="C0922"/>
    <x v="7"/>
    <x v="2"/>
    <x v="1"/>
    <n v="727967"/>
    <n v="191283"/>
    <n v="280807"/>
    <n v="21917"/>
    <n v="1781"/>
    <n v="450"/>
    <n v="12.624226930777956"/>
    <n v="36019"/>
    <n v="172384"/>
    <n v="378.59185429911992"/>
    <d v="2025-06-05T00:00:00"/>
    <d v="2025-06-19T00:00:00"/>
    <x v="6"/>
    <n v="14"/>
    <x v="0"/>
    <x v="0"/>
    <n v="0.1883021491716462"/>
    <n v="0.9011987474056764"/>
  </r>
  <r>
    <s v="C0923"/>
    <x v="13"/>
    <x v="1"/>
    <x v="0"/>
    <n v="1888794"/>
    <n v="1059894"/>
    <n v="2305741"/>
    <n v="139974"/>
    <n v="9616"/>
    <n v="7143"/>
    <n v="14.787610836555354"/>
    <n v="243401"/>
    <n v="489189"/>
    <n v="100.98068619274365"/>
    <d v="2025-02-06T00:00:00"/>
    <d v="2025-02-24T00:00:00"/>
    <x v="4"/>
    <n v="18"/>
    <x v="1"/>
    <x v="0"/>
    <n v="0.22964654956061645"/>
    <n v="0.46154521112488606"/>
  </r>
  <r>
    <s v="C0924"/>
    <x v="11"/>
    <x v="2"/>
    <x v="4"/>
    <n v="147521"/>
    <n v="40610"/>
    <n v="86583"/>
    <n v="4432"/>
    <n v="526"/>
    <n v="189"/>
    <n v="12.674218172863828"/>
    <n v="462047"/>
    <n v="1300574"/>
    <n v="181.48088830789942"/>
    <d v="2025-08-02T00:00:00"/>
    <d v="2025-08-10T00:00:00"/>
    <x v="2"/>
    <n v="8"/>
    <x v="3"/>
    <x v="0"/>
    <n v="11.377665599606008"/>
    <n v="32.025954198473279"/>
  </r>
  <r>
    <s v="C0925"/>
    <x v="14"/>
    <x v="1"/>
    <x v="3"/>
    <n v="957895"/>
    <n v="513199"/>
    <n v="977061"/>
    <n v="31445"/>
    <n v="3236"/>
    <n v="2308"/>
    <n v="7.2075354784401373"/>
    <n v="215626"/>
    <n v="297906"/>
    <n v="38.158663611994839"/>
    <d v="2025-12-28T00:00:00"/>
    <d v="2026-01-11T00:00:00"/>
    <x v="4"/>
    <n v="14"/>
    <x v="5"/>
    <x v="0"/>
    <n v="0.42016060046882397"/>
    <n v="0.58048827063186015"/>
  </r>
  <r>
    <s v="C0926"/>
    <x v="1"/>
    <x v="2"/>
    <x v="3"/>
    <n v="136732"/>
    <n v="113787"/>
    <n v="331420"/>
    <n v="4990"/>
    <n v="345"/>
    <n v="355"/>
    <n v="5.0005712427605964"/>
    <n v="278877"/>
    <n v="1015882"/>
    <n v="264.27600698515835"/>
    <d v="2026-04-22T00:00:00"/>
    <d v="2026-05-08T00:00:00"/>
    <x v="0"/>
    <n v="16"/>
    <x v="2"/>
    <x v="1"/>
    <n v="2.450868728413615"/>
    <n v="8.9279267403130405"/>
  </r>
  <r>
    <s v="C0927"/>
    <x v="6"/>
    <x v="3"/>
    <x v="5"/>
    <n v="988433"/>
    <n v="504876"/>
    <n v="1343103"/>
    <n v="65037"/>
    <n v="3276"/>
    <n v="4698"/>
    <n v="14.461174625056451"/>
    <n v="125336"/>
    <n v="505227"/>
    <n v="303.09807238143873"/>
    <d v="2025-01-03T00:00:00"/>
    <d v="2025-01-20T00:00:00"/>
    <x v="3"/>
    <n v="17"/>
    <x v="10"/>
    <x v="0"/>
    <n v="0.2482510557047671"/>
    <n v="1.0006952202124879"/>
  </r>
  <r>
    <s v="C0928"/>
    <x v="11"/>
    <x v="4"/>
    <x v="7"/>
    <n v="280209"/>
    <n v="87846"/>
    <n v="139112"/>
    <n v="12401"/>
    <n v="1847"/>
    <n v="825"/>
    <n v="17.15843635452952"/>
    <n v="30247"/>
    <n v="108912"/>
    <n v="260.07537937646708"/>
    <d v="2026-02-19T00:00:00"/>
    <d v="2026-03-08T00:00:00"/>
    <x v="1"/>
    <n v="17"/>
    <x v="1"/>
    <x v="1"/>
    <n v="0.34431846640712155"/>
    <n v="1.2398060241786764"/>
  </r>
  <r>
    <s v="C0929"/>
    <x v="1"/>
    <x v="0"/>
    <x v="6"/>
    <n v="1297935"/>
    <n v="1149482"/>
    <n v="1633442"/>
    <n v="162685"/>
    <n v="8957"/>
    <n v="5049"/>
    <n v="15.371358577167801"/>
    <n v="134796"/>
    <n v="158363"/>
    <n v="17.483456482388203"/>
    <d v="2025-12-11T00:00:00"/>
    <d v="2026-01-08T00:00:00"/>
    <x v="1"/>
    <n v="28"/>
    <x v="5"/>
    <x v="0"/>
    <n v="0.11726673405934152"/>
    <n v="0.13776901247692439"/>
  </r>
  <r>
    <s v="C0930"/>
    <x v="9"/>
    <x v="4"/>
    <x v="6"/>
    <n v="759387"/>
    <n v="375612"/>
    <n v="846039"/>
    <n v="7652"/>
    <n v="1131"/>
    <n v="504"/>
    <n v="2.4724982162444222"/>
    <n v="26969"/>
    <n v="36182"/>
    <n v="34.161444621602584"/>
    <d v="2025-01-30T00:00:00"/>
    <d v="2025-02-15T00:00:00"/>
    <x v="1"/>
    <n v="16"/>
    <x v="10"/>
    <x v="0"/>
    <n v="7.1800155479590635E-2"/>
    <n v="9.6328125831975545E-2"/>
  </r>
  <r>
    <s v="C0931"/>
    <x v="7"/>
    <x v="2"/>
    <x v="6"/>
    <n v="546822"/>
    <n v="306251"/>
    <n v="877396"/>
    <n v="38068"/>
    <n v="1512"/>
    <n v="1607"/>
    <n v="13.448772412171717"/>
    <n v="466115"/>
    <n v="2107702"/>
    <n v="352.1849758106905"/>
    <d v="2025-10-04T00:00:00"/>
    <d v="2025-10-24T00:00:00"/>
    <x v="5"/>
    <n v="20"/>
    <x v="8"/>
    <x v="0"/>
    <n v="1.5220031934589602"/>
    <n v="6.8822697721803356"/>
  </r>
  <r>
    <s v="C0932"/>
    <x v="13"/>
    <x v="0"/>
    <x v="1"/>
    <n v="1009126"/>
    <n v="716286"/>
    <n v="1911762"/>
    <n v="27600"/>
    <n v="2260"/>
    <n v="1646"/>
    <n v="4.3985223779328368"/>
    <n v="457378"/>
    <n v="2076342"/>
    <n v="353.96630358259472"/>
    <d v="2025-11-24T00:00:00"/>
    <d v="2025-12-15T00:00:00"/>
    <x v="2"/>
    <n v="21"/>
    <x v="6"/>
    <x v="0"/>
    <n v="0.63854102970042692"/>
    <n v="2.8987611093892665"/>
  </r>
  <r>
    <s v="C0933"/>
    <x v="5"/>
    <x v="3"/>
    <x v="3"/>
    <n v="1789041"/>
    <n v="981256"/>
    <n v="1634468"/>
    <n v="91043"/>
    <n v="11904"/>
    <n v="3445"/>
    <n v="10.842430517622313"/>
    <n v="124747"/>
    <n v="405343"/>
    <n v="224.93206249448883"/>
    <d v="2025-05-25T00:00:00"/>
    <d v="2025-06-07T00:00:00"/>
    <x v="0"/>
    <n v="13"/>
    <x v="4"/>
    <x v="0"/>
    <n v="0.12712992328199776"/>
    <n v="0.41308588176785671"/>
  </r>
  <r>
    <s v="C0934"/>
    <x v="10"/>
    <x v="2"/>
    <x v="3"/>
    <n v="1831602"/>
    <n v="822430"/>
    <n v="1712408"/>
    <n v="17524"/>
    <n v="1379"/>
    <n v="1147"/>
    <n v="2.4378974502389261"/>
    <n v="279509"/>
    <n v="401966"/>
    <n v="43.811469398123137"/>
    <d v="2025-08-19T00:00:00"/>
    <d v="2025-09-12T00:00:00"/>
    <x v="7"/>
    <n v="24"/>
    <x v="3"/>
    <x v="0"/>
    <n v="0.33985749547073912"/>
    <n v="0.48875405809612976"/>
  </r>
  <r>
    <s v="C0935"/>
    <x v="3"/>
    <x v="0"/>
    <x v="3"/>
    <n v="955142"/>
    <n v="690326"/>
    <n v="1191852"/>
    <n v="39301"/>
    <n v="2977"/>
    <n v="3693"/>
    <n v="6.6593174818853695"/>
    <n v="452582"/>
    <n v="842549"/>
    <n v="86.164938066471933"/>
    <d v="2025-08-02T00:00:00"/>
    <d v="2025-09-01T00:00:00"/>
    <x v="5"/>
    <n v="30"/>
    <x v="3"/>
    <x v="0"/>
    <n v="0.6556061918571805"/>
    <n v="1.2205088610308752"/>
  </r>
  <r>
    <s v="C0936"/>
    <x v="9"/>
    <x v="3"/>
    <x v="2"/>
    <n v="1815544"/>
    <n v="993652"/>
    <n v="1124492"/>
    <n v="43096"/>
    <n v="5967"/>
    <n v="3651"/>
    <n v="5.305076626424543"/>
    <n v="14674"/>
    <n v="69317"/>
    <n v="372.37971923129345"/>
    <d v="2025-01-07T00:00:00"/>
    <d v="2025-02-04T00:00:00"/>
    <x v="4"/>
    <n v="28"/>
    <x v="10"/>
    <x v="0"/>
    <n v="1.4767745649382279E-2"/>
    <n v="6.9759835435343559E-2"/>
  </r>
  <r>
    <s v="C0937"/>
    <x v="9"/>
    <x v="2"/>
    <x v="0"/>
    <n v="1025414"/>
    <n v="374645"/>
    <n v="450029"/>
    <n v="11267"/>
    <n v="612"/>
    <n v="1123"/>
    <n v="3.4704853928385537"/>
    <n v="185666"/>
    <n v="263454"/>
    <n v="41.896739306065733"/>
    <d v="2025-12-19T00:00:00"/>
    <d v="2026-01-17T00:00:00"/>
    <x v="2"/>
    <n v="29"/>
    <x v="5"/>
    <x v="0"/>
    <n v="0.49557848096197732"/>
    <n v="0.70320970518757753"/>
  </r>
  <r>
    <s v="C0938"/>
    <x v="2"/>
    <x v="1"/>
    <x v="5"/>
    <n v="1729537"/>
    <n v="805606"/>
    <n v="1318169"/>
    <n v="114127"/>
    <n v="10664"/>
    <n v="2654"/>
    <n v="15.819767975908819"/>
    <n v="258881"/>
    <n v="1169433"/>
    <n v="351.72608264028645"/>
    <d v="2025-01-15T00:00:00"/>
    <d v="2025-01-25T00:00:00"/>
    <x v="1"/>
    <n v="10"/>
    <x v="10"/>
    <x v="0"/>
    <n v="0.32134939412069918"/>
    <n v="1.4516190296497296"/>
  </r>
  <r>
    <s v="C0939"/>
    <x v="5"/>
    <x v="2"/>
    <x v="5"/>
    <n v="423898"/>
    <n v="221494"/>
    <n v="536979"/>
    <n v="23842"/>
    <n v="2669"/>
    <n v="1053"/>
    <n v="12.444580891581714"/>
    <n v="53989"/>
    <n v="81045"/>
    <n v="50.113912093204171"/>
    <d v="2026-01-02T00:00:00"/>
    <d v="2026-01-09T00:00:00"/>
    <x v="3"/>
    <n v="7"/>
    <x v="10"/>
    <x v="1"/>
    <n v="0.24374926634581523"/>
    <n v="0.3659015594101872"/>
  </r>
  <r>
    <s v="C0940"/>
    <x v="14"/>
    <x v="4"/>
    <x v="6"/>
    <n v="1664662"/>
    <n v="1381537"/>
    <n v="4053363"/>
    <n v="121080"/>
    <n v="14987"/>
    <n v="12097"/>
    <n v="10.724577047158345"/>
    <n v="250391"/>
    <n v="1051890"/>
    <n v="320.09896521839846"/>
    <d v="2025-10-07T00:00:00"/>
    <d v="2025-10-14T00:00:00"/>
    <x v="1"/>
    <n v="7"/>
    <x v="8"/>
    <x v="0"/>
    <n v="0.18124089329493165"/>
    <n v="0.76139111728458952"/>
  </r>
  <r>
    <s v="C0941"/>
    <x v="4"/>
    <x v="1"/>
    <x v="0"/>
    <n v="172143"/>
    <n v="59695"/>
    <n v="128695"/>
    <n v="7688"/>
    <n v="870"/>
    <n v="592"/>
    <n v="15.327916910964067"/>
    <n v="279374"/>
    <n v="909592"/>
    <n v="225.58219447765362"/>
    <d v="2025-12-06T00:00:00"/>
    <d v="2026-01-04T00:00:00"/>
    <x v="2"/>
    <n v="29"/>
    <x v="5"/>
    <x v="0"/>
    <n v="4.6800234525504649"/>
    <n v="15.237323058882653"/>
  </r>
  <r>
    <s v="C0942"/>
    <x v="6"/>
    <x v="1"/>
    <x v="6"/>
    <n v="314675"/>
    <n v="103000"/>
    <n v="220454"/>
    <n v="3471"/>
    <n v="487"/>
    <n v="321"/>
    <n v="4.1543689320388353"/>
    <n v="417933"/>
    <n v="1802970"/>
    <n v="331.40168400198121"/>
    <d v="2025-09-02T00:00:00"/>
    <d v="2025-09-18T00:00:00"/>
    <x v="4"/>
    <n v="16"/>
    <x v="11"/>
    <x v="0"/>
    <n v="4.0576019417475724"/>
    <n v="17.504563106796116"/>
  </r>
  <r>
    <s v="C0943"/>
    <x v="4"/>
    <x v="2"/>
    <x v="0"/>
    <n v="901418"/>
    <n v="271985"/>
    <n v="343288"/>
    <n v="16538"/>
    <n v="2212"/>
    <n v="973"/>
    <n v="7.2515028402301605"/>
    <n v="191523"/>
    <n v="897128"/>
    <n v="368.41789236801844"/>
    <d v="2025-09-08T00:00:00"/>
    <d v="2025-09-16T00:00:00"/>
    <x v="4"/>
    <n v="8"/>
    <x v="11"/>
    <x v="0"/>
    <n v="0.70416750923764182"/>
    <n v="3.2984466055113333"/>
  </r>
  <r>
    <s v="C0944"/>
    <x v="1"/>
    <x v="4"/>
    <x v="4"/>
    <n v="950742"/>
    <n v="516473"/>
    <n v="1091345"/>
    <n v="17100"/>
    <n v="1845"/>
    <n v="1060"/>
    <n v="3.8733873793983422"/>
    <n v="78541"/>
    <n v="177725"/>
    <n v="126.28308781400797"/>
    <d v="2025-01-24T00:00:00"/>
    <d v="2025-02-01T00:00:00"/>
    <x v="7"/>
    <n v="8"/>
    <x v="10"/>
    <x v="0"/>
    <n v="0.15207184112238201"/>
    <n v="0.34411285778733836"/>
  </r>
  <r>
    <s v="C0945"/>
    <x v="5"/>
    <x v="4"/>
    <x v="5"/>
    <n v="921588"/>
    <n v="261579"/>
    <n v="412781"/>
    <n v="11608"/>
    <n v="932"/>
    <n v="879"/>
    <n v="5.1299989678070483"/>
    <n v="494922"/>
    <n v="1047313"/>
    <n v="111.6117287168483"/>
    <d v="2026-04-15T00:00:00"/>
    <d v="2026-05-01T00:00:00"/>
    <x v="1"/>
    <n v="16"/>
    <x v="2"/>
    <x v="1"/>
    <n v="1.8920555549183995"/>
    <n v="4.0038114680459822"/>
  </r>
  <r>
    <s v="C0946"/>
    <x v="8"/>
    <x v="1"/>
    <x v="2"/>
    <n v="1787322"/>
    <n v="642749"/>
    <n v="1071186"/>
    <n v="16479"/>
    <n v="2345"/>
    <n v="612"/>
    <n v="3.0238864626782771"/>
    <n v="134078"/>
    <n v="659880"/>
    <n v="392.16127925535881"/>
    <d v="2025-03-13T00:00:00"/>
    <d v="2025-03-20T00:00:00"/>
    <x v="4"/>
    <n v="7"/>
    <x v="9"/>
    <x v="0"/>
    <n v="0.20860086907953182"/>
    <n v="1.02665270579962"/>
  </r>
  <r>
    <s v="C0947"/>
    <x v="0"/>
    <x v="2"/>
    <x v="3"/>
    <n v="284594"/>
    <n v="102518"/>
    <n v="126444"/>
    <n v="11747"/>
    <n v="1602"/>
    <n v="252"/>
    <n v="13.266938488850737"/>
    <n v="238545"/>
    <n v="963339"/>
    <n v="303.83952713324527"/>
    <d v="2025-09-30T00:00:00"/>
    <d v="2025-10-22T00:00:00"/>
    <x v="5"/>
    <n v="22"/>
    <x v="11"/>
    <x v="0"/>
    <n v="2.3268596734232037"/>
    <n v="9.3967791022064411"/>
  </r>
  <r>
    <s v="C0948"/>
    <x v="7"/>
    <x v="1"/>
    <x v="6"/>
    <n v="842002"/>
    <n v="641323"/>
    <n v="1591033"/>
    <n v="74818"/>
    <n v="4066"/>
    <n v="3527"/>
    <n v="12.850155070066096"/>
    <n v="419220"/>
    <n v="1313509"/>
    <n v="213.3221220361624"/>
    <d v="2025-12-15T00:00:00"/>
    <d v="2026-01-07T00:00:00"/>
    <x v="0"/>
    <n v="23"/>
    <x v="5"/>
    <x v="0"/>
    <n v="0.65367997093508268"/>
    <n v="2.0481239562591704"/>
  </r>
  <r>
    <s v="C0949"/>
    <x v="6"/>
    <x v="1"/>
    <x v="3"/>
    <n v="639256"/>
    <n v="350659"/>
    <n v="493202"/>
    <n v="32462"/>
    <n v="1531"/>
    <n v="1957"/>
    <n v="10.252125284107922"/>
    <n v="139067"/>
    <n v="218072"/>
    <n v="56.810745899458539"/>
    <d v="2025-06-03T00:00:00"/>
    <d v="2025-06-21T00:00:00"/>
    <x v="7"/>
    <n v="18"/>
    <x v="0"/>
    <x v="0"/>
    <n v="0.39658756797914785"/>
    <n v="0.6218919234926239"/>
  </r>
  <r>
    <s v="C0950"/>
    <x v="9"/>
    <x v="2"/>
    <x v="0"/>
    <n v="647871"/>
    <n v="481012"/>
    <n v="683897"/>
    <n v="57891"/>
    <n v="3924"/>
    <n v="5277"/>
    <n v="13.94809277107432"/>
    <n v="102880"/>
    <n v="502584"/>
    <n v="388.51477449455678"/>
    <d v="2026-05-08T00:00:00"/>
    <d v="2026-05-31T00:00:00"/>
    <x v="1"/>
    <n v="23"/>
    <x v="4"/>
    <x v="1"/>
    <n v="0.21388239794433403"/>
    <n v="1.0448471140013138"/>
  </r>
  <r>
    <s v="C0951"/>
    <x v="1"/>
    <x v="0"/>
    <x v="0"/>
    <n v="1660392"/>
    <n v="923380"/>
    <n v="2048346"/>
    <n v="86729"/>
    <n v="8062"/>
    <n v="2988"/>
    <n v="10.589248196842037"/>
    <n v="435925"/>
    <n v="1953776"/>
    <n v="348.19085851924069"/>
    <d v="2025-06-01T00:00:00"/>
    <d v="2025-06-10T00:00:00"/>
    <x v="1"/>
    <n v="9"/>
    <x v="0"/>
    <x v="0"/>
    <n v="0.47209707812601531"/>
    <n v="2.1158959474972385"/>
  </r>
  <r>
    <s v="C0952"/>
    <x v="1"/>
    <x v="0"/>
    <x v="1"/>
    <n v="1378485"/>
    <n v="479803"/>
    <n v="875115"/>
    <n v="54064"/>
    <n v="6387"/>
    <n v="4816"/>
    <n v="13.602874513081412"/>
    <n v="281859"/>
    <n v="424220"/>
    <n v="50.507878052501432"/>
    <d v="2025-02-03T00:00:00"/>
    <d v="2025-02-22T00:00:00"/>
    <x v="4"/>
    <n v="19"/>
    <x v="1"/>
    <x v="0"/>
    <n v="0.58744734818248323"/>
    <n v="0.88415453842514535"/>
  </r>
  <r>
    <s v="C0953"/>
    <x v="3"/>
    <x v="1"/>
    <x v="4"/>
    <n v="315111"/>
    <n v="270880"/>
    <n v="648241"/>
    <n v="13957"/>
    <n v="1333"/>
    <n v="385"/>
    <n v="5.7866952155936211"/>
    <n v="294521"/>
    <n v="491400"/>
    <n v="66.847185769435796"/>
    <d v="2025-10-24T00:00:00"/>
    <d v="2025-10-31T00:00:00"/>
    <x v="1"/>
    <n v="7"/>
    <x v="8"/>
    <x v="0"/>
    <n v="1.0872748080330774"/>
    <n v="1.814087418783225"/>
  </r>
  <r>
    <s v="C0954"/>
    <x v="9"/>
    <x v="2"/>
    <x v="3"/>
    <n v="532981"/>
    <n v="219526"/>
    <n v="548171"/>
    <n v="18733"/>
    <n v="1310"/>
    <n v="1721"/>
    <n v="9.9140876251560179"/>
    <n v="274815"/>
    <n v="564531"/>
    <n v="105.42219311172971"/>
    <d v="2025-08-27T00:00:00"/>
    <d v="2025-09-23T00:00:00"/>
    <x v="4"/>
    <n v="27"/>
    <x v="3"/>
    <x v="0"/>
    <n v="1.251856272149996"/>
    <n v="2.5715906088572651"/>
  </r>
  <r>
    <s v="C0955"/>
    <x v="3"/>
    <x v="4"/>
    <x v="0"/>
    <n v="1503953"/>
    <n v="572590"/>
    <n v="1448954"/>
    <n v="78576"/>
    <n v="9067"/>
    <n v="6617"/>
    <n v="16.462040901866956"/>
    <n v="494181"/>
    <n v="2137638"/>
    <n v="332.56175368943769"/>
    <d v="2025-05-27T00:00:00"/>
    <d v="2025-06-16T00:00:00"/>
    <x v="3"/>
    <n v="20"/>
    <x v="4"/>
    <x v="0"/>
    <n v="0.86306257531567088"/>
    <n v="3.7332786112226897"/>
  </r>
  <r>
    <s v="C0956"/>
    <x v="8"/>
    <x v="2"/>
    <x v="7"/>
    <n v="1906309"/>
    <n v="599413"/>
    <n v="1619786"/>
    <n v="62637"/>
    <n v="6242"/>
    <n v="4503"/>
    <n v="12.242310393668472"/>
    <n v="41439"/>
    <n v="150831"/>
    <n v="263.98320422790124"/>
    <d v="2025-12-11T00:00:00"/>
    <d v="2025-12-31T00:00:00"/>
    <x v="4"/>
    <n v="20"/>
    <x v="5"/>
    <x v="0"/>
    <n v="6.9132634761007852E-2"/>
    <n v="0.25163117917028827"/>
  </r>
  <r>
    <s v="C0957"/>
    <x v="5"/>
    <x v="2"/>
    <x v="2"/>
    <n v="1697727"/>
    <n v="870683"/>
    <n v="1632822"/>
    <n v="93954"/>
    <n v="13302"/>
    <n v="6265"/>
    <n v="13.038155103522179"/>
    <n v="436297"/>
    <n v="1233211"/>
    <n v="182.65401779063345"/>
    <d v="2025-05-10T00:00:00"/>
    <d v="2025-05-24T00:00:00"/>
    <x v="6"/>
    <n v="14"/>
    <x v="4"/>
    <x v="0"/>
    <n v="0.5010974143287511"/>
    <n v="1.4163719746451924"/>
  </r>
  <r>
    <s v="C0958"/>
    <x v="12"/>
    <x v="0"/>
    <x v="2"/>
    <n v="1187626"/>
    <n v="551220"/>
    <n v="833517"/>
    <n v="41249"/>
    <n v="5048"/>
    <n v="2087"/>
    <n v="8.7776205507782734"/>
    <n v="291719"/>
    <n v="799261"/>
    <n v="173.98318244612111"/>
    <d v="2025-10-02T00:00:00"/>
    <d v="2025-10-31T00:00:00"/>
    <x v="1"/>
    <n v="29"/>
    <x v="8"/>
    <x v="0"/>
    <n v="0.52922426617321583"/>
    <n v="1.4499854867385074"/>
  </r>
  <r>
    <s v="C0959"/>
    <x v="1"/>
    <x v="0"/>
    <x v="2"/>
    <n v="1022154"/>
    <n v="820770"/>
    <n v="1319618"/>
    <n v="77368"/>
    <n v="7349"/>
    <n v="1862"/>
    <n v="10.548509326607942"/>
    <n v="185267"/>
    <n v="581875"/>
    <n v="214.07374222068691"/>
    <d v="2025-05-02T00:00:00"/>
    <d v="2025-05-20T00:00:00"/>
    <x v="6"/>
    <n v="18"/>
    <x v="4"/>
    <x v="0"/>
    <n v="0.22572340606990995"/>
    <n v="0.70893794851176339"/>
  </r>
  <r>
    <s v="C0960"/>
    <x v="5"/>
    <x v="4"/>
    <x v="1"/>
    <n v="1780336"/>
    <n v="521481"/>
    <n v="916446"/>
    <n v="74653"/>
    <n v="8634"/>
    <n v="5332"/>
    <n v="16.993715974311623"/>
    <n v="64184"/>
    <n v="120337"/>
    <n v="87.487535834475878"/>
    <d v="2025-03-07T00:00:00"/>
    <d v="2025-04-01T00:00:00"/>
    <x v="0"/>
    <n v="25"/>
    <x v="9"/>
    <x v="0"/>
    <n v="0.12308022727577803"/>
    <n v="0.23076008521882868"/>
  </r>
  <r>
    <s v="C0961"/>
    <x v="1"/>
    <x v="0"/>
    <x v="7"/>
    <n v="1219519"/>
    <n v="703027"/>
    <n v="1217988"/>
    <n v="55769"/>
    <n v="4309"/>
    <n v="2772"/>
    <n v="8.9399126918311804"/>
    <n v="216442"/>
    <n v="390648"/>
    <n v="80.486227257186684"/>
    <d v="2025-01-28T00:00:00"/>
    <d v="2025-02-13T00:00:00"/>
    <x v="7"/>
    <n v="16"/>
    <x v="10"/>
    <x v="0"/>
    <n v="0.30787153267228712"/>
    <n v="0.55566571411908794"/>
  </r>
  <r>
    <s v="C0962"/>
    <x v="6"/>
    <x v="0"/>
    <x v="3"/>
    <n v="1803669"/>
    <n v="1193625"/>
    <n v="2296478"/>
    <n v="62136"/>
    <n v="5693"/>
    <n v="3756"/>
    <n v="5.9972772018012357"/>
    <n v="13112"/>
    <n v="55548"/>
    <n v="323.64246491763271"/>
    <d v="2025-10-19T00:00:00"/>
    <d v="2025-11-14T00:00:00"/>
    <x v="6"/>
    <n v="26"/>
    <x v="8"/>
    <x v="0"/>
    <n v="1.0985024609906796E-2"/>
    <n v="4.6537229029217718E-2"/>
  </r>
  <r>
    <s v="C0963"/>
    <x v="4"/>
    <x v="3"/>
    <x v="1"/>
    <n v="510407"/>
    <n v="220612"/>
    <n v="527998"/>
    <n v="21949"/>
    <n v="1327"/>
    <n v="2032"/>
    <n v="11.471724112922233"/>
    <n v="387048"/>
    <n v="1451882"/>
    <n v="275.11678138112069"/>
    <d v="2025-07-08T00:00:00"/>
    <d v="2025-07-15T00:00:00"/>
    <x v="6"/>
    <n v="7"/>
    <x v="7"/>
    <x v="0"/>
    <n v="1.7544285895599514"/>
    <n v="6.5811560567874823"/>
  </r>
  <r>
    <s v="C0964"/>
    <x v="4"/>
    <x v="1"/>
    <x v="5"/>
    <n v="1960129"/>
    <n v="1235259"/>
    <n v="2198649"/>
    <n v="42307"/>
    <n v="5901"/>
    <n v="1629"/>
    <n v="4.0345385056899001"/>
    <n v="389083"/>
    <n v="617064"/>
    <n v="58.59443871873097"/>
    <d v="2025-03-12T00:00:00"/>
    <d v="2025-03-26T00:00:00"/>
    <x v="7"/>
    <n v="14"/>
    <x v="9"/>
    <x v="0"/>
    <n v="0.31498090683816105"/>
    <n v="0.4995422012711504"/>
  </r>
  <r>
    <s v="C0965"/>
    <x v="14"/>
    <x v="4"/>
    <x v="6"/>
    <n v="111247"/>
    <n v="34301"/>
    <n v="57190"/>
    <n v="3703"/>
    <n v="509"/>
    <n v="174"/>
    <n v="12.786799218681672"/>
    <n v="391531"/>
    <n v="1137303"/>
    <n v="190.4758499327001"/>
    <d v="2025-02-28T00:00:00"/>
    <d v="2025-03-12T00:00:00"/>
    <x v="2"/>
    <n v="12"/>
    <x v="1"/>
    <x v="0"/>
    <n v="11.414565173027025"/>
    <n v="33.156555202472234"/>
  </r>
  <r>
    <s v="C0966"/>
    <x v="9"/>
    <x v="1"/>
    <x v="4"/>
    <n v="53208"/>
    <n v="44207"/>
    <n v="114052"/>
    <n v="1174"/>
    <n v="168"/>
    <n v="88"/>
    <n v="3.2347818218834119"/>
    <n v="238392"/>
    <n v="518255"/>
    <n v="117.396137454277"/>
    <d v="2025-10-14T00:00:00"/>
    <d v="2025-11-03T00:00:00"/>
    <x v="0"/>
    <n v="20"/>
    <x v="8"/>
    <x v="0"/>
    <n v="5.3926301264505625"/>
    <n v="11.723369602099215"/>
  </r>
  <r>
    <s v="C0967"/>
    <x v="7"/>
    <x v="4"/>
    <x v="3"/>
    <n v="1569695"/>
    <n v="1190890"/>
    <n v="2710690"/>
    <n v="134204"/>
    <n v="17013"/>
    <n v="8538"/>
    <n v="13.414757030456215"/>
    <n v="228799"/>
    <n v="1011271"/>
    <n v="341.99100520544232"/>
    <d v="2025-07-13T00:00:00"/>
    <d v="2025-08-07T00:00:00"/>
    <x v="0"/>
    <n v="25"/>
    <x v="7"/>
    <x v="0"/>
    <n v="0.19212437756635795"/>
    <n v="0.84917246765024479"/>
  </r>
  <r>
    <s v="C0968"/>
    <x v="1"/>
    <x v="0"/>
    <x v="1"/>
    <n v="433098"/>
    <n v="246896"/>
    <n v="361259"/>
    <n v="36120"/>
    <n v="1773"/>
    <n v="900"/>
    <n v="15.712283714600481"/>
    <n v="238276"/>
    <n v="806264"/>
    <n v="238.37398646947236"/>
    <d v="2025-08-30T00:00:00"/>
    <d v="2025-09-18T00:00:00"/>
    <x v="5"/>
    <n v="19"/>
    <x v="3"/>
    <x v="0"/>
    <n v="0.96508651415980817"/>
    <n v="3.2656017108418118"/>
  </r>
  <r>
    <s v="C0969"/>
    <x v="12"/>
    <x v="2"/>
    <x v="0"/>
    <n v="1880816"/>
    <n v="1023665"/>
    <n v="1419699"/>
    <n v="141055"/>
    <n v="18311"/>
    <n v="12880"/>
    <n v="16.826403169005484"/>
    <n v="307667"/>
    <n v="1321888"/>
    <n v="329.64893862520188"/>
    <d v="2025-05-11T00:00:00"/>
    <d v="2025-06-05T00:00:00"/>
    <x v="2"/>
    <n v="25"/>
    <x v="4"/>
    <x v="0"/>
    <n v="0.30055438058349165"/>
    <n v="1.2913287061685219"/>
  </r>
  <r>
    <s v="C0970"/>
    <x v="8"/>
    <x v="2"/>
    <x v="6"/>
    <n v="60532"/>
    <n v="31774"/>
    <n v="82488"/>
    <n v="3936"/>
    <n v="231"/>
    <n v="297"/>
    <n v="14.04922263485869"/>
    <n v="434789"/>
    <n v="855644"/>
    <n v="96.795227110161491"/>
    <d v="2025-07-23T00:00:00"/>
    <d v="2025-07-31T00:00:00"/>
    <x v="0"/>
    <n v="8"/>
    <x v="7"/>
    <x v="0"/>
    <n v="13.683798073896897"/>
    <n v="26.929061496821301"/>
  </r>
  <r>
    <s v="C0971"/>
    <x v="11"/>
    <x v="4"/>
    <x v="4"/>
    <n v="1991662"/>
    <n v="593676"/>
    <n v="836297"/>
    <n v="44733"/>
    <n v="2723"/>
    <n v="3535"/>
    <n v="8.5890283589028371"/>
    <n v="162261"/>
    <n v="733518"/>
    <n v="352.06056908314383"/>
    <d v="2026-02-23T00:00:00"/>
    <d v="2026-03-10T00:00:00"/>
    <x v="2"/>
    <n v="15"/>
    <x v="1"/>
    <x v="1"/>
    <n v="0.27331574798374869"/>
    <n v="1.2355527257291856"/>
  </r>
  <r>
    <s v="C0972"/>
    <x v="1"/>
    <x v="4"/>
    <x v="2"/>
    <n v="412529"/>
    <n v="296740"/>
    <n v="861728"/>
    <n v="22763"/>
    <n v="981"/>
    <n v="1207"/>
    <n v="8.4083709644806888"/>
    <n v="43207"/>
    <n v="124726"/>
    <n v="188.6708172286898"/>
    <d v="2025-08-05T00:00:00"/>
    <d v="2025-08-17T00:00:00"/>
    <x v="6"/>
    <n v="12"/>
    <x v="3"/>
    <x v="0"/>
    <n v="0.14560558064298712"/>
    <n v="0.42032081957268991"/>
  </r>
  <r>
    <s v="C0973"/>
    <x v="4"/>
    <x v="4"/>
    <x v="5"/>
    <n v="274474"/>
    <n v="210104"/>
    <n v="553559"/>
    <n v="16966"/>
    <n v="2080"/>
    <n v="441"/>
    <n v="9.2749305106042712"/>
    <n v="458218"/>
    <n v="1562997"/>
    <n v="241.10336128218447"/>
    <d v="2025-09-11T00:00:00"/>
    <d v="2025-10-04T00:00:00"/>
    <x v="5"/>
    <n v="23"/>
    <x v="11"/>
    <x v="0"/>
    <n v="2.1809104062749878"/>
    <n v="7.4391587023569281"/>
  </r>
  <r>
    <s v="C0974"/>
    <x v="14"/>
    <x v="1"/>
    <x v="2"/>
    <n v="619308"/>
    <n v="392268"/>
    <n v="816139"/>
    <n v="40579"/>
    <n v="3477"/>
    <n v="2184"/>
    <n v="11.787859320668522"/>
    <n v="107512"/>
    <n v="393751"/>
    <n v="266.23911749386116"/>
    <d v="2025-07-06T00:00:00"/>
    <d v="2025-07-15T00:00:00"/>
    <x v="6"/>
    <n v="9"/>
    <x v="7"/>
    <x v="0"/>
    <n v="0.27407792631568212"/>
    <n v="1.0037805785840292"/>
  </r>
  <r>
    <s v="C0975"/>
    <x v="10"/>
    <x v="0"/>
    <x v="0"/>
    <n v="945091"/>
    <n v="558185"/>
    <n v="1452049"/>
    <n v="50895"/>
    <n v="4371"/>
    <n v="1763"/>
    <n v="10.216863584653833"/>
    <n v="405115"/>
    <n v="1983204"/>
    <n v="389.54099453241673"/>
    <d v="2025-01-29T00:00:00"/>
    <d v="2025-02-06T00:00:00"/>
    <x v="1"/>
    <n v="8"/>
    <x v="10"/>
    <x v="0"/>
    <n v="0.72577192149556147"/>
    <n v="3.5529510825264023"/>
  </r>
  <r>
    <s v="C0976"/>
    <x v="0"/>
    <x v="1"/>
    <x v="6"/>
    <n v="1750990"/>
    <n v="593982"/>
    <n v="895613"/>
    <n v="14063"/>
    <n v="1398"/>
    <n v="1329"/>
    <n v="2.8266849837200456"/>
    <n v="160793"/>
    <n v="450730"/>
    <n v="180.31692921955559"/>
    <d v="2025-02-25T00:00:00"/>
    <d v="2025-03-07T00:00:00"/>
    <x v="6"/>
    <n v="10"/>
    <x v="1"/>
    <x v="0"/>
    <n v="0.27070348933132654"/>
    <n v="0.75882770858376181"/>
  </r>
  <r>
    <s v="C0977"/>
    <x v="12"/>
    <x v="0"/>
    <x v="5"/>
    <n v="529258"/>
    <n v="396037"/>
    <n v="1085879"/>
    <n v="56081"/>
    <n v="2365"/>
    <n v="5026"/>
    <n v="16.026785376113846"/>
    <n v="443602"/>
    <n v="1874455"/>
    <n v="322.55332482720996"/>
    <d v="2025-02-19T00:00:00"/>
    <d v="2025-03-02T00:00:00"/>
    <x v="5"/>
    <n v="11"/>
    <x v="1"/>
    <x v="0"/>
    <n v="1.1201024146733765"/>
    <n v="4.733029994672215"/>
  </r>
  <r>
    <s v="C0978"/>
    <x v="10"/>
    <x v="2"/>
    <x v="3"/>
    <n v="60696"/>
    <n v="44954"/>
    <n v="109166"/>
    <n v="983"/>
    <n v="136"/>
    <n v="83"/>
    <n v="2.6738443742492324"/>
    <n v="344578"/>
    <n v="1405170"/>
    <n v="307.79446163132877"/>
    <d v="2025-06-17T00:00:00"/>
    <d v="2025-07-11T00:00:00"/>
    <x v="7"/>
    <n v="24"/>
    <x v="0"/>
    <x v="0"/>
    <n v="7.6651243493348753"/>
    <n v="31.257952573742049"/>
  </r>
  <r>
    <s v="C0979"/>
    <x v="12"/>
    <x v="0"/>
    <x v="2"/>
    <n v="1128470"/>
    <n v="918877"/>
    <n v="2482193"/>
    <n v="137795"/>
    <n v="13902"/>
    <n v="13005"/>
    <n v="17.924270604226681"/>
    <n v="346723"/>
    <n v="1499892"/>
    <n v="332.59085783175618"/>
    <d v="2026-01-07T00:00:00"/>
    <d v="2026-01-18T00:00:00"/>
    <x v="0"/>
    <n v="11"/>
    <x v="10"/>
    <x v="1"/>
    <n v="0.37733341894508188"/>
    <n v="1.632309873900424"/>
  </r>
  <r>
    <s v="C0980"/>
    <x v="8"/>
    <x v="0"/>
    <x v="3"/>
    <n v="1000098"/>
    <n v="508583"/>
    <n v="759627"/>
    <n v="49016"/>
    <n v="7160"/>
    <n v="4162"/>
    <n v="11.863943545104732"/>
    <n v="383278"/>
    <n v="1073999"/>
    <n v="180.21410047015482"/>
    <d v="2025-12-24T00:00:00"/>
    <d v="2026-01-03T00:00:00"/>
    <x v="4"/>
    <n v="10"/>
    <x v="5"/>
    <x v="0"/>
    <n v="0.75361936989635914"/>
    <n v="2.1117477383239316"/>
  </r>
  <r>
    <s v="C0981"/>
    <x v="9"/>
    <x v="0"/>
    <x v="0"/>
    <n v="1422174"/>
    <n v="472455"/>
    <n v="994648"/>
    <n v="21795"/>
    <n v="918"/>
    <n v="2109"/>
    <n v="5.2538336984474716"/>
    <n v="15200"/>
    <n v="51865"/>
    <n v="241.21710526315789"/>
    <d v="2026-02-20T00:00:00"/>
    <d v="2026-03-20T00:00:00"/>
    <x v="7"/>
    <n v="28"/>
    <x v="1"/>
    <x v="1"/>
    <n v="3.2172376205141233E-2"/>
    <n v="0.10977765078155592"/>
  </r>
  <r>
    <s v="C0982"/>
    <x v="11"/>
    <x v="4"/>
    <x v="0"/>
    <n v="933598"/>
    <n v="799449"/>
    <n v="2260117"/>
    <n v="91629"/>
    <n v="5363"/>
    <n v="4239"/>
    <n v="12.662596363245186"/>
    <n v="112614"/>
    <n v="549107"/>
    <n v="387.60100875557214"/>
    <d v="2025-12-16T00:00:00"/>
    <d v="2026-01-04T00:00:00"/>
    <x v="3"/>
    <n v="19"/>
    <x v="5"/>
    <x v="0"/>
    <n v="0.14086452043845199"/>
    <n v="0.68685682263659098"/>
  </r>
  <r>
    <s v="C0983"/>
    <x v="4"/>
    <x v="3"/>
    <x v="5"/>
    <n v="803649"/>
    <n v="529270"/>
    <n v="769797"/>
    <n v="23419"/>
    <n v="3329"/>
    <n v="709"/>
    <n v="5.1877113760462521"/>
    <n v="339913"/>
    <n v="1095695"/>
    <n v="222.34571787486797"/>
    <d v="2025-04-28T00:00:00"/>
    <d v="2025-05-26T00:00:00"/>
    <x v="3"/>
    <n v="28"/>
    <x v="2"/>
    <x v="0"/>
    <n v="0.64222986377463298"/>
    <n v="2.0702004647911272"/>
  </r>
  <r>
    <s v="C0984"/>
    <x v="13"/>
    <x v="1"/>
    <x v="1"/>
    <n v="680837"/>
    <n v="311208"/>
    <n v="496224"/>
    <n v="6954"/>
    <n v="1022"/>
    <n v="472"/>
    <n v="2.7145831726690832"/>
    <n v="276650"/>
    <n v="752372"/>
    <n v="171.95806976323874"/>
    <d v="2026-01-03T00:00:00"/>
    <d v="2026-01-14T00:00:00"/>
    <x v="7"/>
    <n v="11"/>
    <x v="10"/>
    <x v="1"/>
    <n v="0.88895529677900309"/>
    <n v="2.4175856661782475"/>
  </r>
  <r>
    <s v="C0985"/>
    <x v="10"/>
    <x v="4"/>
    <x v="1"/>
    <n v="733080"/>
    <n v="503528"/>
    <n v="969355"/>
    <n v="54691"/>
    <n v="2413"/>
    <n v="4511"/>
    <n v="12.236658140163009"/>
    <n v="195082"/>
    <n v="694609"/>
    <n v="256.06001578823265"/>
    <d v="2025-04-07T00:00:00"/>
    <d v="2025-04-29T00:00:00"/>
    <x v="1"/>
    <n v="22"/>
    <x v="2"/>
    <x v="0"/>
    <n v="0.38743029186063138"/>
    <n v="1.3794843583673599"/>
  </r>
  <r>
    <s v="C0986"/>
    <x v="3"/>
    <x v="2"/>
    <x v="3"/>
    <n v="969157"/>
    <n v="349315"/>
    <n v="780745"/>
    <n v="16334"/>
    <n v="965"/>
    <n v="379"/>
    <n v="5.0607617766199562"/>
    <n v="396265"/>
    <n v="859396"/>
    <n v="116.87406154972051"/>
    <d v="2025-01-20T00:00:00"/>
    <d v="2025-02-14T00:00:00"/>
    <x v="1"/>
    <n v="25"/>
    <x v="10"/>
    <x v="0"/>
    <n v="1.1344059087070408"/>
    <n v="2.4602321686729742"/>
  </r>
  <r>
    <s v="C0987"/>
    <x v="4"/>
    <x v="2"/>
    <x v="5"/>
    <n v="1068060"/>
    <n v="346503"/>
    <n v="547901"/>
    <n v="41244"/>
    <n v="4923"/>
    <n v="3497"/>
    <n v="14.332920638493752"/>
    <n v="305535"/>
    <n v="954211"/>
    <n v="212.3082461911074"/>
    <d v="2026-05-03T00:00:00"/>
    <d v="2026-05-10T00:00:00"/>
    <x v="0"/>
    <n v="7"/>
    <x v="4"/>
    <x v="1"/>
    <n v="0.88176725742634265"/>
    <n v="2.7538318571556379"/>
  </r>
  <r>
    <s v="C0988"/>
    <x v="3"/>
    <x v="0"/>
    <x v="5"/>
    <n v="1020799"/>
    <n v="801730"/>
    <n v="1824337"/>
    <n v="47185"/>
    <n v="2243"/>
    <n v="4033"/>
    <n v="6.6682050066730696"/>
    <n v="264380"/>
    <n v="1183962"/>
    <n v="347.82585672138589"/>
    <d v="2025-03-05T00:00:00"/>
    <d v="2025-03-12T00:00:00"/>
    <x v="7"/>
    <n v="7"/>
    <x v="9"/>
    <x v="0"/>
    <n v="0.32976188991306299"/>
    <n v="1.4767590086438078"/>
  </r>
  <r>
    <s v="C0989"/>
    <x v="1"/>
    <x v="0"/>
    <x v="6"/>
    <n v="1902665"/>
    <n v="533389"/>
    <n v="1035172"/>
    <n v="74317"/>
    <n v="2994"/>
    <n v="5093"/>
    <n v="15.449137496273826"/>
    <n v="140626"/>
    <n v="667951"/>
    <n v="374.98400011377697"/>
    <d v="2025-07-31T00:00:00"/>
    <d v="2025-08-08T00:00:00"/>
    <x v="4"/>
    <n v="8"/>
    <x v="7"/>
    <x v="0"/>
    <n v="0.2636462319245429"/>
    <n v="1.2522774185444394"/>
  </r>
  <r>
    <s v="C0990"/>
    <x v="1"/>
    <x v="1"/>
    <x v="3"/>
    <n v="52559"/>
    <n v="24608"/>
    <n v="42590"/>
    <n v="3125"/>
    <n v="197"/>
    <n v="201"/>
    <n v="14.316482444733419"/>
    <n v="185098"/>
    <n v="865754"/>
    <n v="367.7273660439335"/>
    <d v="2026-04-27T00:00:00"/>
    <d v="2026-05-21T00:00:00"/>
    <x v="1"/>
    <n v="24"/>
    <x v="2"/>
    <x v="1"/>
    <n v="7.5218628088426529"/>
    <n v="35.181810793237972"/>
  </r>
  <r>
    <s v="C0991"/>
    <x v="14"/>
    <x v="4"/>
    <x v="4"/>
    <n v="829560"/>
    <n v="523023"/>
    <n v="1400829"/>
    <n v="61839"/>
    <n v="3542"/>
    <n v="3822"/>
    <n v="13.231349290566571"/>
    <n v="153301"/>
    <n v="653444"/>
    <n v="326.24901337890816"/>
    <d v="2025-08-01T00:00:00"/>
    <d v="2025-08-11T00:00:00"/>
    <x v="3"/>
    <n v="10"/>
    <x v="3"/>
    <x v="0"/>
    <n v="0.29310565692139734"/>
    <n v="1.2493599707852237"/>
  </r>
  <r>
    <s v="C0992"/>
    <x v="2"/>
    <x v="3"/>
    <x v="2"/>
    <n v="725719"/>
    <n v="647380"/>
    <n v="1881123"/>
    <n v="82938"/>
    <n v="9749"/>
    <n v="6669"/>
    <n v="15.34740029040131"/>
    <n v="45975"/>
    <n v="175085"/>
    <n v="280.826536160957"/>
    <d v="2026-04-11T00:00:00"/>
    <d v="2026-04-30T00:00:00"/>
    <x v="6"/>
    <n v="19"/>
    <x v="2"/>
    <x v="1"/>
    <n v="7.1017022459760881E-2"/>
    <n v="0.27045166671815624"/>
  </r>
  <r>
    <s v="C0993"/>
    <x v="1"/>
    <x v="4"/>
    <x v="4"/>
    <n v="1268570"/>
    <n v="412353"/>
    <n v="927104"/>
    <n v="55059"/>
    <n v="5605"/>
    <n v="5169"/>
    <n v="15.965204569870961"/>
    <n v="333996"/>
    <n v="939351"/>
    <n v="181.24618258901305"/>
    <d v="2025-11-09T00:00:00"/>
    <d v="2025-11-24T00:00:00"/>
    <x v="2"/>
    <n v="15"/>
    <x v="6"/>
    <x v="0"/>
    <n v="0.80997591869102448"/>
    <n v="2.2780263512087946"/>
  </r>
  <r>
    <s v="C0994"/>
    <x v="10"/>
    <x v="1"/>
    <x v="4"/>
    <n v="820327"/>
    <n v="235374"/>
    <n v="524315"/>
    <n v="16642"/>
    <n v="804"/>
    <n v="1154"/>
    <n v="7.9023171633230511"/>
    <n v="31930"/>
    <n v="102708"/>
    <n v="221.6661446915127"/>
    <d v="2025-10-29T00:00:00"/>
    <d v="2025-11-24T00:00:00"/>
    <x v="2"/>
    <n v="26"/>
    <x v="8"/>
    <x v="0"/>
    <n v="0.13565644463704574"/>
    <n v="0.43636085548956127"/>
  </r>
  <r>
    <s v="C0995"/>
    <x v="10"/>
    <x v="1"/>
    <x v="7"/>
    <n v="402069"/>
    <n v="297783"/>
    <n v="434314"/>
    <n v="8090"/>
    <n v="613"/>
    <n v="446"/>
    <n v="3.0723714919924912"/>
    <n v="121753"/>
    <n v="605980"/>
    <n v="397.71258203083295"/>
    <d v="2026-02-17T00:00:00"/>
    <d v="2026-02-25T00:00:00"/>
    <x v="4"/>
    <n v="8"/>
    <x v="1"/>
    <x v="1"/>
    <n v="0.40886484453444288"/>
    <n v="2.0349717747487266"/>
  </r>
  <r>
    <s v="C0996"/>
    <x v="7"/>
    <x v="2"/>
    <x v="1"/>
    <n v="1094009"/>
    <n v="923496"/>
    <n v="2464704"/>
    <n v="130947"/>
    <n v="9239"/>
    <n v="11405"/>
    <n v="16.414905966024758"/>
    <n v="410625"/>
    <n v="1394561"/>
    <n v="239.61911719939116"/>
    <d v="2025-07-23T00:00:00"/>
    <d v="2025-08-16T00:00:00"/>
    <x v="2"/>
    <n v="24"/>
    <x v="7"/>
    <x v="0"/>
    <n v="0.44464188258530629"/>
    <n v="1.5100888363349705"/>
  </r>
  <r>
    <s v="C0997"/>
    <x v="0"/>
    <x v="3"/>
    <x v="1"/>
    <n v="940406"/>
    <n v="348670"/>
    <n v="778528"/>
    <n v="36592"/>
    <n v="2952"/>
    <n v="886"/>
    <n v="11.595491438896378"/>
    <n v="432568"/>
    <n v="550223"/>
    <n v="27.199191803369644"/>
    <d v="2026-01-24T00:00:00"/>
    <d v="2026-02-09T00:00:00"/>
    <x v="7"/>
    <n v="16"/>
    <x v="10"/>
    <x v="1"/>
    <n v="1.2406229385952332"/>
    <n v="1.5780623512203515"/>
  </r>
  <r>
    <s v="C0998"/>
    <x v="6"/>
    <x v="1"/>
    <x v="7"/>
    <n v="534783"/>
    <n v="140946"/>
    <n v="315089"/>
    <n v="5116"/>
    <n v="275"/>
    <n v="241"/>
    <n v="3.9958565691825236"/>
    <n v="125556"/>
    <n v="195196"/>
    <n v="55.465290388352606"/>
    <d v="2026-04-30T00:00:00"/>
    <d v="2026-05-26T00:00:00"/>
    <x v="5"/>
    <n v="26"/>
    <x v="2"/>
    <x v="1"/>
    <n v="0.89080924609424883"/>
    <n v="1.3848991812467186"/>
  </r>
  <r>
    <s v="C0999"/>
    <x v="12"/>
    <x v="4"/>
    <x v="2"/>
    <n v="790163"/>
    <n v="444867"/>
    <n v="539499"/>
    <n v="37302"/>
    <n v="4062"/>
    <n v="2854"/>
    <n v="9.9395999253709544"/>
    <n v="94877"/>
    <n v="110387"/>
    <n v="16.347481476016316"/>
    <d v="2025-12-04T00:00:00"/>
    <d v="2025-12-24T00:00:00"/>
    <x v="1"/>
    <n v="20"/>
    <x v="5"/>
    <x v="0"/>
    <n v="0.2132704830882039"/>
    <n v="0.24813483580485854"/>
  </r>
  <r>
    <s v="C1000"/>
    <x v="4"/>
    <x v="0"/>
    <x v="2"/>
    <n v="1814424"/>
    <n v="527331"/>
    <n v="817667"/>
    <n v="73960"/>
    <n v="10867"/>
    <n v="3095"/>
    <n v="16.673019412854543"/>
    <n v="77962"/>
    <n v="317720"/>
    <n v="307.53187450296298"/>
    <d v="2025-09-06T00:00:00"/>
    <d v="2025-09-15T00:00:00"/>
    <x v="7"/>
    <n v="9"/>
    <x v="11"/>
    <x v="0"/>
    <n v="0.14784262635801801"/>
    <n v="0.602505826511242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E0508D-ECB8-4BEF-9D6E-DCD06B119AB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22:F28" firstHeaderRow="1" firstDataRow="1" firstDataCol="1"/>
  <pivotFields count="22">
    <pivotField showAll="0"/>
    <pivotField showAll="0">
      <items count="16">
        <item x="9"/>
        <item x="14"/>
        <item x="4"/>
        <item x="1"/>
        <item x="2"/>
        <item x="10"/>
        <item x="12"/>
        <item x="6"/>
        <item x="8"/>
        <item x="13"/>
        <item x="11"/>
        <item x="3"/>
        <item x="7"/>
        <item x="5"/>
        <item x="0"/>
        <item t="default"/>
      </items>
    </pivotField>
    <pivotField axis="axisRow" showAll="0">
      <items count="6">
        <item x="2"/>
        <item x="4"/>
        <item x="0"/>
        <item x="3"/>
        <item x="1"/>
        <item t="default"/>
      </items>
    </pivotField>
    <pivotField showAll="0">
      <items count="9">
        <item x="4"/>
        <item x="5"/>
        <item x="6"/>
        <item x="3"/>
        <item x="0"/>
        <item x="7"/>
        <item x="1"/>
        <item x="2"/>
        <item t="default"/>
      </items>
    </pivotField>
    <pivotField showAll="0"/>
    <pivotField showAll="0"/>
    <pivotField showAll="0"/>
    <pivotField showAll="0"/>
    <pivotField showAll="0"/>
    <pivotField showAll="0"/>
    <pivotField dataField="1" showAll="0"/>
    <pivotField showAll="0"/>
    <pivotField showAll="0"/>
    <pivotField showAll="0"/>
    <pivotField numFmtId="14" showAll="0"/>
    <pivotField numFmtId="14" showAll="0"/>
    <pivotField showAll="0">
      <items count="9">
        <item x="1"/>
        <item x="4"/>
        <item x="5"/>
        <item x="2"/>
        <item x="6"/>
        <item x="3"/>
        <item x="7"/>
        <item x="0"/>
        <item t="default"/>
      </items>
    </pivotField>
    <pivotField showAll="0"/>
    <pivotField showAll="0"/>
    <pivotField showAll="0">
      <items count="3">
        <item x="0"/>
        <item x="1"/>
        <item t="default"/>
      </items>
    </pivotField>
    <pivotField showAll="0"/>
    <pivotField showAll="0"/>
  </pivotFields>
  <rowFields count="1">
    <field x="2"/>
  </rowFields>
  <rowItems count="6">
    <i>
      <x/>
    </i>
    <i>
      <x v="1"/>
    </i>
    <i>
      <x v="2"/>
    </i>
    <i>
      <x v="3"/>
    </i>
    <i>
      <x v="4"/>
    </i>
    <i t="grand">
      <x/>
    </i>
  </rowItems>
  <colItems count="1">
    <i/>
  </colItems>
  <dataFields count="1">
    <dataField name="Sum of Engagement_Rate (%)" fld="10" baseField="0" baseItem="0"/>
  </dataFields>
  <formats count="6">
    <format dxfId="293">
      <pivotArea type="all" dataOnly="0" outline="0" fieldPosition="0"/>
    </format>
    <format dxfId="292">
      <pivotArea outline="0" collapsedLevelsAreSubtotals="1" fieldPosition="0"/>
    </format>
    <format dxfId="291">
      <pivotArea field="2" type="button" dataOnly="0" labelOnly="1" outline="0" axis="axisRow" fieldPosition="0"/>
    </format>
    <format dxfId="290">
      <pivotArea dataOnly="0" labelOnly="1" fieldPosition="0">
        <references count="1">
          <reference field="2" count="0"/>
        </references>
      </pivotArea>
    </format>
    <format dxfId="289">
      <pivotArea dataOnly="0" labelOnly="1" grandRow="1" outline="0" fieldPosition="0"/>
    </format>
    <format dxfId="28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E87540-C7D4-478A-9E51-7EF04DE7CD6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H22:I38" firstHeaderRow="1" firstDataRow="1" firstDataCol="1"/>
  <pivotFields count="22">
    <pivotField showAll="0"/>
    <pivotField axis="axisRow" showAll="0">
      <items count="16">
        <item x="9"/>
        <item x="14"/>
        <item x="4"/>
        <item x="1"/>
        <item x="2"/>
        <item x="10"/>
        <item x="12"/>
        <item x="6"/>
        <item x="8"/>
        <item x="13"/>
        <item x="11"/>
        <item x="3"/>
        <item x="7"/>
        <item x="5"/>
        <item x="0"/>
        <item t="default"/>
      </items>
    </pivotField>
    <pivotField showAll="0">
      <items count="6">
        <item x="2"/>
        <item x="4"/>
        <item x="0"/>
        <item x="3"/>
        <item x="1"/>
        <item t="default"/>
      </items>
    </pivotField>
    <pivotField showAll="0">
      <items count="9">
        <item x="4"/>
        <item x="5"/>
        <item x="6"/>
        <item x="3"/>
        <item x="0"/>
        <item x="7"/>
        <item x="1"/>
        <item x="2"/>
        <item t="default"/>
      </items>
    </pivotField>
    <pivotField showAll="0"/>
    <pivotField showAll="0"/>
    <pivotField showAll="0"/>
    <pivotField showAll="0"/>
    <pivotField showAll="0"/>
    <pivotField showAll="0"/>
    <pivotField showAll="0"/>
    <pivotField showAll="0"/>
    <pivotField dataField="1" showAll="0"/>
    <pivotField showAll="0"/>
    <pivotField numFmtId="14" showAll="0"/>
    <pivotField numFmtId="14" showAll="0"/>
    <pivotField showAll="0">
      <items count="9">
        <item x="1"/>
        <item x="4"/>
        <item x="5"/>
        <item x="2"/>
        <item x="6"/>
        <item x="3"/>
        <item x="7"/>
        <item x="0"/>
        <item t="default"/>
      </items>
    </pivotField>
    <pivotField showAll="0"/>
    <pivotField showAll="0"/>
    <pivotField showAll="0">
      <items count="3">
        <item x="0"/>
        <item x="1"/>
        <item t="default"/>
      </items>
    </pivotField>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Revenue_Generated (₹)" fld="12" baseField="0" baseItem="0"/>
  </dataFields>
  <formats count="6">
    <format dxfId="299">
      <pivotArea type="all" dataOnly="0" outline="0" fieldPosition="0"/>
    </format>
    <format dxfId="298">
      <pivotArea outline="0" collapsedLevelsAreSubtotals="1" fieldPosition="0"/>
    </format>
    <format dxfId="297">
      <pivotArea field="1" type="button" dataOnly="0" labelOnly="1" outline="0" axis="axisRow" fieldPosition="0"/>
    </format>
    <format dxfId="296">
      <pivotArea dataOnly="0" labelOnly="1" fieldPosition="0">
        <references count="1">
          <reference field="1" count="10">
            <x v="2"/>
            <x v="3"/>
            <x v="6"/>
            <x v="8"/>
            <x v="9"/>
            <x v="10"/>
            <x v="11"/>
            <x v="12"/>
            <x v="13"/>
            <x v="14"/>
          </reference>
        </references>
      </pivotArea>
    </format>
    <format dxfId="295">
      <pivotArea dataOnly="0" labelOnly="1" grandRow="1" outline="0" fieldPosition="0"/>
    </format>
    <format dxfId="2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DC8BF-E024-4350-96C4-2F92F8D35D1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E4:F13" firstHeaderRow="1" firstDataRow="1" firstDataCol="1"/>
  <pivotFields count="22">
    <pivotField showAll="0"/>
    <pivotField showAll="0">
      <items count="16">
        <item x="9"/>
        <item x="14"/>
        <item x="4"/>
        <item x="1"/>
        <item x="2"/>
        <item x="10"/>
        <item x="12"/>
        <item x="6"/>
        <item x="8"/>
        <item x="13"/>
        <item x="11"/>
        <item x="3"/>
        <item x="7"/>
        <item x="5"/>
        <item x="0"/>
        <item t="default"/>
      </items>
    </pivotField>
    <pivotField showAll="0">
      <items count="6">
        <item x="2"/>
        <item x="4"/>
        <item x="0"/>
        <item x="3"/>
        <item x="1"/>
        <item t="default"/>
      </items>
    </pivotField>
    <pivotField showAll="0">
      <items count="9">
        <item x="4"/>
        <item x="5"/>
        <item x="6"/>
        <item x="3"/>
        <item x="0"/>
        <item x="7"/>
        <item x="1"/>
        <item x="2"/>
        <item t="default"/>
      </items>
    </pivotField>
    <pivotField showAll="0"/>
    <pivotField dataField="1" showAll="0"/>
    <pivotField showAll="0"/>
    <pivotField showAll="0"/>
    <pivotField showAll="0"/>
    <pivotField showAll="0"/>
    <pivotField showAll="0"/>
    <pivotField showAll="0"/>
    <pivotField showAll="0"/>
    <pivotField showAll="0"/>
    <pivotField numFmtId="14" showAll="0"/>
    <pivotField numFmtId="14" showAll="0"/>
    <pivotField axis="axisRow" showAll="0">
      <items count="9">
        <item x="1"/>
        <item x="4"/>
        <item x="5"/>
        <item x="2"/>
        <item x="6"/>
        <item x="3"/>
        <item x="7"/>
        <item x="0"/>
        <item t="default"/>
      </items>
    </pivotField>
    <pivotField showAll="0"/>
    <pivotField showAll="0"/>
    <pivotField showAll="0">
      <items count="3">
        <item x="0"/>
        <item x="1"/>
        <item t="default"/>
      </items>
    </pivotField>
    <pivotField showAll="0"/>
    <pivotField showAll="0"/>
  </pivotFields>
  <rowFields count="1">
    <field x="16"/>
  </rowFields>
  <rowItems count="9">
    <i>
      <x/>
    </i>
    <i>
      <x v="1"/>
    </i>
    <i>
      <x v="2"/>
    </i>
    <i>
      <x v="3"/>
    </i>
    <i>
      <x v="4"/>
    </i>
    <i>
      <x v="5"/>
    </i>
    <i>
      <x v="6"/>
    </i>
    <i>
      <x v="7"/>
    </i>
    <i t="grand">
      <x/>
    </i>
  </rowItems>
  <colItems count="1">
    <i/>
  </colItems>
  <dataFields count="1">
    <dataField name="Sum of Reach" fld="5" baseField="0" baseItem="0"/>
  </dataFields>
  <formats count="6">
    <format dxfId="305">
      <pivotArea type="all" dataOnly="0" outline="0" fieldPosition="0"/>
    </format>
    <format dxfId="304">
      <pivotArea outline="0" collapsedLevelsAreSubtotals="1" fieldPosition="0"/>
    </format>
    <format dxfId="303">
      <pivotArea field="16" type="button" dataOnly="0" labelOnly="1" outline="0" axis="axisRow" fieldPosition="0"/>
    </format>
    <format dxfId="302">
      <pivotArea dataOnly="0" labelOnly="1" fieldPosition="0">
        <references count="1">
          <reference field="16" count="0"/>
        </references>
      </pivotArea>
    </format>
    <format dxfId="301">
      <pivotArea dataOnly="0" labelOnly="1" grandRow="1" outline="0" fieldPosition="0"/>
    </format>
    <format dxfId="30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0E2741-72B3-4996-AE2E-011DBB2BEFC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H4:I17" firstHeaderRow="1" firstDataRow="1" firstDataCol="1"/>
  <pivotFields count="22">
    <pivotField showAll="0"/>
    <pivotField showAll="0">
      <items count="16">
        <item x="9"/>
        <item x="14"/>
        <item x="4"/>
        <item x="1"/>
        <item x="2"/>
        <item x="10"/>
        <item x="12"/>
        <item x="6"/>
        <item x="8"/>
        <item x="13"/>
        <item x="11"/>
        <item x="3"/>
        <item x="7"/>
        <item x="5"/>
        <item x="0"/>
        <item t="default"/>
      </items>
    </pivotField>
    <pivotField showAll="0">
      <items count="6">
        <item x="2"/>
        <item x="4"/>
        <item x="0"/>
        <item x="3"/>
        <item x="1"/>
        <item t="default"/>
      </items>
    </pivotField>
    <pivotField showAll="0">
      <items count="9">
        <item x="4"/>
        <item x="5"/>
        <item x="6"/>
        <item x="3"/>
        <item x="0"/>
        <item x="7"/>
        <item x="1"/>
        <item x="2"/>
        <item t="default"/>
      </items>
    </pivotField>
    <pivotField showAll="0"/>
    <pivotField showAll="0"/>
    <pivotField showAll="0"/>
    <pivotField showAll="0"/>
    <pivotField showAll="0"/>
    <pivotField showAll="0"/>
    <pivotField showAll="0"/>
    <pivotField showAll="0"/>
    <pivotField dataField="1" showAll="0"/>
    <pivotField showAll="0"/>
    <pivotField numFmtId="14" showAll="0"/>
    <pivotField numFmtId="14" showAll="0"/>
    <pivotField showAll="0">
      <items count="9">
        <item x="1"/>
        <item x="4"/>
        <item x="5"/>
        <item x="2"/>
        <item x="6"/>
        <item x="3"/>
        <item x="7"/>
        <item x="0"/>
        <item t="default"/>
      </items>
    </pivotField>
    <pivotField showAll="0"/>
    <pivotField axis="axisRow" showAll="0">
      <items count="13">
        <item x="10"/>
        <item x="1"/>
        <item x="9"/>
        <item x="2"/>
        <item x="4"/>
        <item x="0"/>
        <item x="7"/>
        <item x="3"/>
        <item x="11"/>
        <item x="8"/>
        <item x="6"/>
        <item x="5"/>
        <item t="default"/>
      </items>
    </pivotField>
    <pivotField showAll="0">
      <items count="3">
        <item x="0"/>
        <item x="1"/>
        <item t="default"/>
      </items>
    </pivotField>
    <pivotField showAll="0"/>
    <pivotField showAll="0"/>
  </pivotFields>
  <rowFields count="1">
    <field x="18"/>
  </rowFields>
  <rowItems count="13">
    <i>
      <x/>
    </i>
    <i>
      <x v="1"/>
    </i>
    <i>
      <x v="2"/>
    </i>
    <i>
      <x v="3"/>
    </i>
    <i>
      <x v="4"/>
    </i>
    <i>
      <x v="5"/>
    </i>
    <i>
      <x v="6"/>
    </i>
    <i>
      <x v="7"/>
    </i>
    <i>
      <x v="8"/>
    </i>
    <i>
      <x v="9"/>
    </i>
    <i>
      <x v="10"/>
    </i>
    <i>
      <x v="11"/>
    </i>
    <i t="grand">
      <x/>
    </i>
  </rowItems>
  <colItems count="1">
    <i/>
  </colItems>
  <dataFields count="1">
    <dataField name="Sum of Revenue_Generated (₹)" fld="12" baseField="0" baseItem="0"/>
  </dataFields>
  <formats count="6">
    <format dxfId="311">
      <pivotArea type="all" dataOnly="0" outline="0" fieldPosition="0"/>
    </format>
    <format dxfId="310">
      <pivotArea outline="0" collapsedLevelsAreSubtotals="1" fieldPosition="0"/>
    </format>
    <format dxfId="309">
      <pivotArea field="18" type="button" dataOnly="0" labelOnly="1" outline="0" axis="axisRow" fieldPosition="0"/>
    </format>
    <format dxfId="308">
      <pivotArea dataOnly="0" labelOnly="1" fieldPosition="0">
        <references count="1">
          <reference field="18" count="0"/>
        </references>
      </pivotArea>
    </format>
    <format dxfId="307">
      <pivotArea dataOnly="0" labelOnly="1" grandRow="1" outline="0" fieldPosition="0"/>
    </format>
    <format dxfId="30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647B13-D8EC-4588-BA25-B0422295628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37:D43" firstHeaderRow="0" firstDataRow="1" firstDataCol="1"/>
  <pivotFields count="22">
    <pivotField showAll="0"/>
    <pivotField showAll="0">
      <items count="16">
        <item x="9"/>
        <item x="14"/>
        <item x="4"/>
        <item x="1"/>
        <item x="2"/>
        <item x="10"/>
        <item x="12"/>
        <item x="6"/>
        <item x="8"/>
        <item x="13"/>
        <item x="11"/>
        <item x="3"/>
        <item x="7"/>
        <item x="5"/>
        <item x="0"/>
        <item t="default"/>
      </items>
    </pivotField>
    <pivotField axis="axisRow" showAll="0">
      <items count="6">
        <item x="2"/>
        <item x="4"/>
        <item x="0"/>
        <item x="3"/>
        <item x="1"/>
        <item t="default"/>
      </items>
    </pivotField>
    <pivotField showAll="0">
      <items count="9">
        <item x="4"/>
        <item x="5"/>
        <item x="6"/>
        <item x="3"/>
        <item x="0"/>
        <item x="7"/>
        <item x="1"/>
        <item x="2"/>
        <item t="default"/>
      </items>
    </pivotField>
    <pivotField showAll="0"/>
    <pivotField showAll="0"/>
    <pivotField showAll="0"/>
    <pivotField showAll="0"/>
    <pivotField showAll="0"/>
    <pivotField showAll="0"/>
    <pivotField showAll="0"/>
    <pivotField dataField="1" showAll="0"/>
    <pivotField dataField="1" showAll="0"/>
    <pivotField showAll="0"/>
    <pivotField numFmtId="14" showAll="0"/>
    <pivotField numFmtId="14" showAll="0"/>
    <pivotField showAll="0">
      <items count="9">
        <item x="1"/>
        <item x="4"/>
        <item x="5"/>
        <item x="2"/>
        <item x="6"/>
        <item x="3"/>
        <item x="7"/>
        <item x="0"/>
        <item t="default"/>
      </items>
    </pivotField>
    <pivotField showAll="0"/>
    <pivotField showAll="0"/>
    <pivotField showAll="0">
      <items count="3">
        <item x="0"/>
        <item x="1"/>
        <item t="default"/>
      </items>
    </pivotField>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Revenue_Generated (₹)" fld="12" baseField="0" baseItem="0"/>
    <dataField name="Sum of Campaign_Cost (₹)" fld="11" baseField="0" baseItem="0"/>
  </dataFields>
  <formats count="12">
    <format dxfId="323">
      <pivotArea type="all" dataOnly="0" outline="0" fieldPosition="0"/>
    </format>
    <format dxfId="322">
      <pivotArea outline="0" collapsedLevelsAreSubtotals="1" fieldPosition="0"/>
    </format>
    <format dxfId="321">
      <pivotArea field="2" type="button" dataOnly="0" labelOnly="1" outline="0" axis="axisRow" fieldPosition="0"/>
    </format>
    <format dxfId="320">
      <pivotArea dataOnly="0" labelOnly="1" fieldPosition="0">
        <references count="1">
          <reference field="2" count="0"/>
        </references>
      </pivotArea>
    </format>
    <format dxfId="319">
      <pivotArea dataOnly="0" labelOnly="1" grandRow="1" outline="0" fieldPosition="0"/>
    </format>
    <format dxfId="318">
      <pivotArea dataOnly="0" labelOnly="1" outline="0" fieldPosition="0">
        <references count="1">
          <reference field="4294967294" count="2">
            <x v="0"/>
            <x v="1"/>
          </reference>
        </references>
      </pivotArea>
    </format>
    <format dxfId="317">
      <pivotArea type="all" dataOnly="0" outline="0" fieldPosition="0"/>
    </format>
    <format dxfId="316">
      <pivotArea outline="0" collapsedLevelsAreSubtotals="1" fieldPosition="0"/>
    </format>
    <format dxfId="315">
      <pivotArea field="2" type="button" dataOnly="0" labelOnly="1" outline="0" axis="axisRow" fieldPosition="0"/>
    </format>
    <format dxfId="314">
      <pivotArea dataOnly="0" labelOnly="1" fieldPosition="0">
        <references count="1">
          <reference field="2" count="0"/>
        </references>
      </pivotArea>
    </format>
    <format dxfId="313">
      <pivotArea dataOnly="0" labelOnly="1" grandRow="1" outline="0" fieldPosition="0"/>
    </format>
    <format dxfId="312">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EF9185-2B4F-4B61-A1D5-12E238CAEF5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B22:C31" firstHeaderRow="1" firstDataRow="1" firstDataCol="1" rowPageCount="1" colPageCount="1"/>
  <pivotFields count="22">
    <pivotField showAll="0"/>
    <pivotField showAll="0">
      <items count="16">
        <item x="9"/>
        <item x="14"/>
        <item x="4"/>
        <item x="1"/>
        <item x="2"/>
        <item x="10"/>
        <item x="12"/>
        <item x="6"/>
        <item x="8"/>
        <item x="13"/>
        <item x="11"/>
        <item x="3"/>
        <item x="7"/>
        <item x="5"/>
        <item x="0"/>
        <item t="default"/>
      </items>
    </pivotField>
    <pivotField axis="axisPage" showAll="0">
      <items count="6">
        <item x="2"/>
        <item x="4"/>
        <item x="0"/>
        <item x="3"/>
        <item x="1"/>
        <item t="default"/>
      </items>
    </pivotField>
    <pivotField axis="axisRow" showAll="0">
      <items count="9">
        <item x="4"/>
        <item x="5"/>
        <item x="6"/>
        <item x="3"/>
        <item x="0"/>
        <item x="7"/>
        <item x="1"/>
        <item x="2"/>
        <item t="default"/>
      </items>
    </pivotField>
    <pivotField showAll="0"/>
    <pivotField showAll="0"/>
    <pivotField showAll="0"/>
    <pivotField showAll="0"/>
    <pivotField showAll="0"/>
    <pivotField showAll="0"/>
    <pivotField showAll="0"/>
    <pivotField showAll="0"/>
    <pivotField showAll="0"/>
    <pivotField dataField="1" showAll="0"/>
    <pivotField numFmtId="14" showAll="0"/>
    <pivotField numFmtId="14" showAll="0"/>
    <pivotField showAll="0">
      <items count="9">
        <item x="1"/>
        <item x="4"/>
        <item x="5"/>
        <item x="2"/>
        <item x="6"/>
        <item x="3"/>
        <item x="7"/>
        <item x="0"/>
        <item t="default"/>
      </items>
    </pivotField>
    <pivotField showAll="0"/>
    <pivotField showAll="0"/>
    <pivotField showAll="0">
      <items count="3">
        <item x="0"/>
        <item x="1"/>
        <item t="default"/>
      </items>
    </pivotField>
    <pivotField showAll="0"/>
    <pivotField showAll="0"/>
  </pivotFields>
  <rowFields count="1">
    <field x="3"/>
  </rowFields>
  <rowItems count="9">
    <i>
      <x/>
    </i>
    <i>
      <x v="1"/>
    </i>
    <i>
      <x v="2"/>
    </i>
    <i>
      <x v="3"/>
    </i>
    <i>
      <x v="4"/>
    </i>
    <i>
      <x v="5"/>
    </i>
    <i>
      <x v="6"/>
    </i>
    <i>
      <x v="7"/>
    </i>
    <i t="grand">
      <x/>
    </i>
  </rowItems>
  <colItems count="1">
    <i/>
  </colItems>
  <pageFields count="1">
    <pageField fld="2" hier="-1"/>
  </pageFields>
  <dataFields count="1">
    <dataField name="Sum of ROI (%)" fld="13" baseField="0" baseItem="0"/>
  </dataFields>
  <formats count="6">
    <format dxfId="329">
      <pivotArea type="all" dataOnly="0" outline="0" fieldPosition="0"/>
    </format>
    <format dxfId="328">
      <pivotArea outline="0" collapsedLevelsAreSubtotals="1" fieldPosition="0"/>
    </format>
    <format dxfId="327">
      <pivotArea field="3" type="button" dataOnly="0" labelOnly="1" outline="0" axis="axisRow" fieldPosition="0"/>
    </format>
    <format dxfId="326">
      <pivotArea dataOnly="0" labelOnly="1" fieldPosition="0">
        <references count="1">
          <reference field="3" count="0"/>
        </references>
      </pivotArea>
    </format>
    <format dxfId="325">
      <pivotArea dataOnly="0" labelOnly="1" grandRow="1" outline="0" fieldPosition="0"/>
    </format>
    <format dxfId="3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2F1C49-9A77-4DF6-AF33-4F5B79D66CF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7">
  <location ref="B5:C11" firstHeaderRow="1" firstDataRow="1" firstDataCol="1"/>
  <pivotFields count="22">
    <pivotField showAll="0"/>
    <pivotField showAll="0">
      <items count="16">
        <item x="9"/>
        <item x="14"/>
        <item x="4"/>
        <item x="1"/>
        <item x="2"/>
        <item x="10"/>
        <item x="12"/>
        <item x="6"/>
        <item x="8"/>
        <item x="13"/>
        <item x="11"/>
        <item x="3"/>
        <item x="7"/>
        <item x="5"/>
        <item x="0"/>
        <item t="default"/>
      </items>
    </pivotField>
    <pivotField axis="axisRow" showAll="0">
      <items count="6">
        <item x="2"/>
        <item x="4"/>
        <item x="0"/>
        <item x="3"/>
        <item x="1"/>
        <item t="default"/>
      </items>
    </pivotField>
    <pivotField showAll="0">
      <items count="9">
        <item x="4"/>
        <item x="5"/>
        <item x="6"/>
        <item x="3"/>
        <item x="0"/>
        <item x="7"/>
        <item x="1"/>
        <item x="2"/>
        <item t="default"/>
      </items>
    </pivotField>
    <pivotField showAll="0"/>
    <pivotField showAll="0"/>
    <pivotField showAll="0"/>
    <pivotField showAll="0"/>
    <pivotField showAll="0"/>
    <pivotField showAll="0"/>
    <pivotField showAll="0"/>
    <pivotField showAll="0"/>
    <pivotField dataField="1" showAll="0"/>
    <pivotField showAll="0"/>
    <pivotField numFmtId="14" showAll="0"/>
    <pivotField numFmtId="14" showAll="0"/>
    <pivotField showAll="0">
      <items count="9">
        <item x="1"/>
        <item x="4"/>
        <item x="5"/>
        <item x="2"/>
        <item x="6"/>
        <item x="3"/>
        <item x="7"/>
        <item x="0"/>
        <item t="default"/>
      </items>
    </pivotField>
    <pivotField showAll="0"/>
    <pivotField showAll="0"/>
    <pivotField showAll="0">
      <items count="3">
        <item x="0"/>
        <item x="1"/>
        <item t="default"/>
      </items>
    </pivotField>
    <pivotField showAll="0"/>
    <pivotField showAll="0"/>
  </pivotFields>
  <rowFields count="1">
    <field x="2"/>
  </rowFields>
  <rowItems count="6">
    <i>
      <x/>
    </i>
    <i>
      <x v="1"/>
    </i>
    <i>
      <x v="2"/>
    </i>
    <i>
      <x v="3"/>
    </i>
    <i>
      <x v="4"/>
    </i>
    <i t="grand">
      <x/>
    </i>
  </rowItems>
  <colItems count="1">
    <i/>
  </colItems>
  <dataFields count="1">
    <dataField name="Sum of Revenue_Generated (₹)" fld="12" baseField="0" baseItem="0"/>
  </dataFields>
  <formats count="6">
    <format dxfId="335">
      <pivotArea type="all" dataOnly="0" outline="0" fieldPosition="0"/>
    </format>
    <format dxfId="334">
      <pivotArea outline="0" collapsedLevelsAreSubtotals="1" fieldPosition="0"/>
    </format>
    <format dxfId="333">
      <pivotArea field="2" type="button" dataOnly="0" labelOnly="1" outline="0" axis="axisRow" fieldPosition="0"/>
    </format>
    <format dxfId="332">
      <pivotArea dataOnly="0" labelOnly="1" fieldPosition="0">
        <references count="1">
          <reference field="2" count="0"/>
        </references>
      </pivotArea>
    </format>
    <format dxfId="331">
      <pivotArea dataOnly="0" labelOnly="1" grandRow="1" outline="0" fieldPosition="0"/>
    </format>
    <format dxfId="33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66" format="7" series="1">
      <pivotArea type="data" outline="0" fieldPosition="0">
        <references count="1">
          <reference field="4294967294" count="1" selected="0">
            <x v="0"/>
          </reference>
        </references>
      </pivotArea>
    </chartFormat>
    <chartFormat chart="66" format="8">
      <pivotArea type="data" outline="0" fieldPosition="0">
        <references count="2">
          <reference field="4294967294" count="1" selected="0">
            <x v="0"/>
          </reference>
          <reference field="2" count="1" selected="0">
            <x v="0"/>
          </reference>
        </references>
      </pivotArea>
    </chartFormat>
    <chartFormat chart="66" format="9">
      <pivotArea type="data" outline="0" fieldPosition="0">
        <references count="2">
          <reference field="4294967294" count="1" selected="0">
            <x v="0"/>
          </reference>
          <reference field="2" count="1" selected="0">
            <x v="1"/>
          </reference>
        </references>
      </pivotArea>
    </chartFormat>
    <chartFormat chart="66" format="10">
      <pivotArea type="data" outline="0" fieldPosition="0">
        <references count="2">
          <reference field="4294967294" count="1" selected="0">
            <x v="0"/>
          </reference>
          <reference field="2" count="1" selected="0">
            <x v="2"/>
          </reference>
        </references>
      </pivotArea>
    </chartFormat>
    <chartFormat chart="66" format="11">
      <pivotArea type="data" outline="0" fieldPosition="0">
        <references count="2">
          <reference field="4294967294" count="1" selected="0">
            <x v="0"/>
          </reference>
          <reference field="2" count="1" selected="0">
            <x v="3"/>
          </reference>
        </references>
      </pivotArea>
    </chartFormat>
    <chartFormat chart="6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encer_Name" xr10:uid="{2AA10DC0-E763-4308-B9B7-D6AC001FAF79}" sourceName="Influencer_Nam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226406753">
      <items count="15">
        <i x="9" s="1"/>
        <i x="14" s="1"/>
        <i x="4" s="1"/>
        <i x="1" s="1"/>
        <i x="2" s="1"/>
        <i x="10" s="1"/>
        <i x="12" s="1"/>
        <i x="6" s="1"/>
        <i x="8" s="1"/>
        <i x="13" s="1"/>
        <i x="11" s="1"/>
        <i x="3" s="1"/>
        <i x="7"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153E231-AB51-4D1E-942F-43AA8FE592DE}" sourceName="Platform">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226406753">
      <items count="5">
        <i x="2" s="1"/>
        <i x="4"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DE8937-12AF-4BF2-8214-060C6A90C1D4}" sourceName="Categor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226406753">
      <items count="8">
        <i x="4" s="1"/>
        <i x="5" s="1"/>
        <i x="6" s="1"/>
        <i x="3" s="1"/>
        <i x="0" s="1"/>
        <i x="7"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18CB59-FD60-4488-93B2-AC29B1F4B0CF}" sourceName="Reg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226406753">
      <items count="8">
        <i x="1" s="1"/>
        <i x="4" s="1"/>
        <i x="5" s="1"/>
        <i x="2" s="1"/>
        <i x="6" s="1"/>
        <i x="3" s="1"/>
        <i x="7"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9D8842-2E79-4DB1-A7CC-71B74450F93D}" sourceName="Yea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22640675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fluencer_Name" xr10:uid="{3DCA4700-356E-4C7A-9B06-36427DA9F68F}" cache="Slicer_Influencer_Name" caption="Influencer_Name" rowHeight="234950"/>
  <slicer name="Platform" xr10:uid="{61E4D571-C9F9-47FF-9EF8-AE26ED646597}" cache="Slicer_Platform" caption="Platform" rowHeight="234950"/>
  <slicer name="Category" xr10:uid="{209BF6F2-816D-48FD-BBAF-53B35AC13601}" cache="Slicer_Category" caption="Category" rowHeight="234950"/>
  <slicer name="Region" xr10:uid="{EFF5ADEC-74B4-4477-9A7E-D568ADCF6CFC}" cache="Slicer_Region" caption="Region" rowHeight="234950"/>
  <slicer name="Year" xr10:uid="{932332DA-A7D2-4068-9ECA-F694CA85421A}"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7487F-A94E-4F02-86D9-3932E9654A69}" name="Table2" displayName="Table2" ref="A1:V1001" totalsRowShown="0" headerRowDxfId="343">
  <autoFilter ref="A1:V1001" xr:uid="{7817487F-A94E-4F02-86D9-3932E9654A69}"/>
  <tableColumns count="22">
    <tableColumn id="1" xr3:uid="{9E63FF38-5601-47D6-84F4-48398CB3FED9}" name="Campaign_ID"/>
    <tableColumn id="2" xr3:uid="{B41637AF-71A6-4416-93E4-892028E9F3E6}" name="Influencer_Name"/>
    <tableColumn id="3" xr3:uid="{54EE775B-2770-4631-9C07-BFF963163F4B}" name="Platform"/>
    <tableColumn id="4" xr3:uid="{9DE0B75F-03B9-4CB1-8ABE-94A5AB3EEF8F}" name="Category"/>
    <tableColumn id="5" xr3:uid="{C1E336A7-3DBA-410F-943C-8ADCCB339F95}" name="Followers"/>
    <tableColumn id="6" xr3:uid="{DAD2CB5D-D582-49C3-B469-B7016131D704}" name="Reach"/>
    <tableColumn id="7" xr3:uid="{4D9EDEFE-A33D-42D0-9A1E-40CA7E65F8DF}" name="Impressions"/>
    <tableColumn id="8" xr3:uid="{EDF1B8B1-FCE1-4AED-BEF9-D35865BCBCFC}" name="Likes"/>
    <tableColumn id="9" xr3:uid="{E927084F-567E-4E94-B7DB-E0CCFF6174D4}" name="Comments"/>
    <tableColumn id="10" xr3:uid="{E3495E9C-C7AF-470E-B482-E626A379F3C9}" name="Shares"/>
    <tableColumn id="11" xr3:uid="{05E38EE9-52F6-4295-9FC6-080CCEAF8A6F}" name="Engagement_Rate (%)">
      <calculatedColumnFormula>((H2+I2+J2)/F2)*100</calculatedColumnFormula>
    </tableColumn>
    <tableColumn id="12" xr3:uid="{42703130-F263-48EC-9249-DE7878C24CAD}" name="Campaign_Cost (₹)"/>
    <tableColumn id="13" xr3:uid="{D84DBDE2-8C60-4A2D-8236-1359DDB636C6}" name="Revenue_Generated (₹)"/>
    <tableColumn id="14" xr3:uid="{A732B906-1662-4688-A244-6B640ABCA826}" name="ROI (%)">
      <calculatedColumnFormula>((M2-L2)/L2)*100</calculatedColumnFormula>
    </tableColumn>
    <tableColumn id="15" xr3:uid="{B5B360B9-968D-4796-8BA5-9BEC55A9EDD0}" name="Start_Date" dataDxfId="342"/>
    <tableColumn id="16" xr3:uid="{694BE3F3-D758-422E-9519-CCA7D27F5132}" name="End_Date" dataDxfId="341"/>
    <tableColumn id="17" xr3:uid="{020CF3C7-09E3-43D1-859D-6B74545C4592}" name="Region"/>
    <tableColumn id="18" xr3:uid="{F2E44150-D889-4816-8BFE-A53EB2269173}" name="Campaign_Duration" dataDxfId="340">
      <calculatedColumnFormula>Table2[[#This Row],[End_Date]]-Table2[[#This Row],[Start_Date]]</calculatedColumnFormula>
    </tableColumn>
    <tableColumn id="19" xr3:uid="{AC89709F-6C63-4C84-A08C-B8ED252547CD}" name="Month" dataDxfId="339">
      <calculatedColumnFormula>TEXT(Table2[[#This Row],[Start_Date]],"MMM")</calculatedColumnFormula>
    </tableColumn>
    <tableColumn id="20" xr3:uid="{CBB10974-4813-48A1-8BA9-ECCC30FCCA74}" name="Year" dataDxfId="338">
      <calculatedColumnFormula>YEAR(Table2[[#This Row],[Start_Date]])</calculatedColumnFormula>
    </tableColumn>
    <tableColumn id="21" xr3:uid="{1D4D2FEF-E4B5-4A6C-BDB1-9667444D8B5E}" name="Cost_Per_Reach" dataDxfId="337">
      <calculatedColumnFormula>Table2[[#This Row],[Campaign_Cost (₹)]]/Table2[[#This Row],[Reach]]</calculatedColumnFormula>
    </tableColumn>
    <tableColumn id="22" xr3:uid="{2AB8DE82-2A89-48BD-8912-D0E4CEF6E1EA}" name="Revenue_Per_Reach" dataDxfId="336">
      <calculatedColumnFormula>Table2[[#This Row],[Revenue_Generated (₹)]]/Table2[[#This Row],[Reach]]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0271-8B81-4551-AB11-C31D6DEAB2A6}">
  <dimension ref="A1:Q1001"/>
  <sheetViews>
    <sheetView workbookViewId="0">
      <selection activeCell="P13" sqref="P13"/>
    </sheetView>
  </sheetViews>
  <sheetFormatPr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v>1712931</v>
      </c>
      <c r="F2">
        <v>1016782</v>
      </c>
      <c r="G2">
        <v>2384921</v>
      </c>
      <c r="H2">
        <v>58091</v>
      </c>
      <c r="I2">
        <v>4354</v>
      </c>
      <c r="J2">
        <v>5367</v>
      </c>
      <c r="K2">
        <f t="shared" ref="K2:K65" si="0">((H2+I2+J2)/F2)*100</f>
        <v>6.6692762066991751</v>
      </c>
      <c r="L2">
        <v>30425</v>
      </c>
      <c r="M2">
        <v>92811</v>
      </c>
      <c r="N2">
        <f t="shared" ref="N2:N65" si="1">((M2-L2)/L2)*100</f>
        <v>205.04847986852917</v>
      </c>
      <c r="O2">
        <v>45832</v>
      </c>
      <c r="P2">
        <v>45850</v>
      </c>
      <c r="Q2" t="s">
        <v>21</v>
      </c>
    </row>
    <row r="3" spans="1:17" x14ac:dyDescent="0.3">
      <c r="A3" t="s">
        <v>22</v>
      </c>
      <c r="B3" t="s">
        <v>23</v>
      </c>
      <c r="C3" t="s">
        <v>19</v>
      </c>
      <c r="D3" t="s">
        <v>24</v>
      </c>
      <c r="E3">
        <v>1285909</v>
      </c>
      <c r="F3">
        <v>883088</v>
      </c>
      <c r="G3">
        <v>1408475</v>
      </c>
      <c r="H3">
        <v>120024</v>
      </c>
      <c r="I3">
        <v>11977</v>
      </c>
      <c r="J3">
        <v>8288</v>
      </c>
      <c r="K3">
        <f t="shared" si="0"/>
        <v>15.886185748192705</v>
      </c>
      <c r="L3">
        <v>408018</v>
      </c>
      <c r="M3">
        <v>1251028</v>
      </c>
      <c r="N3">
        <f t="shared" si="1"/>
        <v>206.61098284879586</v>
      </c>
      <c r="O3">
        <v>46070</v>
      </c>
      <c r="P3">
        <v>46084</v>
      </c>
      <c r="Q3" t="s">
        <v>25</v>
      </c>
    </row>
    <row r="4" spans="1:17" x14ac:dyDescent="0.3">
      <c r="A4" t="s">
        <v>26</v>
      </c>
      <c r="B4" t="s">
        <v>27</v>
      </c>
      <c r="C4" t="s">
        <v>28</v>
      </c>
      <c r="D4" t="s">
        <v>29</v>
      </c>
      <c r="E4">
        <v>1563075</v>
      </c>
      <c r="F4">
        <v>874368</v>
      </c>
      <c r="G4">
        <v>1661292</v>
      </c>
      <c r="H4">
        <v>88526</v>
      </c>
      <c r="I4">
        <v>9415</v>
      </c>
      <c r="J4">
        <v>8104</v>
      </c>
      <c r="K4">
        <f t="shared" si="0"/>
        <v>12.128188588786415</v>
      </c>
      <c r="L4">
        <v>451981</v>
      </c>
      <c r="M4">
        <v>1338957</v>
      </c>
      <c r="N4">
        <f t="shared" si="1"/>
        <v>196.24187742405101</v>
      </c>
      <c r="O4">
        <v>46132</v>
      </c>
      <c r="P4">
        <v>46148</v>
      </c>
      <c r="Q4" t="s">
        <v>30</v>
      </c>
    </row>
    <row r="5" spans="1:17" x14ac:dyDescent="0.3">
      <c r="A5" t="s">
        <v>31</v>
      </c>
      <c r="B5" t="s">
        <v>32</v>
      </c>
      <c r="C5" t="s">
        <v>33</v>
      </c>
      <c r="D5" t="s">
        <v>29</v>
      </c>
      <c r="E5">
        <v>714018</v>
      </c>
      <c r="F5">
        <v>216080</v>
      </c>
      <c r="G5">
        <v>641408</v>
      </c>
      <c r="H5">
        <v>7475</v>
      </c>
      <c r="I5">
        <v>246</v>
      </c>
      <c r="J5">
        <v>192</v>
      </c>
      <c r="K5">
        <f t="shared" si="0"/>
        <v>3.6620696038504255</v>
      </c>
      <c r="L5">
        <v>307259</v>
      </c>
      <c r="M5">
        <v>472370</v>
      </c>
      <c r="N5">
        <f t="shared" si="1"/>
        <v>53.736749777874692</v>
      </c>
      <c r="O5">
        <v>45894</v>
      </c>
      <c r="P5">
        <v>45910</v>
      </c>
      <c r="Q5" t="s">
        <v>34</v>
      </c>
    </row>
    <row r="6" spans="1:17" x14ac:dyDescent="0.3">
      <c r="A6" t="s">
        <v>35</v>
      </c>
      <c r="B6" t="s">
        <v>36</v>
      </c>
      <c r="C6" t="s">
        <v>37</v>
      </c>
      <c r="D6" t="s">
        <v>24</v>
      </c>
      <c r="E6">
        <v>1966729</v>
      </c>
      <c r="F6">
        <v>1035786</v>
      </c>
      <c r="G6">
        <v>3004655</v>
      </c>
      <c r="H6">
        <v>67844</v>
      </c>
      <c r="I6">
        <v>4538</v>
      </c>
      <c r="J6">
        <v>2293</v>
      </c>
      <c r="K6">
        <f t="shared" si="0"/>
        <v>7.2095008042201769</v>
      </c>
      <c r="L6">
        <v>134192</v>
      </c>
      <c r="M6">
        <v>454124</v>
      </c>
      <c r="N6">
        <f t="shared" si="1"/>
        <v>238.41361631095745</v>
      </c>
      <c r="O6">
        <v>46075</v>
      </c>
      <c r="P6">
        <v>46086</v>
      </c>
      <c r="Q6" t="s">
        <v>21</v>
      </c>
    </row>
    <row r="7" spans="1:17" x14ac:dyDescent="0.3">
      <c r="A7" t="s">
        <v>38</v>
      </c>
      <c r="B7" t="s">
        <v>39</v>
      </c>
      <c r="C7" t="s">
        <v>19</v>
      </c>
      <c r="D7" t="s">
        <v>40</v>
      </c>
      <c r="E7">
        <v>675987</v>
      </c>
      <c r="F7">
        <v>556187</v>
      </c>
      <c r="G7">
        <v>1429308</v>
      </c>
      <c r="H7">
        <v>44880</v>
      </c>
      <c r="I7">
        <v>5150</v>
      </c>
      <c r="J7">
        <v>2532</v>
      </c>
      <c r="K7">
        <f t="shared" si="0"/>
        <v>9.4504186541576836</v>
      </c>
      <c r="L7">
        <v>59133</v>
      </c>
      <c r="M7">
        <v>276357</v>
      </c>
      <c r="N7">
        <f t="shared" si="1"/>
        <v>367.34818121860889</v>
      </c>
      <c r="O7">
        <v>45781</v>
      </c>
      <c r="P7">
        <v>45793</v>
      </c>
      <c r="Q7" t="s">
        <v>41</v>
      </c>
    </row>
    <row r="8" spans="1:17" x14ac:dyDescent="0.3">
      <c r="A8" t="s">
        <v>42</v>
      </c>
      <c r="B8" t="s">
        <v>39</v>
      </c>
      <c r="C8" t="s">
        <v>43</v>
      </c>
      <c r="D8" t="s">
        <v>29</v>
      </c>
      <c r="E8">
        <v>1189151</v>
      </c>
      <c r="F8">
        <v>563514</v>
      </c>
      <c r="G8">
        <v>847727</v>
      </c>
      <c r="H8">
        <v>36056</v>
      </c>
      <c r="I8">
        <v>2454</v>
      </c>
      <c r="J8">
        <v>1755</v>
      </c>
      <c r="K8">
        <f t="shared" si="0"/>
        <v>7.1453415531823525</v>
      </c>
      <c r="L8">
        <v>279743</v>
      </c>
      <c r="M8">
        <v>757257</v>
      </c>
      <c r="N8">
        <f t="shared" si="1"/>
        <v>170.69739010448876</v>
      </c>
      <c r="O8">
        <v>46004</v>
      </c>
      <c r="P8">
        <v>46027</v>
      </c>
      <c r="Q8" t="s">
        <v>30</v>
      </c>
    </row>
    <row r="9" spans="1:17" x14ac:dyDescent="0.3">
      <c r="A9" t="s">
        <v>44</v>
      </c>
      <c r="B9" t="s">
        <v>45</v>
      </c>
      <c r="C9" t="s">
        <v>19</v>
      </c>
      <c r="D9" t="s">
        <v>46</v>
      </c>
      <c r="E9">
        <v>1024398</v>
      </c>
      <c r="F9">
        <v>638250</v>
      </c>
      <c r="G9">
        <v>1707216</v>
      </c>
      <c r="H9">
        <v>61721</v>
      </c>
      <c r="I9">
        <v>4240</v>
      </c>
      <c r="J9">
        <v>5968</v>
      </c>
      <c r="K9">
        <f t="shared" si="0"/>
        <v>11.269721895808853</v>
      </c>
      <c r="L9">
        <v>215452</v>
      </c>
      <c r="M9">
        <v>730304</v>
      </c>
      <c r="N9">
        <f t="shared" si="1"/>
        <v>238.96366708129887</v>
      </c>
      <c r="O9">
        <v>46067</v>
      </c>
      <c r="P9">
        <v>46094</v>
      </c>
      <c r="Q9" t="s">
        <v>47</v>
      </c>
    </row>
    <row r="10" spans="1:17" x14ac:dyDescent="0.3">
      <c r="A10" t="s">
        <v>48</v>
      </c>
      <c r="B10" t="s">
        <v>49</v>
      </c>
      <c r="C10" t="s">
        <v>19</v>
      </c>
      <c r="D10" t="s">
        <v>20</v>
      </c>
      <c r="E10">
        <v>121584</v>
      </c>
      <c r="F10">
        <v>105283</v>
      </c>
      <c r="G10">
        <v>268985</v>
      </c>
      <c r="H10">
        <v>8596</v>
      </c>
      <c r="I10">
        <v>761</v>
      </c>
      <c r="J10">
        <v>624</v>
      </c>
      <c r="K10">
        <f t="shared" si="0"/>
        <v>9.4801629892765202</v>
      </c>
      <c r="L10">
        <v>494360</v>
      </c>
      <c r="M10">
        <v>1039931</v>
      </c>
      <c r="N10">
        <f t="shared" si="1"/>
        <v>110.35905008495833</v>
      </c>
      <c r="O10">
        <v>45809</v>
      </c>
      <c r="P10">
        <v>45832</v>
      </c>
      <c r="Q10" t="s">
        <v>30</v>
      </c>
    </row>
    <row r="11" spans="1:17" x14ac:dyDescent="0.3">
      <c r="A11" t="s">
        <v>50</v>
      </c>
      <c r="B11" t="s">
        <v>27</v>
      </c>
      <c r="C11" t="s">
        <v>43</v>
      </c>
      <c r="D11" t="s">
        <v>51</v>
      </c>
      <c r="E11">
        <v>1720235</v>
      </c>
      <c r="F11">
        <v>690339</v>
      </c>
      <c r="G11">
        <v>1877705</v>
      </c>
      <c r="H11">
        <v>59205</v>
      </c>
      <c r="I11">
        <v>7731</v>
      </c>
      <c r="J11">
        <v>2883</v>
      </c>
      <c r="K11">
        <f t="shared" si="0"/>
        <v>10.113726734256648</v>
      </c>
      <c r="L11">
        <v>400612</v>
      </c>
      <c r="M11">
        <v>525748</v>
      </c>
      <c r="N11">
        <f t="shared" si="1"/>
        <v>31.236208600840715</v>
      </c>
      <c r="O11">
        <v>45966</v>
      </c>
      <c r="P11">
        <v>45975</v>
      </c>
      <c r="Q11" t="s">
        <v>25</v>
      </c>
    </row>
    <row r="12" spans="1:17" x14ac:dyDescent="0.3">
      <c r="A12" t="s">
        <v>52</v>
      </c>
      <c r="B12" t="s">
        <v>53</v>
      </c>
      <c r="C12" t="s">
        <v>28</v>
      </c>
      <c r="D12" t="s">
        <v>51</v>
      </c>
      <c r="E12">
        <v>230793</v>
      </c>
      <c r="F12">
        <v>66873</v>
      </c>
      <c r="G12">
        <v>128228</v>
      </c>
      <c r="H12">
        <v>7857</v>
      </c>
      <c r="I12">
        <v>657</v>
      </c>
      <c r="J12">
        <v>267</v>
      </c>
      <c r="K12">
        <f t="shared" si="0"/>
        <v>13.1308599883361</v>
      </c>
      <c r="L12">
        <v>245864</v>
      </c>
      <c r="M12">
        <v>752035</v>
      </c>
      <c r="N12">
        <f t="shared" si="1"/>
        <v>205.87438583932581</v>
      </c>
      <c r="O12">
        <v>45696</v>
      </c>
      <c r="P12">
        <v>45714</v>
      </c>
      <c r="Q12" t="s">
        <v>54</v>
      </c>
    </row>
    <row r="13" spans="1:17" x14ac:dyDescent="0.3">
      <c r="A13" t="s">
        <v>55</v>
      </c>
      <c r="B13" t="s">
        <v>36</v>
      </c>
      <c r="C13" t="s">
        <v>28</v>
      </c>
      <c r="D13" t="s">
        <v>29</v>
      </c>
      <c r="E13">
        <v>855901</v>
      </c>
      <c r="F13">
        <v>712152</v>
      </c>
      <c r="G13">
        <v>1268918</v>
      </c>
      <c r="H13">
        <v>23970</v>
      </c>
      <c r="I13">
        <v>1200</v>
      </c>
      <c r="J13">
        <v>961</v>
      </c>
      <c r="K13">
        <f t="shared" si="0"/>
        <v>3.6693009357552882</v>
      </c>
      <c r="L13">
        <v>416852</v>
      </c>
      <c r="M13">
        <v>574891</v>
      </c>
      <c r="N13">
        <f t="shared" si="1"/>
        <v>37.912496521547219</v>
      </c>
      <c r="O13">
        <v>45861</v>
      </c>
      <c r="P13">
        <v>45887</v>
      </c>
      <c r="Q13" t="s">
        <v>30</v>
      </c>
    </row>
    <row r="14" spans="1:17" x14ac:dyDescent="0.3">
      <c r="A14" t="s">
        <v>56</v>
      </c>
      <c r="B14" t="s">
        <v>57</v>
      </c>
      <c r="C14" t="s">
        <v>37</v>
      </c>
      <c r="D14" t="s">
        <v>58</v>
      </c>
      <c r="E14">
        <v>942577</v>
      </c>
      <c r="F14">
        <v>713925</v>
      </c>
      <c r="G14">
        <v>1993941</v>
      </c>
      <c r="H14">
        <v>89963</v>
      </c>
      <c r="I14">
        <v>4495</v>
      </c>
      <c r="J14">
        <v>5117</v>
      </c>
      <c r="K14">
        <f t="shared" si="0"/>
        <v>13.947543509472283</v>
      </c>
      <c r="L14">
        <v>142588</v>
      </c>
      <c r="M14">
        <v>170373</v>
      </c>
      <c r="N14">
        <f t="shared" si="1"/>
        <v>19.486212023452186</v>
      </c>
      <c r="O14">
        <v>45954</v>
      </c>
      <c r="P14">
        <v>45975</v>
      </c>
      <c r="Q14" t="s">
        <v>21</v>
      </c>
    </row>
    <row r="15" spans="1:17" x14ac:dyDescent="0.3">
      <c r="A15" t="s">
        <v>59</v>
      </c>
      <c r="B15" t="s">
        <v>27</v>
      </c>
      <c r="C15" t="s">
        <v>43</v>
      </c>
      <c r="D15" t="s">
        <v>58</v>
      </c>
      <c r="E15">
        <v>1427509</v>
      </c>
      <c r="F15">
        <v>471186</v>
      </c>
      <c r="G15">
        <v>567831</v>
      </c>
      <c r="H15">
        <v>52512</v>
      </c>
      <c r="I15">
        <v>2623</v>
      </c>
      <c r="J15">
        <v>4415</v>
      </c>
      <c r="K15">
        <f t="shared" si="0"/>
        <v>12.638321172530592</v>
      </c>
      <c r="L15">
        <v>287966</v>
      </c>
      <c r="M15">
        <v>1002711</v>
      </c>
      <c r="N15">
        <f t="shared" si="1"/>
        <v>248.20464915997027</v>
      </c>
      <c r="O15">
        <v>45850</v>
      </c>
      <c r="P15">
        <v>45877</v>
      </c>
      <c r="Q15" t="s">
        <v>47</v>
      </c>
    </row>
    <row r="16" spans="1:17" x14ac:dyDescent="0.3">
      <c r="A16" t="s">
        <v>60</v>
      </c>
      <c r="B16" t="s">
        <v>61</v>
      </c>
      <c r="C16" t="s">
        <v>37</v>
      </c>
      <c r="D16" t="s">
        <v>29</v>
      </c>
      <c r="E16">
        <v>1252995</v>
      </c>
      <c r="F16">
        <v>459798</v>
      </c>
      <c r="G16">
        <v>1350314</v>
      </c>
      <c r="H16">
        <v>52434</v>
      </c>
      <c r="I16">
        <v>5751</v>
      </c>
      <c r="J16">
        <v>1276</v>
      </c>
      <c r="K16">
        <f t="shared" si="0"/>
        <v>12.931983175220424</v>
      </c>
      <c r="L16">
        <v>210224</v>
      </c>
      <c r="M16">
        <v>759319</v>
      </c>
      <c r="N16">
        <f t="shared" si="1"/>
        <v>261.19520130907983</v>
      </c>
      <c r="O16">
        <v>45956</v>
      </c>
      <c r="P16">
        <v>45973</v>
      </c>
      <c r="Q16" t="s">
        <v>34</v>
      </c>
    </row>
    <row r="17" spans="1:17" x14ac:dyDescent="0.3">
      <c r="A17" t="s">
        <v>62</v>
      </c>
      <c r="B17" t="s">
        <v>63</v>
      </c>
      <c r="C17" t="s">
        <v>37</v>
      </c>
      <c r="D17" t="s">
        <v>20</v>
      </c>
      <c r="E17">
        <v>1623200</v>
      </c>
      <c r="F17">
        <v>540452</v>
      </c>
      <c r="G17">
        <v>864049</v>
      </c>
      <c r="H17">
        <v>79016</v>
      </c>
      <c r="I17">
        <v>3612</v>
      </c>
      <c r="J17">
        <v>6055</v>
      </c>
      <c r="K17">
        <f t="shared" si="0"/>
        <v>16.409042801210838</v>
      </c>
      <c r="L17">
        <v>132867</v>
      </c>
      <c r="M17">
        <v>364949</v>
      </c>
      <c r="N17">
        <f t="shared" si="1"/>
        <v>174.67241677767993</v>
      </c>
      <c r="O17">
        <v>46103</v>
      </c>
      <c r="P17">
        <v>46114</v>
      </c>
      <c r="Q17" t="s">
        <v>25</v>
      </c>
    </row>
    <row r="18" spans="1:17" x14ac:dyDescent="0.3">
      <c r="A18" t="s">
        <v>64</v>
      </c>
      <c r="B18" t="s">
        <v>32</v>
      </c>
      <c r="C18" t="s">
        <v>19</v>
      </c>
      <c r="D18" t="s">
        <v>46</v>
      </c>
      <c r="E18">
        <v>920355</v>
      </c>
      <c r="F18">
        <v>285829</v>
      </c>
      <c r="G18">
        <v>771314</v>
      </c>
      <c r="H18">
        <v>20363</v>
      </c>
      <c r="I18">
        <v>1003</v>
      </c>
      <c r="J18">
        <v>1676</v>
      </c>
      <c r="K18">
        <f t="shared" si="0"/>
        <v>8.0614633224760261</v>
      </c>
      <c r="L18">
        <v>315176</v>
      </c>
      <c r="M18">
        <v>829259</v>
      </c>
      <c r="N18">
        <f t="shared" si="1"/>
        <v>163.1098180064472</v>
      </c>
      <c r="O18">
        <v>45813</v>
      </c>
      <c r="P18">
        <v>45831</v>
      </c>
      <c r="Q18" t="s">
        <v>41</v>
      </c>
    </row>
    <row r="19" spans="1:17" x14ac:dyDescent="0.3">
      <c r="A19" t="s">
        <v>65</v>
      </c>
      <c r="B19" t="s">
        <v>61</v>
      </c>
      <c r="C19" t="s">
        <v>28</v>
      </c>
      <c r="D19" t="s">
        <v>51</v>
      </c>
      <c r="E19">
        <v>210297</v>
      </c>
      <c r="F19">
        <v>184680</v>
      </c>
      <c r="G19">
        <v>495866</v>
      </c>
      <c r="H19">
        <v>8065</v>
      </c>
      <c r="I19">
        <v>851</v>
      </c>
      <c r="J19">
        <v>766</v>
      </c>
      <c r="K19">
        <f t="shared" si="0"/>
        <v>5.2425817630495999</v>
      </c>
      <c r="L19">
        <v>499982</v>
      </c>
      <c r="M19">
        <v>2273782</v>
      </c>
      <c r="N19">
        <f t="shared" si="1"/>
        <v>354.77277181978548</v>
      </c>
      <c r="O19">
        <v>45739</v>
      </c>
      <c r="P19">
        <v>45765</v>
      </c>
      <c r="Q19" t="s">
        <v>34</v>
      </c>
    </row>
    <row r="20" spans="1:17" x14ac:dyDescent="0.3">
      <c r="A20" t="s">
        <v>66</v>
      </c>
      <c r="B20" t="s">
        <v>45</v>
      </c>
      <c r="C20" t="s">
        <v>28</v>
      </c>
      <c r="D20" t="s">
        <v>51</v>
      </c>
      <c r="E20">
        <v>282532</v>
      </c>
      <c r="F20">
        <v>230506</v>
      </c>
      <c r="G20">
        <v>585831</v>
      </c>
      <c r="H20">
        <v>8187</v>
      </c>
      <c r="I20">
        <v>1098</v>
      </c>
      <c r="J20">
        <v>626</v>
      </c>
      <c r="K20">
        <f t="shared" si="0"/>
        <v>4.2996711582344931</v>
      </c>
      <c r="L20">
        <v>13714</v>
      </c>
      <c r="M20">
        <v>62084</v>
      </c>
      <c r="N20">
        <f t="shared" si="1"/>
        <v>352.70526469301444</v>
      </c>
      <c r="O20">
        <v>45812</v>
      </c>
      <c r="P20">
        <v>45827</v>
      </c>
      <c r="Q20" t="s">
        <v>34</v>
      </c>
    </row>
    <row r="21" spans="1:17" x14ac:dyDescent="0.3">
      <c r="A21" t="s">
        <v>67</v>
      </c>
      <c r="B21" t="s">
        <v>36</v>
      </c>
      <c r="C21" t="s">
        <v>37</v>
      </c>
      <c r="D21" t="s">
        <v>29</v>
      </c>
      <c r="E21">
        <v>1308843</v>
      </c>
      <c r="F21">
        <v>763386</v>
      </c>
      <c r="G21">
        <v>2036275</v>
      </c>
      <c r="H21">
        <v>18605</v>
      </c>
      <c r="I21">
        <v>1283</v>
      </c>
      <c r="J21">
        <v>1769</v>
      </c>
      <c r="K21">
        <f t="shared" si="0"/>
        <v>2.836965833798367</v>
      </c>
      <c r="L21">
        <v>225799</v>
      </c>
      <c r="M21">
        <v>1019218</v>
      </c>
      <c r="N21">
        <f t="shared" si="1"/>
        <v>351.38286706318456</v>
      </c>
      <c r="O21">
        <v>46074</v>
      </c>
      <c r="P21">
        <v>46087</v>
      </c>
      <c r="Q21" t="s">
        <v>34</v>
      </c>
    </row>
    <row r="22" spans="1:17" x14ac:dyDescent="0.3">
      <c r="A22" t="s">
        <v>68</v>
      </c>
      <c r="B22" t="s">
        <v>32</v>
      </c>
      <c r="C22" t="s">
        <v>43</v>
      </c>
      <c r="D22" t="s">
        <v>51</v>
      </c>
      <c r="E22">
        <v>918384</v>
      </c>
      <c r="F22">
        <v>634661</v>
      </c>
      <c r="G22">
        <v>1101238</v>
      </c>
      <c r="H22">
        <v>46375</v>
      </c>
      <c r="I22">
        <v>3871</v>
      </c>
      <c r="J22">
        <v>2865</v>
      </c>
      <c r="K22">
        <f t="shared" si="0"/>
        <v>8.3684045498305402</v>
      </c>
      <c r="L22">
        <v>430278</v>
      </c>
      <c r="M22">
        <v>874670</v>
      </c>
      <c r="N22">
        <f t="shared" si="1"/>
        <v>103.28020489079152</v>
      </c>
      <c r="O22">
        <v>45860</v>
      </c>
      <c r="P22">
        <v>45876</v>
      </c>
      <c r="Q22" t="s">
        <v>30</v>
      </c>
    </row>
    <row r="23" spans="1:17" x14ac:dyDescent="0.3">
      <c r="A23" t="s">
        <v>69</v>
      </c>
      <c r="B23" t="s">
        <v>23</v>
      </c>
      <c r="C23" t="s">
        <v>43</v>
      </c>
      <c r="D23" t="s">
        <v>29</v>
      </c>
      <c r="E23">
        <v>94549</v>
      </c>
      <c r="F23">
        <v>43533</v>
      </c>
      <c r="G23">
        <v>80627</v>
      </c>
      <c r="H23">
        <v>5796</v>
      </c>
      <c r="I23">
        <v>275</v>
      </c>
      <c r="J23">
        <v>158</v>
      </c>
      <c r="K23">
        <f t="shared" si="0"/>
        <v>14.308685365125307</v>
      </c>
      <c r="L23">
        <v>44701</v>
      </c>
      <c r="M23">
        <v>62468</v>
      </c>
      <c r="N23">
        <f t="shared" si="1"/>
        <v>39.746314400125279</v>
      </c>
      <c r="O23">
        <v>45986</v>
      </c>
      <c r="P23">
        <v>46005</v>
      </c>
      <c r="Q23" t="s">
        <v>47</v>
      </c>
    </row>
    <row r="24" spans="1:17" x14ac:dyDescent="0.3">
      <c r="A24" t="s">
        <v>70</v>
      </c>
      <c r="B24" t="s">
        <v>49</v>
      </c>
      <c r="C24" t="s">
        <v>28</v>
      </c>
      <c r="D24" t="s">
        <v>29</v>
      </c>
      <c r="E24">
        <v>1860580</v>
      </c>
      <c r="F24">
        <v>684705</v>
      </c>
      <c r="G24">
        <v>1051648</v>
      </c>
      <c r="H24">
        <v>46872</v>
      </c>
      <c r="I24">
        <v>3299</v>
      </c>
      <c r="J24">
        <v>3183</v>
      </c>
      <c r="K24">
        <f t="shared" si="0"/>
        <v>7.7922609006798549</v>
      </c>
      <c r="L24">
        <v>58016</v>
      </c>
      <c r="M24">
        <v>156073</v>
      </c>
      <c r="N24">
        <f t="shared" si="1"/>
        <v>169.01716767788199</v>
      </c>
      <c r="O24">
        <v>45955</v>
      </c>
      <c r="P24">
        <v>45971</v>
      </c>
      <c r="Q24" t="s">
        <v>30</v>
      </c>
    </row>
    <row r="25" spans="1:17" x14ac:dyDescent="0.3">
      <c r="A25" t="s">
        <v>71</v>
      </c>
      <c r="B25" t="s">
        <v>49</v>
      </c>
      <c r="C25" t="s">
        <v>43</v>
      </c>
      <c r="D25" t="s">
        <v>72</v>
      </c>
      <c r="E25">
        <v>1140518</v>
      </c>
      <c r="F25">
        <v>482654</v>
      </c>
      <c r="G25">
        <v>847877</v>
      </c>
      <c r="H25">
        <v>60346</v>
      </c>
      <c r="I25">
        <v>7395</v>
      </c>
      <c r="J25">
        <v>4559</v>
      </c>
      <c r="K25">
        <f t="shared" si="0"/>
        <v>14.979674880970634</v>
      </c>
      <c r="L25">
        <v>216565</v>
      </c>
      <c r="M25">
        <v>383476</v>
      </c>
      <c r="N25">
        <f t="shared" si="1"/>
        <v>77.072010712719035</v>
      </c>
      <c r="O25">
        <v>45693</v>
      </c>
      <c r="P25">
        <v>45708</v>
      </c>
      <c r="Q25" t="s">
        <v>34</v>
      </c>
    </row>
    <row r="26" spans="1:17" x14ac:dyDescent="0.3">
      <c r="A26" t="s">
        <v>73</v>
      </c>
      <c r="B26" t="s">
        <v>49</v>
      </c>
      <c r="C26" t="s">
        <v>37</v>
      </c>
      <c r="D26" t="s">
        <v>46</v>
      </c>
      <c r="E26">
        <v>57955</v>
      </c>
      <c r="F26">
        <v>17433</v>
      </c>
      <c r="G26">
        <v>35449</v>
      </c>
      <c r="H26">
        <v>1234</v>
      </c>
      <c r="I26">
        <v>119</v>
      </c>
      <c r="J26">
        <v>37</v>
      </c>
      <c r="K26">
        <f t="shared" si="0"/>
        <v>7.9733838123099865</v>
      </c>
      <c r="L26">
        <v>314939</v>
      </c>
      <c r="M26">
        <v>1474940</v>
      </c>
      <c r="N26">
        <f t="shared" si="1"/>
        <v>368.32561226142207</v>
      </c>
      <c r="O26">
        <v>46117</v>
      </c>
      <c r="P26">
        <v>46129</v>
      </c>
      <c r="Q26" t="s">
        <v>47</v>
      </c>
    </row>
    <row r="27" spans="1:17" x14ac:dyDescent="0.3">
      <c r="A27" t="s">
        <v>74</v>
      </c>
      <c r="B27" t="s">
        <v>75</v>
      </c>
      <c r="C27" t="s">
        <v>43</v>
      </c>
      <c r="D27" t="s">
        <v>72</v>
      </c>
      <c r="E27">
        <v>137397</v>
      </c>
      <c r="F27">
        <v>92913</v>
      </c>
      <c r="G27">
        <v>185884</v>
      </c>
      <c r="H27">
        <v>4953</v>
      </c>
      <c r="I27">
        <v>398</v>
      </c>
      <c r="J27">
        <v>192</v>
      </c>
      <c r="K27">
        <f t="shared" si="0"/>
        <v>5.9657959596611878</v>
      </c>
      <c r="L27">
        <v>299104</v>
      </c>
      <c r="M27">
        <v>1108327</v>
      </c>
      <c r="N27">
        <f t="shared" si="1"/>
        <v>270.54903979886598</v>
      </c>
      <c r="O27">
        <v>45968</v>
      </c>
      <c r="P27">
        <v>45983</v>
      </c>
      <c r="Q27" t="s">
        <v>25</v>
      </c>
    </row>
    <row r="28" spans="1:17" x14ac:dyDescent="0.3">
      <c r="A28" t="s">
        <v>76</v>
      </c>
      <c r="B28" t="s">
        <v>53</v>
      </c>
      <c r="C28" t="s">
        <v>33</v>
      </c>
      <c r="D28" t="s">
        <v>40</v>
      </c>
      <c r="E28">
        <v>1607723</v>
      </c>
      <c r="F28">
        <v>1020344</v>
      </c>
      <c r="G28">
        <v>1345975</v>
      </c>
      <c r="H28">
        <v>98331</v>
      </c>
      <c r="I28">
        <v>11560</v>
      </c>
      <c r="J28">
        <v>6422</v>
      </c>
      <c r="K28">
        <f t="shared" si="0"/>
        <v>11.399390793693108</v>
      </c>
      <c r="L28">
        <v>194584</v>
      </c>
      <c r="M28">
        <v>383736</v>
      </c>
      <c r="N28">
        <f t="shared" si="1"/>
        <v>97.20840356863873</v>
      </c>
      <c r="O28">
        <v>46095</v>
      </c>
      <c r="P28">
        <v>46106</v>
      </c>
      <c r="Q28" t="s">
        <v>47</v>
      </c>
    </row>
    <row r="29" spans="1:17" x14ac:dyDescent="0.3">
      <c r="A29" t="s">
        <v>77</v>
      </c>
      <c r="B29" t="s">
        <v>75</v>
      </c>
      <c r="C29" t="s">
        <v>28</v>
      </c>
      <c r="D29" t="s">
        <v>20</v>
      </c>
      <c r="E29">
        <v>672941</v>
      </c>
      <c r="F29">
        <v>558168</v>
      </c>
      <c r="G29">
        <v>1621662</v>
      </c>
      <c r="H29">
        <v>22950</v>
      </c>
      <c r="I29">
        <v>2131</v>
      </c>
      <c r="J29">
        <v>1553</v>
      </c>
      <c r="K29">
        <f t="shared" si="0"/>
        <v>4.7716816442361445</v>
      </c>
      <c r="L29">
        <v>283923</v>
      </c>
      <c r="M29">
        <v>405396</v>
      </c>
      <c r="N29">
        <f t="shared" si="1"/>
        <v>42.78378292706121</v>
      </c>
      <c r="O29">
        <v>45977</v>
      </c>
      <c r="P29">
        <v>46002</v>
      </c>
      <c r="Q29" t="s">
        <v>78</v>
      </c>
    </row>
    <row r="30" spans="1:17" x14ac:dyDescent="0.3">
      <c r="A30" t="s">
        <v>79</v>
      </c>
      <c r="B30" t="s">
        <v>80</v>
      </c>
      <c r="C30" t="s">
        <v>28</v>
      </c>
      <c r="D30" t="s">
        <v>46</v>
      </c>
      <c r="E30">
        <v>482834</v>
      </c>
      <c r="F30">
        <v>327045</v>
      </c>
      <c r="G30">
        <v>770958</v>
      </c>
      <c r="H30">
        <v>41613</v>
      </c>
      <c r="I30">
        <v>3727</v>
      </c>
      <c r="J30">
        <v>2452</v>
      </c>
      <c r="K30">
        <f t="shared" si="0"/>
        <v>14.613279518109129</v>
      </c>
      <c r="L30">
        <v>29893</v>
      </c>
      <c r="M30">
        <v>103646</v>
      </c>
      <c r="N30">
        <f t="shared" si="1"/>
        <v>246.72331315023587</v>
      </c>
      <c r="O30">
        <v>45991</v>
      </c>
      <c r="P30">
        <v>46002</v>
      </c>
      <c r="Q30" t="s">
        <v>25</v>
      </c>
    </row>
    <row r="31" spans="1:17" x14ac:dyDescent="0.3">
      <c r="A31" t="s">
        <v>81</v>
      </c>
      <c r="B31" t="s">
        <v>45</v>
      </c>
      <c r="C31" t="s">
        <v>37</v>
      </c>
      <c r="D31" t="s">
        <v>58</v>
      </c>
      <c r="E31">
        <v>1922429</v>
      </c>
      <c r="F31">
        <v>1129863</v>
      </c>
      <c r="G31">
        <v>1506610</v>
      </c>
      <c r="H31">
        <v>96808</v>
      </c>
      <c r="I31">
        <v>5809</v>
      </c>
      <c r="J31">
        <v>3916</v>
      </c>
      <c r="K31">
        <f t="shared" si="0"/>
        <v>9.4288422578666609</v>
      </c>
      <c r="L31">
        <v>333265</v>
      </c>
      <c r="M31">
        <v>1622048</v>
      </c>
      <c r="N31">
        <f t="shared" si="1"/>
        <v>386.71417640616329</v>
      </c>
      <c r="O31">
        <v>45990</v>
      </c>
      <c r="P31">
        <v>45998</v>
      </c>
      <c r="Q31" t="s">
        <v>54</v>
      </c>
    </row>
    <row r="32" spans="1:17" x14ac:dyDescent="0.3">
      <c r="A32" t="s">
        <v>82</v>
      </c>
      <c r="B32" t="s">
        <v>63</v>
      </c>
      <c r="C32" t="s">
        <v>28</v>
      </c>
      <c r="D32" t="s">
        <v>46</v>
      </c>
      <c r="E32">
        <v>890148</v>
      </c>
      <c r="F32">
        <v>238574</v>
      </c>
      <c r="G32">
        <v>625377</v>
      </c>
      <c r="H32">
        <v>7343</v>
      </c>
      <c r="I32">
        <v>1031</v>
      </c>
      <c r="J32">
        <v>504</v>
      </c>
      <c r="K32">
        <f t="shared" si="0"/>
        <v>3.7212772556942495</v>
      </c>
      <c r="L32">
        <v>155015</v>
      </c>
      <c r="M32">
        <v>464826</v>
      </c>
      <c r="N32">
        <f t="shared" si="1"/>
        <v>199.85872334935328</v>
      </c>
      <c r="O32">
        <v>45707</v>
      </c>
      <c r="P32">
        <v>45714</v>
      </c>
      <c r="Q32" t="s">
        <v>54</v>
      </c>
    </row>
    <row r="33" spans="1:17" x14ac:dyDescent="0.3">
      <c r="A33" t="s">
        <v>83</v>
      </c>
      <c r="B33" t="s">
        <v>18</v>
      </c>
      <c r="C33" t="s">
        <v>28</v>
      </c>
      <c r="D33" t="s">
        <v>46</v>
      </c>
      <c r="E33">
        <v>1913304</v>
      </c>
      <c r="F33">
        <v>943878</v>
      </c>
      <c r="G33">
        <v>1750418</v>
      </c>
      <c r="H33">
        <v>101966</v>
      </c>
      <c r="I33">
        <v>5663</v>
      </c>
      <c r="J33">
        <v>8487</v>
      </c>
      <c r="K33">
        <f t="shared" si="0"/>
        <v>12.302013607690824</v>
      </c>
      <c r="L33">
        <v>104531</v>
      </c>
      <c r="M33">
        <v>299792</v>
      </c>
      <c r="N33">
        <f t="shared" si="1"/>
        <v>186.79721805014779</v>
      </c>
      <c r="O33">
        <v>46017</v>
      </c>
      <c r="P33">
        <v>46026</v>
      </c>
      <c r="Q33" t="s">
        <v>41</v>
      </c>
    </row>
    <row r="34" spans="1:17" x14ac:dyDescent="0.3">
      <c r="A34" t="s">
        <v>84</v>
      </c>
      <c r="B34" t="s">
        <v>61</v>
      </c>
      <c r="C34" t="s">
        <v>19</v>
      </c>
      <c r="D34" t="s">
        <v>20</v>
      </c>
      <c r="E34">
        <v>1228070</v>
      </c>
      <c r="F34">
        <v>608693</v>
      </c>
      <c r="G34">
        <v>1530078</v>
      </c>
      <c r="H34">
        <v>31324</v>
      </c>
      <c r="I34">
        <v>1475</v>
      </c>
      <c r="J34">
        <v>1365</v>
      </c>
      <c r="K34">
        <f t="shared" si="0"/>
        <v>5.612681598112677</v>
      </c>
      <c r="L34">
        <v>44940</v>
      </c>
      <c r="M34">
        <v>125895</v>
      </c>
      <c r="N34">
        <f t="shared" si="1"/>
        <v>180.14018691588785</v>
      </c>
      <c r="O34">
        <v>45671</v>
      </c>
      <c r="P34">
        <v>45699</v>
      </c>
      <c r="Q34" t="s">
        <v>21</v>
      </c>
    </row>
    <row r="35" spans="1:17" x14ac:dyDescent="0.3">
      <c r="A35" t="s">
        <v>85</v>
      </c>
      <c r="B35" t="s">
        <v>80</v>
      </c>
      <c r="C35" t="s">
        <v>33</v>
      </c>
      <c r="D35" t="s">
        <v>29</v>
      </c>
      <c r="E35">
        <v>968265</v>
      </c>
      <c r="F35">
        <v>454615</v>
      </c>
      <c r="G35">
        <v>717351</v>
      </c>
      <c r="H35">
        <v>49444</v>
      </c>
      <c r="I35">
        <v>2531</v>
      </c>
      <c r="J35">
        <v>2076</v>
      </c>
      <c r="K35">
        <f t="shared" si="0"/>
        <v>11.889400921658986</v>
      </c>
      <c r="L35">
        <v>290373</v>
      </c>
      <c r="M35">
        <v>417131</v>
      </c>
      <c r="N35">
        <f t="shared" si="1"/>
        <v>43.653507729713162</v>
      </c>
      <c r="O35">
        <v>46064</v>
      </c>
      <c r="P35">
        <v>46073</v>
      </c>
      <c r="Q35" t="s">
        <v>25</v>
      </c>
    </row>
    <row r="36" spans="1:17" x14ac:dyDescent="0.3">
      <c r="A36" t="s">
        <v>86</v>
      </c>
      <c r="B36" t="s">
        <v>27</v>
      </c>
      <c r="C36" t="s">
        <v>33</v>
      </c>
      <c r="D36" t="s">
        <v>72</v>
      </c>
      <c r="E36">
        <v>520021</v>
      </c>
      <c r="F36">
        <v>204711</v>
      </c>
      <c r="G36">
        <v>526099</v>
      </c>
      <c r="H36">
        <v>16662</v>
      </c>
      <c r="I36">
        <v>1344</v>
      </c>
      <c r="J36">
        <v>1007</v>
      </c>
      <c r="K36">
        <f t="shared" si="0"/>
        <v>9.2877275769255192</v>
      </c>
      <c r="L36">
        <v>129837</v>
      </c>
      <c r="M36">
        <v>158860</v>
      </c>
      <c r="N36">
        <f t="shared" si="1"/>
        <v>22.353412355491887</v>
      </c>
      <c r="O36">
        <v>46119</v>
      </c>
      <c r="P36">
        <v>46149</v>
      </c>
      <c r="Q36" t="s">
        <v>34</v>
      </c>
    </row>
    <row r="37" spans="1:17" x14ac:dyDescent="0.3">
      <c r="A37" t="s">
        <v>87</v>
      </c>
      <c r="B37" t="s">
        <v>32</v>
      </c>
      <c r="C37" t="s">
        <v>19</v>
      </c>
      <c r="D37" t="s">
        <v>24</v>
      </c>
      <c r="E37">
        <v>944894</v>
      </c>
      <c r="F37">
        <v>360279</v>
      </c>
      <c r="G37">
        <v>790218</v>
      </c>
      <c r="H37">
        <v>43434</v>
      </c>
      <c r="I37">
        <v>6140</v>
      </c>
      <c r="J37">
        <v>3538</v>
      </c>
      <c r="K37">
        <f t="shared" si="0"/>
        <v>14.741908354358705</v>
      </c>
      <c r="L37">
        <v>477085</v>
      </c>
      <c r="M37">
        <v>1578056</v>
      </c>
      <c r="N37">
        <f t="shared" si="1"/>
        <v>230.77040778896841</v>
      </c>
      <c r="O37">
        <v>45794</v>
      </c>
      <c r="P37">
        <v>45815</v>
      </c>
      <c r="Q37" t="s">
        <v>25</v>
      </c>
    </row>
    <row r="38" spans="1:17" x14ac:dyDescent="0.3">
      <c r="A38" t="s">
        <v>88</v>
      </c>
      <c r="B38" t="s">
        <v>36</v>
      </c>
      <c r="C38" t="s">
        <v>28</v>
      </c>
      <c r="D38" t="s">
        <v>72</v>
      </c>
      <c r="E38">
        <v>636981</v>
      </c>
      <c r="F38">
        <v>334852</v>
      </c>
      <c r="G38">
        <v>952600</v>
      </c>
      <c r="H38">
        <v>28503</v>
      </c>
      <c r="I38">
        <v>2887</v>
      </c>
      <c r="J38">
        <v>1375</v>
      </c>
      <c r="K38">
        <f t="shared" si="0"/>
        <v>9.7849199049132149</v>
      </c>
      <c r="L38">
        <v>108202</v>
      </c>
      <c r="M38">
        <v>269942</v>
      </c>
      <c r="N38">
        <f t="shared" si="1"/>
        <v>149.47967690061182</v>
      </c>
      <c r="O38">
        <v>45799</v>
      </c>
      <c r="P38">
        <v>45813</v>
      </c>
      <c r="Q38" t="s">
        <v>21</v>
      </c>
    </row>
    <row r="39" spans="1:17" x14ac:dyDescent="0.3">
      <c r="A39" t="s">
        <v>89</v>
      </c>
      <c r="B39" t="s">
        <v>80</v>
      </c>
      <c r="C39" t="s">
        <v>33</v>
      </c>
      <c r="D39" t="s">
        <v>72</v>
      </c>
      <c r="E39">
        <v>1483670</v>
      </c>
      <c r="F39">
        <v>1204884</v>
      </c>
      <c r="G39">
        <v>2378890</v>
      </c>
      <c r="H39">
        <v>87292</v>
      </c>
      <c r="I39">
        <v>6159</v>
      </c>
      <c r="J39">
        <v>8150</v>
      </c>
      <c r="K39">
        <f t="shared" si="0"/>
        <v>8.4324300098598712</v>
      </c>
      <c r="L39">
        <v>453643</v>
      </c>
      <c r="M39">
        <v>2180970</v>
      </c>
      <c r="N39">
        <f t="shared" si="1"/>
        <v>380.76791662166067</v>
      </c>
      <c r="O39">
        <v>45948</v>
      </c>
      <c r="P39">
        <v>45971</v>
      </c>
      <c r="Q39" t="s">
        <v>30</v>
      </c>
    </row>
    <row r="40" spans="1:17" x14ac:dyDescent="0.3">
      <c r="A40" t="s">
        <v>90</v>
      </c>
      <c r="B40" t="s">
        <v>32</v>
      </c>
      <c r="C40" t="s">
        <v>33</v>
      </c>
      <c r="D40" t="s">
        <v>20</v>
      </c>
      <c r="E40">
        <v>325042</v>
      </c>
      <c r="F40">
        <v>290590</v>
      </c>
      <c r="G40">
        <v>648474</v>
      </c>
      <c r="H40">
        <v>35536</v>
      </c>
      <c r="I40">
        <v>1498</v>
      </c>
      <c r="J40">
        <v>1304</v>
      </c>
      <c r="K40">
        <f t="shared" si="0"/>
        <v>13.193158745999517</v>
      </c>
      <c r="L40">
        <v>28334</v>
      </c>
      <c r="M40">
        <v>130442</v>
      </c>
      <c r="N40">
        <f t="shared" si="1"/>
        <v>360.37269711300911</v>
      </c>
      <c r="O40">
        <v>45721</v>
      </c>
      <c r="P40">
        <v>45730</v>
      </c>
      <c r="Q40" t="s">
        <v>34</v>
      </c>
    </row>
    <row r="41" spans="1:17" x14ac:dyDescent="0.3">
      <c r="A41" t="s">
        <v>91</v>
      </c>
      <c r="B41" t="s">
        <v>36</v>
      </c>
      <c r="C41" t="s">
        <v>28</v>
      </c>
      <c r="D41" t="s">
        <v>46</v>
      </c>
      <c r="E41">
        <v>119987</v>
      </c>
      <c r="F41">
        <v>32090</v>
      </c>
      <c r="G41">
        <v>57058</v>
      </c>
      <c r="H41">
        <v>4699</v>
      </c>
      <c r="I41">
        <v>508</v>
      </c>
      <c r="J41">
        <v>258</v>
      </c>
      <c r="K41">
        <f t="shared" si="0"/>
        <v>17.03022748519788</v>
      </c>
      <c r="L41">
        <v>306824</v>
      </c>
      <c r="M41">
        <v>1167718</v>
      </c>
      <c r="N41">
        <f t="shared" si="1"/>
        <v>280.58235340129846</v>
      </c>
      <c r="O41">
        <v>46108</v>
      </c>
      <c r="P41">
        <v>46131</v>
      </c>
      <c r="Q41" t="s">
        <v>30</v>
      </c>
    </row>
    <row r="42" spans="1:17" x14ac:dyDescent="0.3">
      <c r="A42" t="s">
        <v>92</v>
      </c>
      <c r="B42" t="s">
        <v>45</v>
      </c>
      <c r="C42" t="s">
        <v>28</v>
      </c>
      <c r="D42" t="s">
        <v>29</v>
      </c>
      <c r="E42">
        <v>687105</v>
      </c>
      <c r="F42">
        <v>335716</v>
      </c>
      <c r="G42">
        <v>696033</v>
      </c>
      <c r="H42">
        <v>17465</v>
      </c>
      <c r="I42">
        <v>1688</v>
      </c>
      <c r="J42">
        <v>1588</v>
      </c>
      <c r="K42">
        <f t="shared" si="0"/>
        <v>6.1781386648238392</v>
      </c>
      <c r="L42">
        <v>288345</v>
      </c>
      <c r="M42">
        <v>1013280</v>
      </c>
      <c r="N42">
        <f t="shared" si="1"/>
        <v>251.41237059772146</v>
      </c>
      <c r="O42">
        <v>45665</v>
      </c>
      <c r="P42">
        <v>45686</v>
      </c>
      <c r="Q42" t="s">
        <v>47</v>
      </c>
    </row>
    <row r="43" spans="1:17" x14ac:dyDescent="0.3">
      <c r="A43" t="s">
        <v>93</v>
      </c>
      <c r="B43" t="s">
        <v>18</v>
      </c>
      <c r="C43" t="s">
        <v>33</v>
      </c>
      <c r="D43" t="s">
        <v>29</v>
      </c>
      <c r="E43">
        <v>1552518</v>
      </c>
      <c r="F43">
        <v>845376</v>
      </c>
      <c r="G43">
        <v>1279604</v>
      </c>
      <c r="H43">
        <v>43596</v>
      </c>
      <c r="I43">
        <v>1802</v>
      </c>
      <c r="J43">
        <v>2621</v>
      </c>
      <c r="K43">
        <f t="shared" si="0"/>
        <v>5.6801943750473161</v>
      </c>
      <c r="L43">
        <v>366840</v>
      </c>
      <c r="M43">
        <v>471335</v>
      </c>
      <c r="N43">
        <f t="shared" si="1"/>
        <v>28.485170646603425</v>
      </c>
      <c r="O43">
        <v>45913</v>
      </c>
      <c r="P43">
        <v>45939</v>
      </c>
      <c r="Q43" t="s">
        <v>34</v>
      </c>
    </row>
    <row r="44" spans="1:17" x14ac:dyDescent="0.3">
      <c r="A44" t="s">
        <v>94</v>
      </c>
      <c r="B44" t="s">
        <v>27</v>
      </c>
      <c r="C44" t="s">
        <v>37</v>
      </c>
      <c r="D44" t="s">
        <v>29</v>
      </c>
      <c r="E44">
        <v>855433</v>
      </c>
      <c r="F44">
        <v>758242</v>
      </c>
      <c r="G44">
        <v>2006913</v>
      </c>
      <c r="H44">
        <v>33818</v>
      </c>
      <c r="I44">
        <v>3787</v>
      </c>
      <c r="J44">
        <v>3002</v>
      </c>
      <c r="K44">
        <f t="shared" si="0"/>
        <v>5.3554142345056066</v>
      </c>
      <c r="L44">
        <v>325214</v>
      </c>
      <c r="M44">
        <v>362692</v>
      </c>
      <c r="N44">
        <f t="shared" si="1"/>
        <v>11.524104128358557</v>
      </c>
      <c r="O44">
        <v>46138</v>
      </c>
      <c r="P44">
        <v>46152</v>
      </c>
      <c r="Q44" t="s">
        <v>78</v>
      </c>
    </row>
    <row r="45" spans="1:17" x14ac:dyDescent="0.3">
      <c r="A45" t="s">
        <v>95</v>
      </c>
      <c r="B45" t="s">
        <v>36</v>
      </c>
      <c r="C45" t="s">
        <v>37</v>
      </c>
      <c r="D45" t="s">
        <v>40</v>
      </c>
      <c r="E45">
        <v>153045</v>
      </c>
      <c r="F45">
        <v>42319</v>
      </c>
      <c r="G45">
        <v>87926</v>
      </c>
      <c r="H45">
        <v>1758</v>
      </c>
      <c r="I45">
        <v>215</v>
      </c>
      <c r="J45">
        <v>128</v>
      </c>
      <c r="K45">
        <f t="shared" si="0"/>
        <v>4.9646730782863493</v>
      </c>
      <c r="L45">
        <v>234724</v>
      </c>
      <c r="M45">
        <v>788150</v>
      </c>
      <c r="N45">
        <f t="shared" si="1"/>
        <v>235.7773384911641</v>
      </c>
      <c r="O45">
        <v>45958</v>
      </c>
      <c r="P45">
        <v>45975</v>
      </c>
      <c r="Q45" t="s">
        <v>21</v>
      </c>
    </row>
    <row r="46" spans="1:17" x14ac:dyDescent="0.3">
      <c r="A46" t="s">
        <v>96</v>
      </c>
      <c r="B46" t="s">
        <v>39</v>
      </c>
      <c r="C46" t="s">
        <v>19</v>
      </c>
      <c r="D46" t="s">
        <v>46</v>
      </c>
      <c r="E46">
        <v>991333</v>
      </c>
      <c r="F46">
        <v>250935</v>
      </c>
      <c r="G46">
        <v>683178</v>
      </c>
      <c r="H46">
        <v>19686</v>
      </c>
      <c r="I46">
        <v>1518</v>
      </c>
      <c r="J46">
        <v>1297</v>
      </c>
      <c r="K46">
        <f t="shared" si="0"/>
        <v>8.9668639289058927</v>
      </c>
      <c r="L46">
        <v>335334</v>
      </c>
      <c r="M46">
        <v>1227988</v>
      </c>
      <c r="N46">
        <f t="shared" si="1"/>
        <v>266.19847674259097</v>
      </c>
      <c r="O46">
        <v>46049</v>
      </c>
      <c r="P46">
        <v>46071</v>
      </c>
      <c r="Q46" t="s">
        <v>41</v>
      </c>
    </row>
    <row r="47" spans="1:17" x14ac:dyDescent="0.3">
      <c r="A47" t="s">
        <v>97</v>
      </c>
      <c r="B47" t="s">
        <v>80</v>
      </c>
      <c r="C47" t="s">
        <v>28</v>
      </c>
      <c r="D47" t="s">
        <v>46</v>
      </c>
      <c r="E47">
        <v>1339725</v>
      </c>
      <c r="F47">
        <v>363001</v>
      </c>
      <c r="G47">
        <v>692147</v>
      </c>
      <c r="H47">
        <v>41620</v>
      </c>
      <c r="I47">
        <v>2290</v>
      </c>
      <c r="J47">
        <v>2532</v>
      </c>
      <c r="K47">
        <f t="shared" si="0"/>
        <v>12.793904149024382</v>
      </c>
      <c r="L47">
        <v>258172</v>
      </c>
      <c r="M47">
        <v>856134</v>
      </c>
      <c r="N47">
        <f t="shared" si="1"/>
        <v>231.61380784903091</v>
      </c>
      <c r="O47">
        <v>45688</v>
      </c>
      <c r="P47">
        <v>45695</v>
      </c>
      <c r="Q47" t="s">
        <v>47</v>
      </c>
    </row>
    <row r="48" spans="1:17" x14ac:dyDescent="0.3">
      <c r="A48" t="s">
        <v>98</v>
      </c>
      <c r="B48" t="s">
        <v>23</v>
      </c>
      <c r="C48" t="s">
        <v>28</v>
      </c>
      <c r="D48" t="s">
        <v>46</v>
      </c>
      <c r="E48">
        <v>534524</v>
      </c>
      <c r="F48">
        <v>206364</v>
      </c>
      <c r="G48">
        <v>329393</v>
      </c>
      <c r="H48">
        <v>14787</v>
      </c>
      <c r="I48">
        <v>887</v>
      </c>
      <c r="J48">
        <v>540</v>
      </c>
      <c r="K48">
        <f t="shared" si="0"/>
        <v>7.8569905603690566</v>
      </c>
      <c r="L48">
        <v>229313</v>
      </c>
      <c r="M48">
        <v>843637</v>
      </c>
      <c r="N48">
        <f t="shared" si="1"/>
        <v>267.89758975723134</v>
      </c>
      <c r="O48">
        <v>46148</v>
      </c>
      <c r="P48">
        <v>46177</v>
      </c>
      <c r="Q48" t="s">
        <v>78</v>
      </c>
    </row>
    <row r="49" spans="1:17" x14ac:dyDescent="0.3">
      <c r="A49" t="s">
        <v>99</v>
      </c>
      <c r="B49" t="s">
        <v>57</v>
      </c>
      <c r="C49" t="s">
        <v>33</v>
      </c>
      <c r="D49" t="s">
        <v>24</v>
      </c>
      <c r="E49">
        <v>685104</v>
      </c>
      <c r="F49">
        <v>428636</v>
      </c>
      <c r="G49">
        <v>487039</v>
      </c>
      <c r="H49">
        <v>22586</v>
      </c>
      <c r="I49">
        <v>2516</v>
      </c>
      <c r="J49">
        <v>1956</v>
      </c>
      <c r="K49">
        <f t="shared" si="0"/>
        <v>6.3125822376095337</v>
      </c>
      <c r="L49">
        <v>226384</v>
      </c>
      <c r="M49">
        <v>805421</v>
      </c>
      <c r="N49">
        <f t="shared" si="1"/>
        <v>255.77646830164676</v>
      </c>
      <c r="O49">
        <v>46117</v>
      </c>
      <c r="P49">
        <v>46132</v>
      </c>
      <c r="Q49" t="s">
        <v>78</v>
      </c>
    </row>
    <row r="50" spans="1:17" x14ac:dyDescent="0.3">
      <c r="A50" t="s">
        <v>100</v>
      </c>
      <c r="B50" t="s">
        <v>63</v>
      </c>
      <c r="C50" t="s">
        <v>37</v>
      </c>
      <c r="D50" t="s">
        <v>46</v>
      </c>
      <c r="E50">
        <v>503984</v>
      </c>
      <c r="F50">
        <v>447234</v>
      </c>
      <c r="G50">
        <v>512463</v>
      </c>
      <c r="H50">
        <v>49533</v>
      </c>
      <c r="I50">
        <v>6120</v>
      </c>
      <c r="J50">
        <v>1231</v>
      </c>
      <c r="K50">
        <f t="shared" si="0"/>
        <v>12.719068764897123</v>
      </c>
      <c r="L50">
        <v>117812</v>
      </c>
      <c r="M50">
        <v>209328</v>
      </c>
      <c r="N50">
        <f t="shared" si="1"/>
        <v>77.679693070315409</v>
      </c>
      <c r="O50">
        <v>45967</v>
      </c>
      <c r="P50">
        <v>45977</v>
      </c>
      <c r="Q50" t="s">
        <v>41</v>
      </c>
    </row>
    <row r="51" spans="1:17" x14ac:dyDescent="0.3">
      <c r="A51" t="s">
        <v>101</v>
      </c>
      <c r="B51" t="s">
        <v>49</v>
      </c>
      <c r="C51" t="s">
        <v>37</v>
      </c>
      <c r="D51" t="s">
        <v>20</v>
      </c>
      <c r="E51">
        <v>1032969</v>
      </c>
      <c r="F51">
        <v>339445</v>
      </c>
      <c r="G51">
        <v>583134</v>
      </c>
      <c r="H51">
        <v>38121</v>
      </c>
      <c r="I51">
        <v>5447</v>
      </c>
      <c r="J51">
        <v>1617</v>
      </c>
      <c r="K51">
        <f t="shared" si="0"/>
        <v>13.311434842168834</v>
      </c>
      <c r="L51">
        <v>451487</v>
      </c>
      <c r="M51">
        <v>1485472</v>
      </c>
      <c r="N51">
        <f t="shared" si="1"/>
        <v>229.0176682828077</v>
      </c>
      <c r="O51">
        <v>46012</v>
      </c>
      <c r="P51">
        <v>46019</v>
      </c>
      <c r="Q51" t="s">
        <v>25</v>
      </c>
    </row>
    <row r="52" spans="1:17" x14ac:dyDescent="0.3">
      <c r="A52" t="s">
        <v>102</v>
      </c>
      <c r="B52" t="s">
        <v>103</v>
      </c>
      <c r="C52" t="s">
        <v>43</v>
      </c>
      <c r="D52" t="s">
        <v>29</v>
      </c>
      <c r="E52">
        <v>1130894</v>
      </c>
      <c r="F52">
        <v>370311</v>
      </c>
      <c r="G52">
        <v>535173</v>
      </c>
      <c r="H52">
        <v>36108</v>
      </c>
      <c r="I52">
        <v>2356</v>
      </c>
      <c r="J52">
        <v>1909</v>
      </c>
      <c r="K52">
        <f t="shared" si="0"/>
        <v>10.902457663963533</v>
      </c>
      <c r="L52">
        <v>141601</v>
      </c>
      <c r="M52">
        <v>540928</v>
      </c>
      <c r="N52">
        <f t="shared" si="1"/>
        <v>282.00860163416922</v>
      </c>
      <c r="O52">
        <v>45902</v>
      </c>
      <c r="P52">
        <v>45917</v>
      </c>
      <c r="Q52" t="s">
        <v>34</v>
      </c>
    </row>
    <row r="53" spans="1:17" x14ac:dyDescent="0.3">
      <c r="A53" t="s">
        <v>104</v>
      </c>
      <c r="B53" t="s">
        <v>45</v>
      </c>
      <c r="C53" t="s">
        <v>28</v>
      </c>
      <c r="D53" t="s">
        <v>40</v>
      </c>
      <c r="E53">
        <v>786063</v>
      </c>
      <c r="F53">
        <v>487277</v>
      </c>
      <c r="G53">
        <v>907043</v>
      </c>
      <c r="H53">
        <v>65921</v>
      </c>
      <c r="I53">
        <v>4819</v>
      </c>
      <c r="J53">
        <v>5662</v>
      </c>
      <c r="K53">
        <f t="shared" si="0"/>
        <v>15.67937743829485</v>
      </c>
      <c r="L53">
        <v>112437</v>
      </c>
      <c r="M53">
        <v>522995</v>
      </c>
      <c r="N53">
        <f t="shared" si="1"/>
        <v>365.144925602782</v>
      </c>
      <c r="O53">
        <v>45817</v>
      </c>
      <c r="P53">
        <v>45844</v>
      </c>
      <c r="Q53" t="s">
        <v>30</v>
      </c>
    </row>
    <row r="54" spans="1:17" x14ac:dyDescent="0.3">
      <c r="A54" t="s">
        <v>105</v>
      </c>
      <c r="B54" t="s">
        <v>49</v>
      </c>
      <c r="C54" t="s">
        <v>43</v>
      </c>
      <c r="D54" t="s">
        <v>46</v>
      </c>
      <c r="E54">
        <v>1160480</v>
      </c>
      <c r="F54">
        <v>517217</v>
      </c>
      <c r="G54">
        <v>1238580</v>
      </c>
      <c r="H54">
        <v>45434</v>
      </c>
      <c r="I54">
        <v>5737</v>
      </c>
      <c r="J54">
        <v>1589</v>
      </c>
      <c r="K54">
        <f t="shared" si="0"/>
        <v>10.200747461897038</v>
      </c>
      <c r="L54">
        <v>395714</v>
      </c>
      <c r="M54">
        <v>1665091</v>
      </c>
      <c r="N54">
        <f t="shared" si="1"/>
        <v>320.78142294687575</v>
      </c>
      <c r="O54">
        <v>45675</v>
      </c>
      <c r="P54">
        <v>45692</v>
      </c>
      <c r="Q54" t="s">
        <v>47</v>
      </c>
    </row>
    <row r="55" spans="1:17" x14ac:dyDescent="0.3">
      <c r="A55" t="s">
        <v>106</v>
      </c>
      <c r="B55" t="s">
        <v>49</v>
      </c>
      <c r="C55" t="s">
        <v>33</v>
      </c>
      <c r="D55" t="s">
        <v>58</v>
      </c>
      <c r="E55">
        <v>277183</v>
      </c>
      <c r="F55">
        <v>117987</v>
      </c>
      <c r="G55">
        <v>231614</v>
      </c>
      <c r="H55">
        <v>10263</v>
      </c>
      <c r="I55">
        <v>575</v>
      </c>
      <c r="J55">
        <v>890</v>
      </c>
      <c r="K55">
        <f t="shared" si="0"/>
        <v>9.940078144202328</v>
      </c>
      <c r="L55">
        <v>88957</v>
      </c>
      <c r="M55">
        <v>419272</v>
      </c>
      <c r="N55">
        <f t="shared" si="1"/>
        <v>371.31985116404553</v>
      </c>
      <c r="O55">
        <v>46111</v>
      </c>
      <c r="P55">
        <v>46120</v>
      </c>
      <c r="Q55" t="s">
        <v>34</v>
      </c>
    </row>
    <row r="56" spans="1:17" x14ac:dyDescent="0.3">
      <c r="A56" t="s">
        <v>107</v>
      </c>
      <c r="B56" t="s">
        <v>23</v>
      </c>
      <c r="C56" t="s">
        <v>33</v>
      </c>
      <c r="D56" t="s">
        <v>58</v>
      </c>
      <c r="E56">
        <v>226300</v>
      </c>
      <c r="F56">
        <v>62347</v>
      </c>
      <c r="G56">
        <v>158302</v>
      </c>
      <c r="H56">
        <v>6443</v>
      </c>
      <c r="I56">
        <v>559</v>
      </c>
      <c r="J56">
        <v>564</v>
      </c>
      <c r="K56">
        <f t="shared" si="0"/>
        <v>12.135307232104191</v>
      </c>
      <c r="L56">
        <v>72333</v>
      </c>
      <c r="M56">
        <v>270976</v>
      </c>
      <c r="N56">
        <f t="shared" si="1"/>
        <v>274.62292452960611</v>
      </c>
      <c r="O56">
        <v>45855</v>
      </c>
      <c r="P56">
        <v>45871</v>
      </c>
      <c r="Q56" t="s">
        <v>25</v>
      </c>
    </row>
    <row r="57" spans="1:17" x14ac:dyDescent="0.3">
      <c r="A57" t="s">
        <v>108</v>
      </c>
      <c r="B57" t="s">
        <v>36</v>
      </c>
      <c r="C57" t="s">
        <v>19</v>
      </c>
      <c r="D57" t="s">
        <v>46</v>
      </c>
      <c r="E57">
        <v>1807598</v>
      </c>
      <c r="F57">
        <v>1100855</v>
      </c>
      <c r="G57">
        <v>2015351</v>
      </c>
      <c r="H57">
        <v>49140</v>
      </c>
      <c r="I57">
        <v>4294</v>
      </c>
      <c r="J57">
        <v>2092</v>
      </c>
      <c r="K57">
        <f t="shared" si="0"/>
        <v>5.0438976976986076</v>
      </c>
      <c r="L57">
        <v>276027</v>
      </c>
      <c r="M57">
        <v>495543</v>
      </c>
      <c r="N57">
        <f t="shared" si="1"/>
        <v>79.527002793205014</v>
      </c>
      <c r="O57">
        <v>45914</v>
      </c>
      <c r="P57">
        <v>45930</v>
      </c>
      <c r="Q57" t="s">
        <v>41</v>
      </c>
    </row>
    <row r="58" spans="1:17" x14ac:dyDescent="0.3">
      <c r="A58" t="s">
        <v>109</v>
      </c>
      <c r="B58" t="s">
        <v>32</v>
      </c>
      <c r="C58" t="s">
        <v>33</v>
      </c>
      <c r="D58" t="s">
        <v>29</v>
      </c>
      <c r="E58">
        <v>275910</v>
      </c>
      <c r="F58">
        <v>150310</v>
      </c>
      <c r="G58">
        <v>175532</v>
      </c>
      <c r="H58">
        <v>18856</v>
      </c>
      <c r="I58">
        <v>2076</v>
      </c>
      <c r="J58">
        <v>694</v>
      </c>
      <c r="K58">
        <f t="shared" si="0"/>
        <v>14.387598962144901</v>
      </c>
      <c r="L58">
        <v>482437</v>
      </c>
      <c r="M58">
        <v>1963393</v>
      </c>
      <c r="N58">
        <f t="shared" si="1"/>
        <v>306.97396758540492</v>
      </c>
      <c r="O58">
        <v>45768</v>
      </c>
      <c r="P58">
        <v>45781</v>
      </c>
      <c r="Q58" t="s">
        <v>54</v>
      </c>
    </row>
    <row r="59" spans="1:17" x14ac:dyDescent="0.3">
      <c r="A59" t="s">
        <v>110</v>
      </c>
      <c r="B59" t="s">
        <v>53</v>
      </c>
      <c r="C59" t="s">
        <v>33</v>
      </c>
      <c r="D59" t="s">
        <v>58</v>
      </c>
      <c r="E59">
        <v>124480</v>
      </c>
      <c r="F59">
        <v>68150</v>
      </c>
      <c r="G59">
        <v>128563</v>
      </c>
      <c r="H59">
        <v>8710</v>
      </c>
      <c r="I59">
        <v>832</v>
      </c>
      <c r="J59">
        <v>638</v>
      </c>
      <c r="K59">
        <f t="shared" si="0"/>
        <v>14.937637564196626</v>
      </c>
      <c r="L59">
        <v>39407</v>
      </c>
      <c r="M59">
        <v>130979</v>
      </c>
      <c r="N59">
        <f t="shared" si="1"/>
        <v>232.37495876367143</v>
      </c>
      <c r="O59">
        <v>45845</v>
      </c>
      <c r="P59">
        <v>45868</v>
      </c>
      <c r="Q59" t="s">
        <v>41</v>
      </c>
    </row>
    <row r="60" spans="1:17" x14ac:dyDescent="0.3">
      <c r="A60" t="s">
        <v>111</v>
      </c>
      <c r="B60" t="s">
        <v>36</v>
      </c>
      <c r="C60" t="s">
        <v>37</v>
      </c>
      <c r="D60" t="s">
        <v>24</v>
      </c>
      <c r="E60">
        <v>1787675</v>
      </c>
      <c r="F60">
        <v>1054549</v>
      </c>
      <c r="G60">
        <v>2964850</v>
      </c>
      <c r="H60">
        <v>100167</v>
      </c>
      <c r="I60">
        <v>15007</v>
      </c>
      <c r="J60">
        <v>4929</v>
      </c>
      <c r="K60">
        <f t="shared" si="0"/>
        <v>11.389039295471335</v>
      </c>
      <c r="L60">
        <v>418994</v>
      </c>
      <c r="M60">
        <v>618344</v>
      </c>
      <c r="N60">
        <f t="shared" si="1"/>
        <v>47.578246943870319</v>
      </c>
      <c r="O60">
        <v>46035</v>
      </c>
      <c r="P60">
        <v>46047</v>
      </c>
      <c r="Q60" t="s">
        <v>41</v>
      </c>
    </row>
    <row r="61" spans="1:17" x14ac:dyDescent="0.3">
      <c r="A61" t="s">
        <v>112</v>
      </c>
      <c r="B61" t="s">
        <v>80</v>
      </c>
      <c r="C61" t="s">
        <v>19</v>
      </c>
      <c r="D61" t="s">
        <v>51</v>
      </c>
      <c r="E61">
        <v>1856888</v>
      </c>
      <c r="F61">
        <v>906842</v>
      </c>
      <c r="G61">
        <v>2680285</v>
      </c>
      <c r="H61">
        <v>128736</v>
      </c>
      <c r="I61">
        <v>12935</v>
      </c>
      <c r="J61">
        <v>7487</v>
      </c>
      <c r="K61">
        <f t="shared" si="0"/>
        <v>16.448069233670253</v>
      </c>
      <c r="L61">
        <v>423140</v>
      </c>
      <c r="M61">
        <v>502873</v>
      </c>
      <c r="N61">
        <f t="shared" si="1"/>
        <v>18.843172472467742</v>
      </c>
      <c r="O61">
        <v>46125</v>
      </c>
      <c r="P61">
        <v>46147</v>
      </c>
      <c r="Q61" t="s">
        <v>78</v>
      </c>
    </row>
    <row r="62" spans="1:17" x14ac:dyDescent="0.3">
      <c r="A62" t="s">
        <v>113</v>
      </c>
      <c r="B62" t="s">
        <v>32</v>
      </c>
      <c r="C62" t="s">
        <v>28</v>
      </c>
      <c r="D62" t="s">
        <v>46</v>
      </c>
      <c r="E62">
        <v>1332015</v>
      </c>
      <c r="F62">
        <v>869096</v>
      </c>
      <c r="G62">
        <v>2295471</v>
      </c>
      <c r="H62">
        <v>102920</v>
      </c>
      <c r="I62">
        <v>15055</v>
      </c>
      <c r="J62">
        <v>10273</v>
      </c>
      <c r="K62">
        <f t="shared" si="0"/>
        <v>14.756482598009887</v>
      </c>
      <c r="L62">
        <v>412289</v>
      </c>
      <c r="M62">
        <v>595257</v>
      </c>
      <c r="N62">
        <f t="shared" si="1"/>
        <v>44.378579103492939</v>
      </c>
      <c r="O62">
        <v>45728</v>
      </c>
      <c r="P62">
        <v>45745</v>
      </c>
      <c r="Q62" t="s">
        <v>21</v>
      </c>
    </row>
    <row r="63" spans="1:17" x14ac:dyDescent="0.3">
      <c r="A63" t="s">
        <v>114</v>
      </c>
      <c r="B63" t="s">
        <v>80</v>
      </c>
      <c r="C63" t="s">
        <v>43</v>
      </c>
      <c r="D63" t="s">
        <v>40</v>
      </c>
      <c r="E63">
        <v>1404635</v>
      </c>
      <c r="F63">
        <v>637788</v>
      </c>
      <c r="G63">
        <v>1901066</v>
      </c>
      <c r="H63">
        <v>55173</v>
      </c>
      <c r="I63">
        <v>7857</v>
      </c>
      <c r="J63">
        <v>2525</v>
      </c>
      <c r="K63">
        <f t="shared" si="0"/>
        <v>10.278493794176121</v>
      </c>
      <c r="L63">
        <v>32245</v>
      </c>
      <c r="M63">
        <v>60481</v>
      </c>
      <c r="N63">
        <f t="shared" si="1"/>
        <v>87.567064661187771</v>
      </c>
      <c r="O63">
        <v>45788</v>
      </c>
      <c r="P63">
        <v>45810</v>
      </c>
      <c r="Q63" t="s">
        <v>54</v>
      </c>
    </row>
    <row r="64" spans="1:17" x14ac:dyDescent="0.3">
      <c r="A64" t="s">
        <v>115</v>
      </c>
      <c r="B64" t="s">
        <v>57</v>
      </c>
      <c r="C64" t="s">
        <v>43</v>
      </c>
      <c r="D64" t="s">
        <v>40</v>
      </c>
      <c r="E64">
        <v>1819865</v>
      </c>
      <c r="F64">
        <v>486868</v>
      </c>
      <c r="G64">
        <v>966622</v>
      </c>
      <c r="H64">
        <v>66429</v>
      </c>
      <c r="I64">
        <v>6000</v>
      </c>
      <c r="J64">
        <v>5826</v>
      </c>
      <c r="K64">
        <f t="shared" si="0"/>
        <v>16.073145082445343</v>
      </c>
      <c r="L64">
        <v>391795</v>
      </c>
      <c r="M64">
        <v>1415502</v>
      </c>
      <c r="N64">
        <f t="shared" si="1"/>
        <v>261.28638701361677</v>
      </c>
      <c r="O64">
        <v>45668</v>
      </c>
      <c r="P64">
        <v>45692</v>
      </c>
      <c r="Q64" t="s">
        <v>54</v>
      </c>
    </row>
    <row r="65" spans="1:17" x14ac:dyDescent="0.3">
      <c r="A65" t="s">
        <v>116</v>
      </c>
      <c r="B65" t="s">
        <v>61</v>
      </c>
      <c r="C65" t="s">
        <v>33</v>
      </c>
      <c r="D65" t="s">
        <v>40</v>
      </c>
      <c r="E65">
        <v>566322</v>
      </c>
      <c r="F65">
        <v>177900</v>
      </c>
      <c r="G65">
        <v>258015</v>
      </c>
      <c r="H65">
        <v>12012</v>
      </c>
      <c r="I65">
        <v>996</v>
      </c>
      <c r="J65">
        <v>661</v>
      </c>
      <c r="K65">
        <f t="shared" si="0"/>
        <v>7.6835300730747607</v>
      </c>
      <c r="L65">
        <v>132857</v>
      </c>
      <c r="M65">
        <v>520986</v>
      </c>
      <c r="N65">
        <f t="shared" si="1"/>
        <v>292.14042165636738</v>
      </c>
      <c r="O65">
        <v>45712</v>
      </c>
      <c r="P65">
        <v>45727</v>
      </c>
      <c r="Q65" t="s">
        <v>25</v>
      </c>
    </row>
    <row r="66" spans="1:17" x14ac:dyDescent="0.3">
      <c r="A66" t="s">
        <v>117</v>
      </c>
      <c r="B66" t="s">
        <v>80</v>
      </c>
      <c r="C66" t="s">
        <v>19</v>
      </c>
      <c r="D66" t="s">
        <v>72</v>
      </c>
      <c r="E66">
        <v>1485366</v>
      </c>
      <c r="F66">
        <v>1208867</v>
      </c>
      <c r="G66">
        <v>2615513</v>
      </c>
      <c r="H66">
        <v>173055</v>
      </c>
      <c r="I66">
        <v>19643</v>
      </c>
      <c r="J66">
        <v>15765</v>
      </c>
      <c r="K66">
        <f t="shared" ref="K66:K129" si="2">((H66+I66+J66)/F66)*100</f>
        <v>17.244494224757563</v>
      </c>
      <c r="L66">
        <v>369455</v>
      </c>
      <c r="M66">
        <v>447536</v>
      </c>
      <c r="N66">
        <f t="shared" ref="N66:N129" si="3">((M66-L66)/L66)*100</f>
        <v>21.134102935404854</v>
      </c>
      <c r="O66">
        <v>45768</v>
      </c>
      <c r="P66">
        <v>45778</v>
      </c>
      <c r="Q66" t="s">
        <v>78</v>
      </c>
    </row>
    <row r="67" spans="1:17" x14ac:dyDescent="0.3">
      <c r="A67" t="s">
        <v>118</v>
      </c>
      <c r="B67" t="s">
        <v>75</v>
      </c>
      <c r="C67" t="s">
        <v>43</v>
      </c>
      <c r="D67" t="s">
        <v>46</v>
      </c>
      <c r="E67">
        <v>1857886</v>
      </c>
      <c r="F67">
        <v>1009400</v>
      </c>
      <c r="G67">
        <v>1209530</v>
      </c>
      <c r="H67">
        <v>94650</v>
      </c>
      <c r="I67">
        <v>2909</v>
      </c>
      <c r="J67">
        <v>4236</v>
      </c>
      <c r="K67">
        <f t="shared" si="2"/>
        <v>10.084703784426392</v>
      </c>
      <c r="L67">
        <v>390951</v>
      </c>
      <c r="M67">
        <v>797516</v>
      </c>
      <c r="N67">
        <f t="shared" si="3"/>
        <v>103.99385089179974</v>
      </c>
      <c r="O67">
        <v>45968</v>
      </c>
      <c r="P67">
        <v>45990</v>
      </c>
      <c r="Q67" t="s">
        <v>21</v>
      </c>
    </row>
    <row r="68" spans="1:17" x14ac:dyDescent="0.3">
      <c r="A68" t="s">
        <v>119</v>
      </c>
      <c r="B68" t="s">
        <v>61</v>
      </c>
      <c r="C68" t="s">
        <v>37</v>
      </c>
      <c r="D68" t="s">
        <v>20</v>
      </c>
      <c r="E68">
        <v>606609</v>
      </c>
      <c r="F68">
        <v>368105</v>
      </c>
      <c r="G68">
        <v>477885</v>
      </c>
      <c r="H68">
        <v>54493</v>
      </c>
      <c r="I68">
        <v>1778</v>
      </c>
      <c r="J68">
        <v>5337</v>
      </c>
      <c r="K68">
        <f t="shared" si="2"/>
        <v>16.736528979503131</v>
      </c>
      <c r="L68">
        <v>155801</v>
      </c>
      <c r="M68">
        <v>666355</v>
      </c>
      <c r="N68">
        <f t="shared" si="3"/>
        <v>327.69622788043722</v>
      </c>
      <c r="O68">
        <v>45807</v>
      </c>
      <c r="P68">
        <v>45823</v>
      </c>
      <c r="Q68" t="s">
        <v>25</v>
      </c>
    </row>
    <row r="69" spans="1:17" x14ac:dyDescent="0.3">
      <c r="A69" t="s">
        <v>120</v>
      </c>
      <c r="B69" t="s">
        <v>57</v>
      </c>
      <c r="C69" t="s">
        <v>19</v>
      </c>
      <c r="D69" t="s">
        <v>24</v>
      </c>
      <c r="E69">
        <v>1544670</v>
      </c>
      <c r="F69">
        <v>862620</v>
      </c>
      <c r="G69">
        <v>2191565</v>
      </c>
      <c r="H69">
        <v>42228</v>
      </c>
      <c r="I69">
        <v>2551</v>
      </c>
      <c r="J69">
        <v>3068</v>
      </c>
      <c r="K69">
        <f t="shared" si="2"/>
        <v>5.5467065451763231</v>
      </c>
      <c r="L69">
        <v>62749</v>
      </c>
      <c r="M69">
        <v>309289</v>
      </c>
      <c r="N69">
        <f t="shared" si="3"/>
        <v>392.89869161261532</v>
      </c>
      <c r="O69">
        <v>45834</v>
      </c>
      <c r="P69">
        <v>45851</v>
      </c>
      <c r="Q69" t="s">
        <v>47</v>
      </c>
    </row>
    <row r="70" spans="1:17" x14ac:dyDescent="0.3">
      <c r="A70" t="s">
        <v>121</v>
      </c>
      <c r="B70" t="s">
        <v>18</v>
      </c>
      <c r="C70" t="s">
        <v>19</v>
      </c>
      <c r="D70" t="s">
        <v>29</v>
      </c>
      <c r="E70">
        <v>1066617</v>
      </c>
      <c r="F70">
        <v>552181</v>
      </c>
      <c r="G70">
        <v>1396830</v>
      </c>
      <c r="H70">
        <v>36779</v>
      </c>
      <c r="I70">
        <v>1855</v>
      </c>
      <c r="J70">
        <v>740</v>
      </c>
      <c r="K70">
        <f t="shared" si="2"/>
        <v>7.130632890302274</v>
      </c>
      <c r="L70">
        <v>132764</v>
      </c>
      <c r="M70">
        <v>530419</v>
      </c>
      <c r="N70">
        <f t="shared" si="3"/>
        <v>299.52020125937753</v>
      </c>
      <c r="O70">
        <v>45978</v>
      </c>
      <c r="P70">
        <v>45993</v>
      </c>
      <c r="Q70" t="s">
        <v>78</v>
      </c>
    </row>
    <row r="71" spans="1:17" x14ac:dyDescent="0.3">
      <c r="A71" t="s">
        <v>122</v>
      </c>
      <c r="B71" t="s">
        <v>49</v>
      </c>
      <c r="C71" t="s">
        <v>37</v>
      </c>
      <c r="D71" t="s">
        <v>51</v>
      </c>
      <c r="E71">
        <v>1558397</v>
      </c>
      <c r="F71">
        <v>1155974</v>
      </c>
      <c r="G71">
        <v>2646041</v>
      </c>
      <c r="H71">
        <v>140037</v>
      </c>
      <c r="I71">
        <v>5630</v>
      </c>
      <c r="J71">
        <v>7148</v>
      </c>
      <c r="K71">
        <f t="shared" si="2"/>
        <v>13.219587983812787</v>
      </c>
      <c r="L71">
        <v>256505</v>
      </c>
      <c r="M71">
        <v>749000</v>
      </c>
      <c r="N71">
        <f t="shared" si="3"/>
        <v>192.00210522212043</v>
      </c>
      <c r="O71">
        <v>45991</v>
      </c>
      <c r="P71">
        <v>46012</v>
      </c>
      <c r="Q71" t="s">
        <v>41</v>
      </c>
    </row>
    <row r="72" spans="1:17" x14ac:dyDescent="0.3">
      <c r="A72" t="s">
        <v>123</v>
      </c>
      <c r="B72" t="s">
        <v>36</v>
      </c>
      <c r="C72" t="s">
        <v>43</v>
      </c>
      <c r="D72" t="s">
        <v>51</v>
      </c>
      <c r="E72">
        <v>1381863</v>
      </c>
      <c r="F72">
        <v>549471</v>
      </c>
      <c r="G72">
        <v>1351000</v>
      </c>
      <c r="H72">
        <v>29875</v>
      </c>
      <c r="I72">
        <v>3959</v>
      </c>
      <c r="J72">
        <v>2176</v>
      </c>
      <c r="K72">
        <f t="shared" si="2"/>
        <v>6.5535760758984551</v>
      </c>
      <c r="L72">
        <v>235064</v>
      </c>
      <c r="M72">
        <v>871213</v>
      </c>
      <c r="N72">
        <f t="shared" si="3"/>
        <v>270.62799918320115</v>
      </c>
      <c r="O72">
        <v>45841</v>
      </c>
      <c r="P72">
        <v>45855</v>
      </c>
      <c r="Q72" t="s">
        <v>34</v>
      </c>
    </row>
    <row r="73" spans="1:17" x14ac:dyDescent="0.3">
      <c r="A73" t="s">
        <v>124</v>
      </c>
      <c r="B73" t="s">
        <v>27</v>
      </c>
      <c r="C73" t="s">
        <v>28</v>
      </c>
      <c r="D73" t="s">
        <v>51</v>
      </c>
      <c r="E73">
        <v>1812674</v>
      </c>
      <c r="F73">
        <v>1031176</v>
      </c>
      <c r="G73">
        <v>2143974</v>
      </c>
      <c r="H73">
        <v>65627</v>
      </c>
      <c r="I73">
        <v>6120</v>
      </c>
      <c r="J73">
        <v>2262</v>
      </c>
      <c r="K73">
        <f t="shared" si="2"/>
        <v>7.1771453175791518</v>
      </c>
      <c r="L73">
        <v>303403</v>
      </c>
      <c r="M73">
        <v>1391734</v>
      </c>
      <c r="N73">
        <f t="shared" si="3"/>
        <v>358.70805496320077</v>
      </c>
      <c r="O73">
        <v>45749</v>
      </c>
      <c r="P73">
        <v>45759</v>
      </c>
      <c r="Q73" t="s">
        <v>34</v>
      </c>
    </row>
    <row r="74" spans="1:17" x14ac:dyDescent="0.3">
      <c r="A74" t="s">
        <v>125</v>
      </c>
      <c r="B74" t="s">
        <v>57</v>
      </c>
      <c r="C74" t="s">
        <v>37</v>
      </c>
      <c r="D74" t="s">
        <v>51</v>
      </c>
      <c r="E74">
        <v>838293</v>
      </c>
      <c r="F74">
        <v>506129</v>
      </c>
      <c r="G74">
        <v>681090</v>
      </c>
      <c r="H74">
        <v>64594</v>
      </c>
      <c r="I74">
        <v>8098</v>
      </c>
      <c r="J74">
        <v>4705</v>
      </c>
      <c r="K74">
        <f t="shared" si="2"/>
        <v>15.291951261437301</v>
      </c>
      <c r="L74">
        <v>168627</v>
      </c>
      <c r="M74">
        <v>528044</v>
      </c>
      <c r="N74">
        <f t="shared" si="3"/>
        <v>213.14320956904885</v>
      </c>
      <c r="O74">
        <v>46119</v>
      </c>
      <c r="P74">
        <v>46146</v>
      </c>
      <c r="Q74" t="s">
        <v>34</v>
      </c>
    </row>
    <row r="75" spans="1:17" x14ac:dyDescent="0.3">
      <c r="A75" t="s">
        <v>126</v>
      </c>
      <c r="B75" t="s">
        <v>103</v>
      </c>
      <c r="C75" t="s">
        <v>37</v>
      </c>
      <c r="D75" t="s">
        <v>72</v>
      </c>
      <c r="E75">
        <v>55927</v>
      </c>
      <c r="F75">
        <v>21682</v>
      </c>
      <c r="G75">
        <v>61040</v>
      </c>
      <c r="H75">
        <v>1998</v>
      </c>
      <c r="I75">
        <v>211</v>
      </c>
      <c r="J75">
        <v>120</v>
      </c>
      <c r="K75">
        <f t="shared" si="2"/>
        <v>10.741629001014665</v>
      </c>
      <c r="L75">
        <v>484372</v>
      </c>
      <c r="M75">
        <v>2041207</v>
      </c>
      <c r="N75">
        <f t="shared" si="3"/>
        <v>321.41308746170296</v>
      </c>
      <c r="O75">
        <v>46060</v>
      </c>
      <c r="P75">
        <v>46080</v>
      </c>
      <c r="Q75" t="s">
        <v>78</v>
      </c>
    </row>
    <row r="76" spans="1:17" x14ac:dyDescent="0.3">
      <c r="A76" t="s">
        <v>127</v>
      </c>
      <c r="B76" t="s">
        <v>49</v>
      </c>
      <c r="C76" t="s">
        <v>43</v>
      </c>
      <c r="D76" t="s">
        <v>40</v>
      </c>
      <c r="E76">
        <v>871758</v>
      </c>
      <c r="F76">
        <v>407633</v>
      </c>
      <c r="G76">
        <v>590946</v>
      </c>
      <c r="H76">
        <v>10330</v>
      </c>
      <c r="I76">
        <v>717</v>
      </c>
      <c r="J76">
        <v>578</v>
      </c>
      <c r="K76">
        <f t="shared" si="2"/>
        <v>2.8518299548858899</v>
      </c>
      <c r="L76">
        <v>447649</v>
      </c>
      <c r="M76">
        <v>1495680</v>
      </c>
      <c r="N76">
        <f t="shared" si="3"/>
        <v>234.11891906382007</v>
      </c>
      <c r="O76">
        <v>45982</v>
      </c>
      <c r="P76">
        <v>46006</v>
      </c>
      <c r="Q76" t="s">
        <v>47</v>
      </c>
    </row>
    <row r="77" spans="1:17" x14ac:dyDescent="0.3">
      <c r="A77" t="s">
        <v>128</v>
      </c>
      <c r="B77" t="s">
        <v>80</v>
      </c>
      <c r="C77" t="s">
        <v>33</v>
      </c>
      <c r="D77" t="s">
        <v>72</v>
      </c>
      <c r="E77">
        <v>1496136</v>
      </c>
      <c r="F77">
        <v>1028998</v>
      </c>
      <c r="G77">
        <v>2903794</v>
      </c>
      <c r="H77">
        <v>117557</v>
      </c>
      <c r="I77">
        <v>4426</v>
      </c>
      <c r="J77">
        <v>11297</v>
      </c>
      <c r="K77">
        <f t="shared" si="2"/>
        <v>12.952406127125613</v>
      </c>
      <c r="L77">
        <v>237772</v>
      </c>
      <c r="M77">
        <v>1125899</v>
      </c>
      <c r="N77">
        <f t="shared" si="3"/>
        <v>373.52043133758389</v>
      </c>
      <c r="O77">
        <v>46124</v>
      </c>
      <c r="P77">
        <v>46145</v>
      </c>
      <c r="Q77" t="s">
        <v>21</v>
      </c>
    </row>
    <row r="78" spans="1:17" x14ac:dyDescent="0.3">
      <c r="A78" t="s">
        <v>129</v>
      </c>
      <c r="B78" t="s">
        <v>18</v>
      </c>
      <c r="C78" t="s">
        <v>19</v>
      </c>
      <c r="D78" t="s">
        <v>46</v>
      </c>
      <c r="E78">
        <v>172579</v>
      </c>
      <c r="F78">
        <v>60811</v>
      </c>
      <c r="G78">
        <v>69289</v>
      </c>
      <c r="H78">
        <v>5401</v>
      </c>
      <c r="I78">
        <v>645</v>
      </c>
      <c r="J78">
        <v>370</v>
      </c>
      <c r="K78">
        <f t="shared" si="2"/>
        <v>10.550722731084837</v>
      </c>
      <c r="L78">
        <v>114747</v>
      </c>
      <c r="M78">
        <v>312824</v>
      </c>
      <c r="N78">
        <f t="shared" si="3"/>
        <v>172.62063496213409</v>
      </c>
      <c r="O78">
        <v>45781</v>
      </c>
      <c r="P78">
        <v>45800</v>
      </c>
      <c r="Q78" t="s">
        <v>54</v>
      </c>
    </row>
    <row r="79" spans="1:17" x14ac:dyDescent="0.3">
      <c r="A79" t="s">
        <v>130</v>
      </c>
      <c r="B79" t="s">
        <v>75</v>
      </c>
      <c r="C79" t="s">
        <v>33</v>
      </c>
      <c r="D79" t="s">
        <v>29</v>
      </c>
      <c r="E79">
        <v>1432682</v>
      </c>
      <c r="F79">
        <v>865902</v>
      </c>
      <c r="G79">
        <v>1601644</v>
      </c>
      <c r="H79">
        <v>94848</v>
      </c>
      <c r="I79">
        <v>3962</v>
      </c>
      <c r="J79">
        <v>7553</v>
      </c>
      <c r="K79">
        <f t="shared" si="2"/>
        <v>12.283491665338572</v>
      </c>
      <c r="L79">
        <v>396073</v>
      </c>
      <c r="M79">
        <v>1842216</v>
      </c>
      <c r="N79">
        <f t="shared" si="3"/>
        <v>365.12031872912314</v>
      </c>
      <c r="O79">
        <v>45854</v>
      </c>
      <c r="P79">
        <v>45871</v>
      </c>
      <c r="Q79" t="s">
        <v>41</v>
      </c>
    </row>
    <row r="80" spans="1:17" x14ac:dyDescent="0.3">
      <c r="A80" t="s">
        <v>131</v>
      </c>
      <c r="B80" t="s">
        <v>53</v>
      </c>
      <c r="C80" t="s">
        <v>33</v>
      </c>
      <c r="D80" t="s">
        <v>29</v>
      </c>
      <c r="E80">
        <v>1026359</v>
      </c>
      <c r="F80">
        <v>812890</v>
      </c>
      <c r="G80">
        <v>1889473</v>
      </c>
      <c r="H80">
        <v>28667</v>
      </c>
      <c r="I80">
        <v>2740</v>
      </c>
      <c r="J80">
        <v>2102</v>
      </c>
      <c r="K80">
        <f t="shared" si="2"/>
        <v>4.1222059565254838</v>
      </c>
      <c r="L80">
        <v>473986</v>
      </c>
      <c r="M80">
        <v>1061056</v>
      </c>
      <c r="N80">
        <f t="shared" si="3"/>
        <v>123.85808863552931</v>
      </c>
      <c r="O80">
        <v>46007</v>
      </c>
      <c r="P80">
        <v>46017</v>
      </c>
      <c r="Q80" t="s">
        <v>25</v>
      </c>
    </row>
    <row r="81" spans="1:17" x14ac:dyDescent="0.3">
      <c r="A81" t="s">
        <v>132</v>
      </c>
      <c r="B81" t="s">
        <v>63</v>
      </c>
      <c r="C81" t="s">
        <v>19</v>
      </c>
      <c r="D81" t="s">
        <v>24</v>
      </c>
      <c r="E81">
        <v>1375546</v>
      </c>
      <c r="F81">
        <v>416987</v>
      </c>
      <c r="G81">
        <v>767294</v>
      </c>
      <c r="H81">
        <v>41604</v>
      </c>
      <c r="I81">
        <v>6119</v>
      </c>
      <c r="J81">
        <v>2098</v>
      </c>
      <c r="K81">
        <f t="shared" si="2"/>
        <v>11.947854489468497</v>
      </c>
      <c r="L81">
        <v>244068</v>
      </c>
      <c r="M81">
        <v>1219660</v>
      </c>
      <c r="N81">
        <f t="shared" si="3"/>
        <v>399.72138912106459</v>
      </c>
      <c r="O81">
        <v>45995</v>
      </c>
      <c r="P81">
        <v>46020</v>
      </c>
      <c r="Q81" t="s">
        <v>47</v>
      </c>
    </row>
    <row r="82" spans="1:17" x14ac:dyDescent="0.3">
      <c r="A82" t="s">
        <v>133</v>
      </c>
      <c r="B82" t="s">
        <v>63</v>
      </c>
      <c r="C82" t="s">
        <v>33</v>
      </c>
      <c r="D82" t="s">
        <v>40</v>
      </c>
      <c r="E82">
        <v>668966</v>
      </c>
      <c r="F82">
        <v>197216</v>
      </c>
      <c r="G82">
        <v>486014</v>
      </c>
      <c r="H82">
        <v>21340</v>
      </c>
      <c r="I82">
        <v>1485</v>
      </c>
      <c r="J82">
        <v>1601</v>
      </c>
      <c r="K82">
        <f t="shared" si="2"/>
        <v>12.385404835307479</v>
      </c>
      <c r="L82">
        <v>474520</v>
      </c>
      <c r="M82">
        <v>597462</v>
      </c>
      <c r="N82">
        <f t="shared" si="3"/>
        <v>25.90870774677569</v>
      </c>
      <c r="O82">
        <v>46054</v>
      </c>
      <c r="P82">
        <v>46075</v>
      </c>
      <c r="Q82" t="s">
        <v>78</v>
      </c>
    </row>
    <row r="83" spans="1:17" x14ac:dyDescent="0.3">
      <c r="A83" t="s">
        <v>134</v>
      </c>
      <c r="B83" t="s">
        <v>53</v>
      </c>
      <c r="C83" t="s">
        <v>33</v>
      </c>
      <c r="D83" t="s">
        <v>29</v>
      </c>
      <c r="E83">
        <v>1066607</v>
      </c>
      <c r="F83">
        <v>758269</v>
      </c>
      <c r="G83">
        <v>1334787</v>
      </c>
      <c r="H83">
        <v>87462</v>
      </c>
      <c r="I83">
        <v>8633</v>
      </c>
      <c r="J83">
        <v>8352</v>
      </c>
      <c r="K83">
        <f t="shared" si="2"/>
        <v>13.774399322667813</v>
      </c>
      <c r="L83">
        <v>298090</v>
      </c>
      <c r="M83">
        <v>847678</v>
      </c>
      <c r="N83">
        <f t="shared" si="3"/>
        <v>184.36982119494112</v>
      </c>
      <c r="O83">
        <v>45883</v>
      </c>
      <c r="P83">
        <v>45913</v>
      </c>
      <c r="Q83" t="s">
        <v>25</v>
      </c>
    </row>
    <row r="84" spans="1:17" x14ac:dyDescent="0.3">
      <c r="A84" t="s">
        <v>135</v>
      </c>
      <c r="B84" t="s">
        <v>53</v>
      </c>
      <c r="C84" t="s">
        <v>28</v>
      </c>
      <c r="D84" t="s">
        <v>72</v>
      </c>
      <c r="E84">
        <v>717795</v>
      </c>
      <c r="F84">
        <v>415217</v>
      </c>
      <c r="G84">
        <v>1028936</v>
      </c>
      <c r="H84">
        <v>40186</v>
      </c>
      <c r="I84">
        <v>4657</v>
      </c>
      <c r="J84">
        <v>3176</v>
      </c>
      <c r="K84">
        <f t="shared" si="2"/>
        <v>11.56479623907499</v>
      </c>
      <c r="L84">
        <v>90341</v>
      </c>
      <c r="M84">
        <v>225359</v>
      </c>
      <c r="N84">
        <f t="shared" si="3"/>
        <v>149.45373639875584</v>
      </c>
      <c r="O84">
        <v>45813</v>
      </c>
      <c r="P84">
        <v>45835</v>
      </c>
      <c r="Q84" t="s">
        <v>54</v>
      </c>
    </row>
    <row r="85" spans="1:17" x14ac:dyDescent="0.3">
      <c r="A85" t="s">
        <v>136</v>
      </c>
      <c r="B85" t="s">
        <v>63</v>
      </c>
      <c r="C85" t="s">
        <v>19</v>
      </c>
      <c r="D85" t="s">
        <v>51</v>
      </c>
      <c r="E85">
        <v>1646555</v>
      </c>
      <c r="F85">
        <v>485659</v>
      </c>
      <c r="G85">
        <v>1441282</v>
      </c>
      <c r="H85">
        <v>70403</v>
      </c>
      <c r="I85">
        <v>3217</v>
      </c>
      <c r="J85">
        <v>6611</v>
      </c>
      <c r="K85">
        <f t="shared" si="2"/>
        <v>16.520027426651211</v>
      </c>
      <c r="L85">
        <v>397822</v>
      </c>
      <c r="M85">
        <v>1174383</v>
      </c>
      <c r="N85">
        <f t="shared" si="3"/>
        <v>195.20313104855938</v>
      </c>
      <c r="O85">
        <v>45757</v>
      </c>
      <c r="P85">
        <v>45781</v>
      </c>
      <c r="Q85" t="s">
        <v>30</v>
      </c>
    </row>
    <row r="86" spans="1:17" x14ac:dyDescent="0.3">
      <c r="A86" t="s">
        <v>137</v>
      </c>
      <c r="B86" t="s">
        <v>61</v>
      </c>
      <c r="C86" t="s">
        <v>28</v>
      </c>
      <c r="D86" t="s">
        <v>72</v>
      </c>
      <c r="E86">
        <v>1276098</v>
      </c>
      <c r="F86">
        <v>754337</v>
      </c>
      <c r="G86">
        <v>854021</v>
      </c>
      <c r="H86">
        <v>39255</v>
      </c>
      <c r="I86">
        <v>2232</v>
      </c>
      <c r="J86">
        <v>3512</v>
      </c>
      <c r="K86">
        <f t="shared" si="2"/>
        <v>5.9653709151214906</v>
      </c>
      <c r="L86">
        <v>201393</v>
      </c>
      <c r="M86">
        <v>675798</v>
      </c>
      <c r="N86">
        <f t="shared" si="3"/>
        <v>235.56181197956235</v>
      </c>
      <c r="O86">
        <v>45758</v>
      </c>
      <c r="P86">
        <v>45768</v>
      </c>
      <c r="Q86" t="s">
        <v>25</v>
      </c>
    </row>
    <row r="87" spans="1:17" x14ac:dyDescent="0.3">
      <c r="A87" t="s">
        <v>138</v>
      </c>
      <c r="B87" t="s">
        <v>49</v>
      </c>
      <c r="C87" t="s">
        <v>28</v>
      </c>
      <c r="D87" t="s">
        <v>58</v>
      </c>
      <c r="E87">
        <v>1161785</v>
      </c>
      <c r="F87">
        <v>990396</v>
      </c>
      <c r="G87">
        <v>2322284</v>
      </c>
      <c r="H87">
        <v>102465</v>
      </c>
      <c r="I87">
        <v>10839</v>
      </c>
      <c r="J87">
        <v>6520</v>
      </c>
      <c r="K87">
        <f t="shared" si="2"/>
        <v>12.098594905472154</v>
      </c>
      <c r="L87">
        <v>180648</v>
      </c>
      <c r="M87">
        <v>835730</v>
      </c>
      <c r="N87">
        <f t="shared" si="3"/>
        <v>362.62898011602675</v>
      </c>
      <c r="O87">
        <v>45734</v>
      </c>
      <c r="P87">
        <v>45761</v>
      </c>
      <c r="Q87" t="s">
        <v>47</v>
      </c>
    </row>
    <row r="88" spans="1:17" x14ac:dyDescent="0.3">
      <c r="A88" t="s">
        <v>139</v>
      </c>
      <c r="B88" t="s">
        <v>32</v>
      </c>
      <c r="C88" t="s">
        <v>37</v>
      </c>
      <c r="D88" t="s">
        <v>24</v>
      </c>
      <c r="E88">
        <v>441054</v>
      </c>
      <c r="F88">
        <v>282275</v>
      </c>
      <c r="G88">
        <v>510116</v>
      </c>
      <c r="H88">
        <v>38303</v>
      </c>
      <c r="I88">
        <v>2126</v>
      </c>
      <c r="J88">
        <v>3311</v>
      </c>
      <c r="K88">
        <f t="shared" si="2"/>
        <v>15.495527411212469</v>
      </c>
      <c r="L88">
        <v>478332</v>
      </c>
      <c r="M88">
        <v>1779288</v>
      </c>
      <c r="N88">
        <f t="shared" si="3"/>
        <v>271.97762223727449</v>
      </c>
      <c r="O88">
        <v>45754</v>
      </c>
      <c r="P88">
        <v>45783</v>
      </c>
      <c r="Q88" t="s">
        <v>47</v>
      </c>
    </row>
    <row r="89" spans="1:17" x14ac:dyDescent="0.3">
      <c r="A89" t="s">
        <v>140</v>
      </c>
      <c r="B89" t="s">
        <v>27</v>
      </c>
      <c r="C89" t="s">
        <v>37</v>
      </c>
      <c r="D89" t="s">
        <v>46</v>
      </c>
      <c r="E89">
        <v>893940</v>
      </c>
      <c r="F89">
        <v>646438</v>
      </c>
      <c r="G89">
        <v>1470831</v>
      </c>
      <c r="H89">
        <v>15097</v>
      </c>
      <c r="I89">
        <v>1753</v>
      </c>
      <c r="J89">
        <v>1130</v>
      </c>
      <c r="K89">
        <f t="shared" si="2"/>
        <v>2.7813958956620746</v>
      </c>
      <c r="L89">
        <v>462669</v>
      </c>
      <c r="M89">
        <v>737357</v>
      </c>
      <c r="N89">
        <f t="shared" si="3"/>
        <v>59.370305769351305</v>
      </c>
      <c r="O89">
        <v>45843</v>
      </c>
      <c r="P89">
        <v>45853</v>
      </c>
      <c r="Q89" t="s">
        <v>54</v>
      </c>
    </row>
    <row r="90" spans="1:17" x14ac:dyDescent="0.3">
      <c r="A90" t="s">
        <v>141</v>
      </c>
      <c r="B90" t="s">
        <v>23</v>
      </c>
      <c r="C90" t="s">
        <v>43</v>
      </c>
      <c r="D90" t="s">
        <v>20</v>
      </c>
      <c r="E90">
        <v>683914</v>
      </c>
      <c r="F90">
        <v>242829</v>
      </c>
      <c r="G90">
        <v>601767</v>
      </c>
      <c r="H90">
        <v>17489</v>
      </c>
      <c r="I90">
        <v>705</v>
      </c>
      <c r="J90">
        <v>633</v>
      </c>
      <c r="K90">
        <f t="shared" si="2"/>
        <v>7.7531925758455538</v>
      </c>
      <c r="L90">
        <v>185052</v>
      </c>
      <c r="M90">
        <v>801539</v>
      </c>
      <c r="N90">
        <f t="shared" si="3"/>
        <v>333.14257614076041</v>
      </c>
      <c r="O90">
        <v>45821</v>
      </c>
      <c r="P90">
        <v>45838</v>
      </c>
      <c r="Q90" t="s">
        <v>54</v>
      </c>
    </row>
    <row r="91" spans="1:17" x14ac:dyDescent="0.3">
      <c r="A91" t="s">
        <v>142</v>
      </c>
      <c r="B91" t="s">
        <v>80</v>
      </c>
      <c r="C91" t="s">
        <v>33</v>
      </c>
      <c r="D91" t="s">
        <v>24</v>
      </c>
      <c r="E91">
        <v>1876995</v>
      </c>
      <c r="F91">
        <v>526335</v>
      </c>
      <c r="G91">
        <v>1519322</v>
      </c>
      <c r="H91">
        <v>54674</v>
      </c>
      <c r="I91">
        <v>3637</v>
      </c>
      <c r="J91">
        <v>4924</v>
      </c>
      <c r="K91">
        <f t="shared" si="2"/>
        <v>12.014211481280933</v>
      </c>
      <c r="L91">
        <v>374721</v>
      </c>
      <c r="M91">
        <v>1413864</v>
      </c>
      <c r="N91">
        <f t="shared" si="3"/>
        <v>277.31111947288787</v>
      </c>
      <c r="O91">
        <v>45835</v>
      </c>
      <c r="P91">
        <v>45859</v>
      </c>
      <c r="Q91" t="s">
        <v>54</v>
      </c>
    </row>
    <row r="92" spans="1:17" x14ac:dyDescent="0.3">
      <c r="A92" t="s">
        <v>143</v>
      </c>
      <c r="B92" t="s">
        <v>53</v>
      </c>
      <c r="C92" t="s">
        <v>28</v>
      </c>
      <c r="D92" t="s">
        <v>58</v>
      </c>
      <c r="E92">
        <v>1071885</v>
      </c>
      <c r="F92">
        <v>663959</v>
      </c>
      <c r="G92">
        <v>1295506</v>
      </c>
      <c r="H92">
        <v>44397</v>
      </c>
      <c r="I92">
        <v>1765</v>
      </c>
      <c r="J92">
        <v>1942</v>
      </c>
      <c r="K92">
        <f t="shared" si="2"/>
        <v>7.2450256717658768</v>
      </c>
      <c r="L92">
        <v>260880</v>
      </c>
      <c r="M92">
        <v>1109031</v>
      </c>
      <c r="N92">
        <f t="shared" si="3"/>
        <v>325.11154553817846</v>
      </c>
      <c r="O92">
        <v>45805</v>
      </c>
      <c r="P92">
        <v>45813</v>
      </c>
      <c r="Q92" t="s">
        <v>34</v>
      </c>
    </row>
    <row r="93" spans="1:17" x14ac:dyDescent="0.3">
      <c r="A93" t="s">
        <v>144</v>
      </c>
      <c r="B93" t="s">
        <v>36</v>
      </c>
      <c r="C93" t="s">
        <v>37</v>
      </c>
      <c r="D93" t="s">
        <v>46</v>
      </c>
      <c r="E93">
        <v>235030</v>
      </c>
      <c r="F93">
        <v>157340</v>
      </c>
      <c r="G93">
        <v>369921</v>
      </c>
      <c r="H93">
        <v>19518</v>
      </c>
      <c r="I93">
        <v>2096</v>
      </c>
      <c r="J93">
        <v>1708</v>
      </c>
      <c r="K93">
        <f t="shared" si="2"/>
        <v>14.822677005211643</v>
      </c>
      <c r="L93">
        <v>210274</v>
      </c>
      <c r="M93">
        <v>593915</v>
      </c>
      <c r="N93">
        <f t="shared" si="3"/>
        <v>182.448139094705</v>
      </c>
      <c r="O93">
        <v>45999</v>
      </c>
      <c r="P93">
        <v>46020</v>
      </c>
      <c r="Q93" t="s">
        <v>25</v>
      </c>
    </row>
    <row r="94" spans="1:17" x14ac:dyDescent="0.3">
      <c r="A94" t="s">
        <v>145</v>
      </c>
      <c r="B94" t="s">
        <v>23</v>
      </c>
      <c r="C94" t="s">
        <v>37</v>
      </c>
      <c r="D94" t="s">
        <v>46</v>
      </c>
      <c r="E94">
        <v>193445</v>
      </c>
      <c r="F94">
        <v>87093</v>
      </c>
      <c r="G94">
        <v>154235</v>
      </c>
      <c r="H94">
        <v>9684</v>
      </c>
      <c r="I94">
        <v>570</v>
      </c>
      <c r="J94">
        <v>501</v>
      </c>
      <c r="K94">
        <f t="shared" si="2"/>
        <v>12.34886845096621</v>
      </c>
      <c r="L94">
        <v>16320</v>
      </c>
      <c r="M94">
        <v>47438</v>
      </c>
      <c r="N94">
        <f t="shared" si="3"/>
        <v>190.67401960784315</v>
      </c>
      <c r="O94">
        <v>45957</v>
      </c>
      <c r="P94">
        <v>45969</v>
      </c>
      <c r="Q94" t="s">
        <v>21</v>
      </c>
    </row>
    <row r="95" spans="1:17" x14ac:dyDescent="0.3">
      <c r="A95" t="s">
        <v>146</v>
      </c>
      <c r="B95" t="s">
        <v>103</v>
      </c>
      <c r="C95" t="s">
        <v>37</v>
      </c>
      <c r="D95" t="s">
        <v>20</v>
      </c>
      <c r="E95">
        <v>1173630</v>
      </c>
      <c r="F95">
        <v>361733</v>
      </c>
      <c r="G95">
        <v>783559</v>
      </c>
      <c r="H95">
        <v>10835</v>
      </c>
      <c r="I95">
        <v>1037</v>
      </c>
      <c r="J95">
        <v>383</v>
      </c>
      <c r="K95">
        <f t="shared" si="2"/>
        <v>3.3878578951878873</v>
      </c>
      <c r="L95">
        <v>450642</v>
      </c>
      <c r="M95">
        <v>1999357</v>
      </c>
      <c r="N95">
        <f t="shared" si="3"/>
        <v>343.66858836948177</v>
      </c>
      <c r="O95">
        <v>45792</v>
      </c>
      <c r="P95">
        <v>45804</v>
      </c>
      <c r="Q95" t="s">
        <v>78</v>
      </c>
    </row>
    <row r="96" spans="1:17" x14ac:dyDescent="0.3">
      <c r="A96" t="s">
        <v>147</v>
      </c>
      <c r="B96" t="s">
        <v>49</v>
      </c>
      <c r="C96" t="s">
        <v>37</v>
      </c>
      <c r="D96" t="s">
        <v>46</v>
      </c>
      <c r="E96">
        <v>1529460</v>
      </c>
      <c r="F96">
        <v>731589</v>
      </c>
      <c r="G96">
        <v>1988281</v>
      </c>
      <c r="H96">
        <v>94425</v>
      </c>
      <c r="I96">
        <v>5363</v>
      </c>
      <c r="J96">
        <v>8736</v>
      </c>
      <c r="K96">
        <f t="shared" si="2"/>
        <v>14.834011993072613</v>
      </c>
      <c r="L96">
        <v>144857</v>
      </c>
      <c r="M96">
        <v>474374</v>
      </c>
      <c r="N96">
        <f t="shared" si="3"/>
        <v>227.47744327164031</v>
      </c>
      <c r="O96">
        <v>45838</v>
      </c>
      <c r="P96">
        <v>45852</v>
      </c>
      <c r="Q96" t="s">
        <v>54</v>
      </c>
    </row>
    <row r="97" spans="1:17" x14ac:dyDescent="0.3">
      <c r="A97" t="s">
        <v>148</v>
      </c>
      <c r="B97" t="s">
        <v>39</v>
      </c>
      <c r="C97" t="s">
        <v>37</v>
      </c>
      <c r="D97" t="s">
        <v>24</v>
      </c>
      <c r="E97">
        <v>1824517</v>
      </c>
      <c r="F97">
        <v>1368266</v>
      </c>
      <c r="G97">
        <v>2628574</v>
      </c>
      <c r="H97">
        <v>38310</v>
      </c>
      <c r="I97">
        <v>1301</v>
      </c>
      <c r="J97">
        <v>2062</v>
      </c>
      <c r="K97">
        <f t="shared" si="2"/>
        <v>3.045679714324554</v>
      </c>
      <c r="L97">
        <v>77188</v>
      </c>
      <c r="M97">
        <v>144392</v>
      </c>
      <c r="N97">
        <f t="shared" si="3"/>
        <v>87.065346945121007</v>
      </c>
      <c r="O97">
        <v>45985</v>
      </c>
      <c r="P97">
        <v>45993</v>
      </c>
      <c r="Q97" t="s">
        <v>78</v>
      </c>
    </row>
    <row r="98" spans="1:17" x14ac:dyDescent="0.3">
      <c r="A98" t="s">
        <v>149</v>
      </c>
      <c r="B98" t="s">
        <v>49</v>
      </c>
      <c r="C98" t="s">
        <v>43</v>
      </c>
      <c r="D98" t="s">
        <v>24</v>
      </c>
      <c r="E98">
        <v>1274071</v>
      </c>
      <c r="F98">
        <v>900576</v>
      </c>
      <c r="G98">
        <v>1133442</v>
      </c>
      <c r="H98">
        <v>114542</v>
      </c>
      <c r="I98">
        <v>10811</v>
      </c>
      <c r="J98">
        <v>2492</v>
      </c>
      <c r="K98">
        <f t="shared" si="2"/>
        <v>14.195914614646627</v>
      </c>
      <c r="L98">
        <v>171672</v>
      </c>
      <c r="M98">
        <v>562840</v>
      </c>
      <c r="N98">
        <f t="shared" si="3"/>
        <v>227.8577752924181</v>
      </c>
      <c r="O98">
        <v>46000</v>
      </c>
      <c r="P98">
        <v>46013</v>
      </c>
      <c r="Q98" t="s">
        <v>34</v>
      </c>
    </row>
    <row r="99" spans="1:17" x14ac:dyDescent="0.3">
      <c r="A99" t="s">
        <v>150</v>
      </c>
      <c r="B99" t="s">
        <v>23</v>
      </c>
      <c r="C99" t="s">
        <v>37</v>
      </c>
      <c r="D99" t="s">
        <v>72</v>
      </c>
      <c r="E99">
        <v>262651</v>
      </c>
      <c r="F99">
        <v>124341</v>
      </c>
      <c r="G99">
        <v>253947</v>
      </c>
      <c r="H99">
        <v>3127</v>
      </c>
      <c r="I99">
        <v>335</v>
      </c>
      <c r="J99">
        <v>185</v>
      </c>
      <c r="K99">
        <f t="shared" si="2"/>
        <v>2.9330631087091148</v>
      </c>
      <c r="L99">
        <v>473648</v>
      </c>
      <c r="M99">
        <v>1577222</v>
      </c>
      <c r="N99">
        <f t="shared" si="3"/>
        <v>232.99454447184408</v>
      </c>
      <c r="O99">
        <v>46050</v>
      </c>
      <c r="P99">
        <v>46075</v>
      </c>
      <c r="Q99" t="s">
        <v>34</v>
      </c>
    </row>
    <row r="100" spans="1:17" x14ac:dyDescent="0.3">
      <c r="A100" t="s">
        <v>151</v>
      </c>
      <c r="B100" t="s">
        <v>49</v>
      </c>
      <c r="C100" t="s">
        <v>19</v>
      </c>
      <c r="D100" t="s">
        <v>40</v>
      </c>
      <c r="E100">
        <v>1892745</v>
      </c>
      <c r="F100">
        <v>954717</v>
      </c>
      <c r="G100">
        <v>2220091</v>
      </c>
      <c r="H100">
        <v>71684</v>
      </c>
      <c r="I100">
        <v>3915</v>
      </c>
      <c r="J100">
        <v>2122</v>
      </c>
      <c r="K100">
        <f t="shared" si="2"/>
        <v>8.1407369932660671</v>
      </c>
      <c r="L100">
        <v>384954</v>
      </c>
      <c r="M100">
        <v>1779758</v>
      </c>
      <c r="N100">
        <f t="shared" si="3"/>
        <v>362.33004462870889</v>
      </c>
      <c r="O100">
        <v>45665</v>
      </c>
      <c r="P100">
        <v>45688</v>
      </c>
      <c r="Q100" t="s">
        <v>21</v>
      </c>
    </row>
    <row r="101" spans="1:17" x14ac:dyDescent="0.3">
      <c r="A101" t="s">
        <v>152</v>
      </c>
      <c r="B101" t="s">
        <v>32</v>
      </c>
      <c r="C101" t="s">
        <v>37</v>
      </c>
      <c r="D101" t="s">
        <v>72</v>
      </c>
      <c r="E101">
        <v>846767</v>
      </c>
      <c r="F101">
        <v>525831</v>
      </c>
      <c r="G101">
        <v>1231302</v>
      </c>
      <c r="H101">
        <v>17440</v>
      </c>
      <c r="I101">
        <v>920</v>
      </c>
      <c r="J101">
        <v>1640</v>
      </c>
      <c r="K101">
        <f t="shared" si="2"/>
        <v>3.803503406988177</v>
      </c>
      <c r="L101">
        <v>386400</v>
      </c>
      <c r="M101">
        <v>1149925</v>
      </c>
      <c r="N101">
        <f t="shared" si="3"/>
        <v>197.59963768115944</v>
      </c>
      <c r="O101">
        <v>46023</v>
      </c>
      <c r="P101">
        <v>46049</v>
      </c>
      <c r="Q101" t="s">
        <v>41</v>
      </c>
    </row>
    <row r="102" spans="1:17" x14ac:dyDescent="0.3">
      <c r="A102" t="s">
        <v>153</v>
      </c>
      <c r="B102" t="s">
        <v>27</v>
      </c>
      <c r="C102" t="s">
        <v>43</v>
      </c>
      <c r="D102" t="s">
        <v>29</v>
      </c>
      <c r="E102">
        <v>795666</v>
      </c>
      <c r="F102">
        <v>199639</v>
      </c>
      <c r="G102">
        <v>332993</v>
      </c>
      <c r="H102">
        <v>21249</v>
      </c>
      <c r="I102">
        <v>1691</v>
      </c>
      <c r="J102">
        <v>1313</v>
      </c>
      <c r="K102">
        <f t="shared" si="2"/>
        <v>12.14842791238185</v>
      </c>
      <c r="L102">
        <v>50616</v>
      </c>
      <c r="M102">
        <v>135581</v>
      </c>
      <c r="N102">
        <f t="shared" si="3"/>
        <v>167.86194088825667</v>
      </c>
      <c r="O102">
        <v>45786</v>
      </c>
      <c r="P102">
        <v>45796</v>
      </c>
      <c r="Q102" t="s">
        <v>25</v>
      </c>
    </row>
    <row r="103" spans="1:17" x14ac:dyDescent="0.3">
      <c r="A103" t="s">
        <v>154</v>
      </c>
      <c r="B103" t="s">
        <v>75</v>
      </c>
      <c r="C103" t="s">
        <v>33</v>
      </c>
      <c r="D103" t="s">
        <v>46</v>
      </c>
      <c r="E103">
        <v>247893</v>
      </c>
      <c r="F103">
        <v>163820</v>
      </c>
      <c r="G103">
        <v>252120</v>
      </c>
      <c r="H103">
        <v>6448</v>
      </c>
      <c r="I103">
        <v>933</v>
      </c>
      <c r="J103">
        <v>269</v>
      </c>
      <c r="K103">
        <f t="shared" si="2"/>
        <v>4.669759492125503</v>
      </c>
      <c r="L103">
        <v>35656</v>
      </c>
      <c r="M103">
        <v>47766</v>
      </c>
      <c r="N103">
        <f t="shared" si="3"/>
        <v>33.963428315010098</v>
      </c>
      <c r="O103">
        <v>46122</v>
      </c>
      <c r="P103">
        <v>46130</v>
      </c>
      <c r="Q103" t="s">
        <v>30</v>
      </c>
    </row>
    <row r="104" spans="1:17" x14ac:dyDescent="0.3">
      <c r="A104" t="s">
        <v>155</v>
      </c>
      <c r="B104" t="s">
        <v>45</v>
      </c>
      <c r="C104" t="s">
        <v>28</v>
      </c>
      <c r="D104" t="s">
        <v>46</v>
      </c>
      <c r="E104">
        <v>1111162</v>
      </c>
      <c r="F104">
        <v>545819</v>
      </c>
      <c r="G104">
        <v>670677</v>
      </c>
      <c r="H104">
        <v>12769</v>
      </c>
      <c r="I104">
        <v>383</v>
      </c>
      <c r="J104">
        <v>844</v>
      </c>
      <c r="K104">
        <f t="shared" si="2"/>
        <v>2.5642200069986569</v>
      </c>
      <c r="L104">
        <v>141211</v>
      </c>
      <c r="M104">
        <v>408960</v>
      </c>
      <c r="N104">
        <f t="shared" si="3"/>
        <v>189.60916642471196</v>
      </c>
      <c r="O104">
        <v>45660</v>
      </c>
      <c r="P104">
        <v>45683</v>
      </c>
      <c r="Q104" t="s">
        <v>25</v>
      </c>
    </row>
    <row r="105" spans="1:17" x14ac:dyDescent="0.3">
      <c r="A105" t="s">
        <v>156</v>
      </c>
      <c r="B105" t="s">
        <v>39</v>
      </c>
      <c r="C105" t="s">
        <v>33</v>
      </c>
      <c r="D105" t="s">
        <v>58</v>
      </c>
      <c r="E105">
        <v>800224</v>
      </c>
      <c r="F105">
        <v>640391</v>
      </c>
      <c r="G105">
        <v>1416657</v>
      </c>
      <c r="H105">
        <v>21028</v>
      </c>
      <c r="I105">
        <v>2364</v>
      </c>
      <c r="J105">
        <v>437</v>
      </c>
      <c r="K105">
        <f t="shared" si="2"/>
        <v>3.7210079467075587</v>
      </c>
      <c r="L105">
        <v>248699</v>
      </c>
      <c r="M105">
        <v>804084</v>
      </c>
      <c r="N105">
        <f t="shared" si="3"/>
        <v>223.31613717787366</v>
      </c>
      <c r="O105">
        <v>45720</v>
      </c>
      <c r="P105">
        <v>45732</v>
      </c>
      <c r="Q105" t="s">
        <v>47</v>
      </c>
    </row>
    <row r="106" spans="1:17" x14ac:dyDescent="0.3">
      <c r="A106" t="s">
        <v>157</v>
      </c>
      <c r="B106" t="s">
        <v>32</v>
      </c>
      <c r="C106" t="s">
        <v>19</v>
      </c>
      <c r="D106" t="s">
        <v>51</v>
      </c>
      <c r="E106">
        <v>105327</v>
      </c>
      <c r="F106">
        <v>41046</v>
      </c>
      <c r="G106">
        <v>98298</v>
      </c>
      <c r="H106">
        <v>6074</v>
      </c>
      <c r="I106">
        <v>495</v>
      </c>
      <c r="J106">
        <v>587</v>
      </c>
      <c r="K106">
        <f t="shared" si="2"/>
        <v>17.43409832870438</v>
      </c>
      <c r="L106">
        <v>470213</v>
      </c>
      <c r="M106">
        <v>1681491</v>
      </c>
      <c r="N106">
        <f t="shared" si="3"/>
        <v>257.60198037910482</v>
      </c>
      <c r="O106">
        <v>45785</v>
      </c>
      <c r="P106">
        <v>45800</v>
      </c>
      <c r="Q106" t="s">
        <v>54</v>
      </c>
    </row>
    <row r="107" spans="1:17" x14ac:dyDescent="0.3">
      <c r="A107" t="s">
        <v>158</v>
      </c>
      <c r="B107" t="s">
        <v>39</v>
      </c>
      <c r="C107" t="s">
        <v>43</v>
      </c>
      <c r="D107" t="s">
        <v>24</v>
      </c>
      <c r="E107">
        <v>595436</v>
      </c>
      <c r="F107">
        <v>494012</v>
      </c>
      <c r="G107">
        <v>674335</v>
      </c>
      <c r="H107">
        <v>52582</v>
      </c>
      <c r="I107">
        <v>2705</v>
      </c>
      <c r="J107">
        <v>2389</v>
      </c>
      <c r="K107">
        <f t="shared" si="2"/>
        <v>11.67502003999903</v>
      </c>
      <c r="L107">
        <v>333673</v>
      </c>
      <c r="M107">
        <v>511009</v>
      </c>
      <c r="N107">
        <f t="shared" si="3"/>
        <v>53.146643570201967</v>
      </c>
      <c r="O107">
        <v>45747</v>
      </c>
      <c r="P107">
        <v>45761</v>
      </c>
      <c r="Q107" t="s">
        <v>21</v>
      </c>
    </row>
    <row r="108" spans="1:17" x14ac:dyDescent="0.3">
      <c r="A108" t="s">
        <v>159</v>
      </c>
      <c r="B108" t="s">
        <v>61</v>
      </c>
      <c r="C108" t="s">
        <v>19</v>
      </c>
      <c r="D108" t="s">
        <v>29</v>
      </c>
      <c r="E108">
        <v>595271</v>
      </c>
      <c r="F108">
        <v>194165</v>
      </c>
      <c r="G108">
        <v>504732</v>
      </c>
      <c r="H108">
        <v>27678</v>
      </c>
      <c r="I108">
        <v>3617</v>
      </c>
      <c r="J108">
        <v>2699</v>
      </c>
      <c r="K108">
        <f t="shared" si="2"/>
        <v>17.507789766435764</v>
      </c>
      <c r="L108">
        <v>208931</v>
      </c>
      <c r="M108">
        <v>835270</v>
      </c>
      <c r="N108">
        <f t="shared" si="3"/>
        <v>299.78270338054188</v>
      </c>
      <c r="O108">
        <v>46075</v>
      </c>
      <c r="P108">
        <v>46090</v>
      </c>
      <c r="Q108" t="s">
        <v>41</v>
      </c>
    </row>
    <row r="109" spans="1:17" x14ac:dyDescent="0.3">
      <c r="A109" t="s">
        <v>160</v>
      </c>
      <c r="B109" t="s">
        <v>53</v>
      </c>
      <c r="C109" t="s">
        <v>19</v>
      </c>
      <c r="D109" t="s">
        <v>51</v>
      </c>
      <c r="E109">
        <v>1113588</v>
      </c>
      <c r="F109">
        <v>725164</v>
      </c>
      <c r="G109">
        <v>1324771</v>
      </c>
      <c r="H109">
        <v>99679</v>
      </c>
      <c r="I109">
        <v>7709</v>
      </c>
      <c r="J109">
        <v>2180</v>
      </c>
      <c r="K109">
        <f t="shared" si="2"/>
        <v>15.109409733522346</v>
      </c>
      <c r="L109">
        <v>343703</v>
      </c>
      <c r="M109">
        <v>1167397</v>
      </c>
      <c r="N109">
        <f t="shared" si="3"/>
        <v>239.6528398064608</v>
      </c>
      <c r="O109">
        <v>45997</v>
      </c>
      <c r="P109">
        <v>46011</v>
      </c>
      <c r="Q109" t="s">
        <v>41</v>
      </c>
    </row>
    <row r="110" spans="1:17" x14ac:dyDescent="0.3">
      <c r="A110" t="s">
        <v>161</v>
      </c>
      <c r="B110" t="s">
        <v>53</v>
      </c>
      <c r="C110" t="s">
        <v>28</v>
      </c>
      <c r="D110" t="s">
        <v>20</v>
      </c>
      <c r="E110">
        <v>1609491</v>
      </c>
      <c r="F110">
        <v>1085841</v>
      </c>
      <c r="G110">
        <v>2024375</v>
      </c>
      <c r="H110">
        <v>139122</v>
      </c>
      <c r="I110">
        <v>18859</v>
      </c>
      <c r="J110">
        <v>11433</v>
      </c>
      <c r="K110">
        <f t="shared" si="2"/>
        <v>15.602100123314555</v>
      </c>
      <c r="L110">
        <v>449938</v>
      </c>
      <c r="M110">
        <v>952252</v>
      </c>
      <c r="N110">
        <f t="shared" si="3"/>
        <v>111.6407149429477</v>
      </c>
      <c r="O110">
        <v>45745</v>
      </c>
      <c r="P110">
        <v>45757</v>
      </c>
      <c r="Q110" t="s">
        <v>34</v>
      </c>
    </row>
    <row r="111" spans="1:17" x14ac:dyDescent="0.3">
      <c r="A111" t="s">
        <v>162</v>
      </c>
      <c r="B111" t="s">
        <v>27</v>
      </c>
      <c r="C111" t="s">
        <v>33</v>
      </c>
      <c r="D111" t="s">
        <v>29</v>
      </c>
      <c r="E111">
        <v>1577395</v>
      </c>
      <c r="F111">
        <v>496395</v>
      </c>
      <c r="G111">
        <v>674504</v>
      </c>
      <c r="H111">
        <v>34529</v>
      </c>
      <c r="I111">
        <v>2359</v>
      </c>
      <c r="J111">
        <v>1616</v>
      </c>
      <c r="K111">
        <f t="shared" si="2"/>
        <v>7.7567259944197664</v>
      </c>
      <c r="L111">
        <v>95394</v>
      </c>
      <c r="M111">
        <v>286699</v>
      </c>
      <c r="N111">
        <f t="shared" si="3"/>
        <v>200.54196280688515</v>
      </c>
      <c r="O111">
        <v>45806</v>
      </c>
      <c r="P111">
        <v>45821</v>
      </c>
      <c r="Q111" t="s">
        <v>41</v>
      </c>
    </row>
    <row r="112" spans="1:17" x14ac:dyDescent="0.3">
      <c r="A112" t="s">
        <v>163</v>
      </c>
      <c r="B112" t="s">
        <v>36</v>
      </c>
      <c r="C112" t="s">
        <v>37</v>
      </c>
      <c r="D112" t="s">
        <v>51</v>
      </c>
      <c r="E112">
        <v>166906</v>
      </c>
      <c r="F112">
        <v>91013</v>
      </c>
      <c r="G112">
        <v>267350</v>
      </c>
      <c r="H112">
        <v>5784</v>
      </c>
      <c r="I112">
        <v>478</v>
      </c>
      <c r="J112">
        <v>361</v>
      </c>
      <c r="K112">
        <f t="shared" si="2"/>
        <v>7.2769824091063917</v>
      </c>
      <c r="L112">
        <v>162031</v>
      </c>
      <c r="M112">
        <v>560511</v>
      </c>
      <c r="N112">
        <f t="shared" si="3"/>
        <v>245.92824829816516</v>
      </c>
      <c r="O112">
        <v>46012</v>
      </c>
      <c r="P112">
        <v>46023</v>
      </c>
      <c r="Q112" t="s">
        <v>78</v>
      </c>
    </row>
    <row r="113" spans="1:17" x14ac:dyDescent="0.3">
      <c r="A113" t="s">
        <v>164</v>
      </c>
      <c r="B113" t="s">
        <v>36</v>
      </c>
      <c r="C113" t="s">
        <v>28</v>
      </c>
      <c r="D113" t="s">
        <v>40</v>
      </c>
      <c r="E113">
        <v>1263482</v>
      </c>
      <c r="F113">
        <v>1003495</v>
      </c>
      <c r="G113">
        <v>1777670</v>
      </c>
      <c r="H113">
        <v>80905</v>
      </c>
      <c r="I113">
        <v>6529</v>
      </c>
      <c r="J113">
        <v>4606</v>
      </c>
      <c r="K113">
        <f t="shared" si="2"/>
        <v>9.1719440555259357</v>
      </c>
      <c r="L113">
        <v>295167</v>
      </c>
      <c r="M113">
        <v>829902</v>
      </c>
      <c r="N113">
        <f t="shared" si="3"/>
        <v>181.16354470520076</v>
      </c>
      <c r="O113">
        <v>45764</v>
      </c>
      <c r="P113">
        <v>45790</v>
      </c>
      <c r="Q113" t="s">
        <v>30</v>
      </c>
    </row>
    <row r="114" spans="1:17" x14ac:dyDescent="0.3">
      <c r="A114" t="s">
        <v>165</v>
      </c>
      <c r="B114" t="s">
        <v>18</v>
      </c>
      <c r="C114" t="s">
        <v>28</v>
      </c>
      <c r="D114" t="s">
        <v>29</v>
      </c>
      <c r="E114">
        <v>1153743</v>
      </c>
      <c r="F114">
        <v>909501</v>
      </c>
      <c r="G114">
        <v>1637635</v>
      </c>
      <c r="H114">
        <v>42406</v>
      </c>
      <c r="I114">
        <v>5940</v>
      </c>
      <c r="J114">
        <v>1564</v>
      </c>
      <c r="K114">
        <f t="shared" si="2"/>
        <v>5.4876245325733564</v>
      </c>
      <c r="L114">
        <v>405196</v>
      </c>
      <c r="M114">
        <v>457440</v>
      </c>
      <c r="N114">
        <f t="shared" si="3"/>
        <v>12.893513262717301</v>
      </c>
      <c r="O114">
        <v>46138</v>
      </c>
      <c r="P114">
        <v>46151</v>
      </c>
      <c r="Q114" t="s">
        <v>21</v>
      </c>
    </row>
    <row r="115" spans="1:17" x14ac:dyDescent="0.3">
      <c r="A115" t="s">
        <v>166</v>
      </c>
      <c r="B115" t="s">
        <v>75</v>
      </c>
      <c r="C115" t="s">
        <v>28</v>
      </c>
      <c r="D115" t="s">
        <v>29</v>
      </c>
      <c r="E115">
        <v>1838082</v>
      </c>
      <c r="F115">
        <v>1189861</v>
      </c>
      <c r="G115">
        <v>1801476</v>
      </c>
      <c r="H115">
        <v>52300</v>
      </c>
      <c r="I115">
        <v>6179</v>
      </c>
      <c r="J115">
        <v>4225</v>
      </c>
      <c r="K115">
        <f t="shared" si="2"/>
        <v>5.2698592524673051</v>
      </c>
      <c r="L115">
        <v>253808</v>
      </c>
      <c r="M115">
        <v>479602</v>
      </c>
      <c r="N115">
        <f t="shared" si="3"/>
        <v>88.962522851919559</v>
      </c>
      <c r="O115">
        <v>45774</v>
      </c>
      <c r="P115">
        <v>45785</v>
      </c>
      <c r="Q115" t="s">
        <v>30</v>
      </c>
    </row>
    <row r="116" spans="1:17" x14ac:dyDescent="0.3">
      <c r="A116" t="s">
        <v>167</v>
      </c>
      <c r="B116" t="s">
        <v>36</v>
      </c>
      <c r="C116" t="s">
        <v>37</v>
      </c>
      <c r="D116" t="s">
        <v>46</v>
      </c>
      <c r="E116">
        <v>1257775</v>
      </c>
      <c r="F116">
        <v>561345</v>
      </c>
      <c r="G116">
        <v>1325233</v>
      </c>
      <c r="H116">
        <v>44385</v>
      </c>
      <c r="I116">
        <v>4325</v>
      </c>
      <c r="J116">
        <v>3903</v>
      </c>
      <c r="K116">
        <f t="shared" si="2"/>
        <v>9.3726674326839987</v>
      </c>
      <c r="L116">
        <v>383343</v>
      </c>
      <c r="M116">
        <v>1475542</v>
      </c>
      <c r="N116">
        <f t="shared" si="3"/>
        <v>284.91429346564303</v>
      </c>
      <c r="O116">
        <v>45983</v>
      </c>
      <c r="P116">
        <v>46012</v>
      </c>
      <c r="Q116" t="s">
        <v>30</v>
      </c>
    </row>
    <row r="117" spans="1:17" x14ac:dyDescent="0.3">
      <c r="A117" t="s">
        <v>168</v>
      </c>
      <c r="B117" t="s">
        <v>53</v>
      </c>
      <c r="C117" t="s">
        <v>28</v>
      </c>
      <c r="D117" t="s">
        <v>58</v>
      </c>
      <c r="E117">
        <v>1122639</v>
      </c>
      <c r="F117">
        <v>943573</v>
      </c>
      <c r="G117">
        <v>1634296</v>
      </c>
      <c r="H117">
        <v>90921</v>
      </c>
      <c r="I117">
        <v>3600</v>
      </c>
      <c r="J117">
        <v>5062</v>
      </c>
      <c r="K117">
        <f t="shared" si="2"/>
        <v>10.553820425128739</v>
      </c>
      <c r="L117">
        <v>420520</v>
      </c>
      <c r="M117">
        <v>1984189</v>
      </c>
      <c r="N117">
        <f t="shared" si="3"/>
        <v>371.84176733567961</v>
      </c>
      <c r="O117">
        <v>45942</v>
      </c>
      <c r="P117">
        <v>45969</v>
      </c>
      <c r="Q117" t="s">
        <v>34</v>
      </c>
    </row>
    <row r="118" spans="1:17" x14ac:dyDescent="0.3">
      <c r="A118" t="s">
        <v>169</v>
      </c>
      <c r="B118" t="s">
        <v>36</v>
      </c>
      <c r="C118" t="s">
        <v>28</v>
      </c>
      <c r="D118" t="s">
        <v>72</v>
      </c>
      <c r="E118">
        <v>1241861</v>
      </c>
      <c r="F118">
        <v>479126</v>
      </c>
      <c r="G118">
        <v>580857</v>
      </c>
      <c r="H118">
        <v>45241</v>
      </c>
      <c r="I118">
        <v>5155</v>
      </c>
      <c r="J118">
        <v>1133</v>
      </c>
      <c r="K118">
        <f t="shared" si="2"/>
        <v>10.754791015307038</v>
      </c>
      <c r="L118">
        <v>12324</v>
      </c>
      <c r="M118">
        <v>50688</v>
      </c>
      <c r="N118">
        <f t="shared" si="3"/>
        <v>311.29503407984419</v>
      </c>
      <c r="O118">
        <v>45909</v>
      </c>
      <c r="P118">
        <v>45939</v>
      </c>
      <c r="Q118" t="s">
        <v>30</v>
      </c>
    </row>
    <row r="119" spans="1:17" x14ac:dyDescent="0.3">
      <c r="A119" t="s">
        <v>170</v>
      </c>
      <c r="B119" t="s">
        <v>80</v>
      </c>
      <c r="C119" t="s">
        <v>37</v>
      </c>
      <c r="D119" t="s">
        <v>51</v>
      </c>
      <c r="E119">
        <v>1917997</v>
      </c>
      <c r="F119">
        <v>782127</v>
      </c>
      <c r="G119">
        <v>1417185</v>
      </c>
      <c r="H119">
        <v>91504</v>
      </c>
      <c r="I119">
        <v>10548</v>
      </c>
      <c r="J119">
        <v>5945</v>
      </c>
      <c r="K119">
        <f t="shared" si="2"/>
        <v>13.808115561794951</v>
      </c>
      <c r="L119">
        <v>393402</v>
      </c>
      <c r="M119">
        <v>734548</v>
      </c>
      <c r="N119">
        <f t="shared" si="3"/>
        <v>86.716895186094632</v>
      </c>
      <c r="O119">
        <v>45789</v>
      </c>
      <c r="P119">
        <v>45800</v>
      </c>
      <c r="Q119" t="s">
        <v>34</v>
      </c>
    </row>
    <row r="120" spans="1:17" x14ac:dyDescent="0.3">
      <c r="A120" t="s">
        <v>171</v>
      </c>
      <c r="B120" t="s">
        <v>18</v>
      </c>
      <c r="C120" t="s">
        <v>43</v>
      </c>
      <c r="D120" t="s">
        <v>29</v>
      </c>
      <c r="E120">
        <v>937483</v>
      </c>
      <c r="F120">
        <v>818266</v>
      </c>
      <c r="G120">
        <v>1676473</v>
      </c>
      <c r="H120">
        <v>54061</v>
      </c>
      <c r="I120">
        <v>5698</v>
      </c>
      <c r="J120">
        <v>5123</v>
      </c>
      <c r="K120">
        <f t="shared" si="2"/>
        <v>7.9292063949864708</v>
      </c>
      <c r="L120">
        <v>59916</v>
      </c>
      <c r="M120">
        <v>82941</v>
      </c>
      <c r="N120">
        <f t="shared" si="3"/>
        <v>38.42880032044863</v>
      </c>
      <c r="O120">
        <v>46016</v>
      </c>
      <c r="P120">
        <v>46041</v>
      </c>
      <c r="Q120" t="s">
        <v>30</v>
      </c>
    </row>
    <row r="121" spans="1:17" x14ac:dyDescent="0.3">
      <c r="A121" t="s">
        <v>172</v>
      </c>
      <c r="B121" t="s">
        <v>80</v>
      </c>
      <c r="C121" t="s">
        <v>28</v>
      </c>
      <c r="D121" t="s">
        <v>58</v>
      </c>
      <c r="E121">
        <v>531707</v>
      </c>
      <c r="F121">
        <v>333707</v>
      </c>
      <c r="G121">
        <v>426047</v>
      </c>
      <c r="H121">
        <v>42371</v>
      </c>
      <c r="I121">
        <v>2605</v>
      </c>
      <c r="J121">
        <v>1693</v>
      </c>
      <c r="K121">
        <f t="shared" si="2"/>
        <v>13.985022789453023</v>
      </c>
      <c r="L121">
        <v>144068</v>
      </c>
      <c r="M121">
        <v>330305</v>
      </c>
      <c r="N121">
        <f t="shared" si="3"/>
        <v>129.27020573618015</v>
      </c>
      <c r="O121">
        <v>45696</v>
      </c>
      <c r="P121">
        <v>45725</v>
      </c>
      <c r="Q121" t="s">
        <v>34</v>
      </c>
    </row>
    <row r="122" spans="1:17" x14ac:dyDescent="0.3">
      <c r="A122" t="s">
        <v>173</v>
      </c>
      <c r="B122" t="s">
        <v>45</v>
      </c>
      <c r="C122" t="s">
        <v>19</v>
      </c>
      <c r="D122" t="s">
        <v>40</v>
      </c>
      <c r="E122">
        <v>307527</v>
      </c>
      <c r="F122">
        <v>109009</v>
      </c>
      <c r="G122">
        <v>275215</v>
      </c>
      <c r="H122">
        <v>13293</v>
      </c>
      <c r="I122">
        <v>1128</v>
      </c>
      <c r="J122">
        <v>731</v>
      </c>
      <c r="K122">
        <f t="shared" si="2"/>
        <v>13.899769743782622</v>
      </c>
      <c r="L122">
        <v>339329</v>
      </c>
      <c r="M122">
        <v>508883</v>
      </c>
      <c r="N122">
        <f t="shared" si="3"/>
        <v>49.967435733462217</v>
      </c>
      <c r="O122">
        <v>45787</v>
      </c>
      <c r="P122">
        <v>45806</v>
      </c>
      <c r="Q122" t="s">
        <v>41</v>
      </c>
    </row>
    <row r="123" spans="1:17" x14ac:dyDescent="0.3">
      <c r="A123" t="s">
        <v>174</v>
      </c>
      <c r="B123" t="s">
        <v>63</v>
      </c>
      <c r="C123" t="s">
        <v>19</v>
      </c>
      <c r="D123" t="s">
        <v>24</v>
      </c>
      <c r="E123">
        <v>925619</v>
      </c>
      <c r="F123">
        <v>365903</v>
      </c>
      <c r="G123">
        <v>617497</v>
      </c>
      <c r="H123">
        <v>19300</v>
      </c>
      <c r="I123">
        <v>595</v>
      </c>
      <c r="J123">
        <v>1010</v>
      </c>
      <c r="K123">
        <f t="shared" si="2"/>
        <v>5.7132628046230831</v>
      </c>
      <c r="L123">
        <v>415706</v>
      </c>
      <c r="M123">
        <v>1117286</v>
      </c>
      <c r="N123">
        <f t="shared" si="3"/>
        <v>168.76831222065593</v>
      </c>
      <c r="O123">
        <v>45689</v>
      </c>
      <c r="P123">
        <v>45712</v>
      </c>
      <c r="Q123" t="s">
        <v>47</v>
      </c>
    </row>
    <row r="124" spans="1:17" x14ac:dyDescent="0.3">
      <c r="A124" t="s">
        <v>175</v>
      </c>
      <c r="B124" t="s">
        <v>57</v>
      </c>
      <c r="C124" t="s">
        <v>28</v>
      </c>
      <c r="D124" t="s">
        <v>58</v>
      </c>
      <c r="E124">
        <v>537938</v>
      </c>
      <c r="F124">
        <v>392106</v>
      </c>
      <c r="G124">
        <v>1171839</v>
      </c>
      <c r="H124">
        <v>54392</v>
      </c>
      <c r="I124">
        <v>3349</v>
      </c>
      <c r="J124">
        <v>5213</v>
      </c>
      <c r="K124">
        <f t="shared" si="2"/>
        <v>16.055352379203583</v>
      </c>
      <c r="L124">
        <v>291777</v>
      </c>
      <c r="M124">
        <v>809861</v>
      </c>
      <c r="N124">
        <f t="shared" si="3"/>
        <v>177.56163097159819</v>
      </c>
      <c r="O124">
        <v>45891</v>
      </c>
      <c r="P124">
        <v>45909</v>
      </c>
      <c r="Q124" t="s">
        <v>25</v>
      </c>
    </row>
    <row r="125" spans="1:17" x14ac:dyDescent="0.3">
      <c r="A125" t="s">
        <v>176</v>
      </c>
      <c r="B125" t="s">
        <v>39</v>
      </c>
      <c r="C125" t="s">
        <v>28</v>
      </c>
      <c r="D125" t="s">
        <v>72</v>
      </c>
      <c r="E125">
        <v>1850064</v>
      </c>
      <c r="F125">
        <v>496253</v>
      </c>
      <c r="G125">
        <v>814454</v>
      </c>
      <c r="H125">
        <v>28865</v>
      </c>
      <c r="I125">
        <v>2982</v>
      </c>
      <c r="J125">
        <v>1651</v>
      </c>
      <c r="K125">
        <f t="shared" si="2"/>
        <v>6.7501858930827625</v>
      </c>
      <c r="L125">
        <v>271170</v>
      </c>
      <c r="M125">
        <v>530368</v>
      </c>
      <c r="N125">
        <f t="shared" si="3"/>
        <v>95.585057344101486</v>
      </c>
      <c r="O125">
        <v>46040</v>
      </c>
      <c r="P125">
        <v>46060</v>
      </c>
      <c r="Q125" t="s">
        <v>78</v>
      </c>
    </row>
    <row r="126" spans="1:17" x14ac:dyDescent="0.3">
      <c r="A126" t="s">
        <v>177</v>
      </c>
      <c r="B126" t="s">
        <v>103</v>
      </c>
      <c r="C126" t="s">
        <v>43</v>
      </c>
      <c r="D126" t="s">
        <v>46</v>
      </c>
      <c r="E126">
        <v>1196288</v>
      </c>
      <c r="F126">
        <v>373637</v>
      </c>
      <c r="G126">
        <v>941490</v>
      </c>
      <c r="H126">
        <v>50726</v>
      </c>
      <c r="I126">
        <v>2999</v>
      </c>
      <c r="J126">
        <v>1457</v>
      </c>
      <c r="K126">
        <f t="shared" si="2"/>
        <v>14.768879955678907</v>
      </c>
      <c r="L126">
        <v>20932</v>
      </c>
      <c r="M126">
        <v>86413</v>
      </c>
      <c r="N126">
        <f t="shared" si="3"/>
        <v>312.82725014332124</v>
      </c>
      <c r="O126">
        <v>45693</v>
      </c>
      <c r="P126">
        <v>45706</v>
      </c>
      <c r="Q126" t="s">
        <v>78</v>
      </c>
    </row>
    <row r="127" spans="1:17" x14ac:dyDescent="0.3">
      <c r="A127" t="s">
        <v>178</v>
      </c>
      <c r="B127" t="s">
        <v>80</v>
      </c>
      <c r="C127" t="s">
        <v>33</v>
      </c>
      <c r="D127" t="s">
        <v>24</v>
      </c>
      <c r="E127">
        <v>915712</v>
      </c>
      <c r="F127">
        <v>463190</v>
      </c>
      <c r="G127">
        <v>1041171</v>
      </c>
      <c r="H127">
        <v>34014</v>
      </c>
      <c r="I127">
        <v>2793</v>
      </c>
      <c r="J127">
        <v>2294</v>
      </c>
      <c r="K127">
        <f t="shared" si="2"/>
        <v>8.4416762019905445</v>
      </c>
      <c r="L127">
        <v>457644</v>
      </c>
      <c r="M127">
        <v>2013880</v>
      </c>
      <c r="N127">
        <f t="shared" si="3"/>
        <v>340.05384097682912</v>
      </c>
      <c r="O127">
        <v>45694</v>
      </c>
      <c r="P127">
        <v>45707</v>
      </c>
      <c r="Q127" t="s">
        <v>21</v>
      </c>
    </row>
    <row r="128" spans="1:17" x14ac:dyDescent="0.3">
      <c r="A128" t="s">
        <v>179</v>
      </c>
      <c r="B128" t="s">
        <v>53</v>
      </c>
      <c r="C128" t="s">
        <v>28</v>
      </c>
      <c r="D128" t="s">
        <v>29</v>
      </c>
      <c r="E128">
        <v>874354</v>
      </c>
      <c r="F128">
        <v>570176</v>
      </c>
      <c r="G128">
        <v>1431583</v>
      </c>
      <c r="H128">
        <v>32334</v>
      </c>
      <c r="I128">
        <v>4592</v>
      </c>
      <c r="J128">
        <v>1986</v>
      </c>
      <c r="K128">
        <f t="shared" si="2"/>
        <v>6.8245594342799425</v>
      </c>
      <c r="L128">
        <v>364479</v>
      </c>
      <c r="M128">
        <v>1513542</v>
      </c>
      <c r="N128">
        <f t="shared" si="3"/>
        <v>315.26178462956716</v>
      </c>
      <c r="O128">
        <v>45698</v>
      </c>
      <c r="P128">
        <v>45722</v>
      </c>
      <c r="Q128" t="s">
        <v>34</v>
      </c>
    </row>
    <row r="129" spans="1:17" x14ac:dyDescent="0.3">
      <c r="A129" t="s">
        <v>180</v>
      </c>
      <c r="B129" t="s">
        <v>18</v>
      </c>
      <c r="C129" t="s">
        <v>43</v>
      </c>
      <c r="D129" t="s">
        <v>40</v>
      </c>
      <c r="E129">
        <v>1036329</v>
      </c>
      <c r="F129">
        <v>834439</v>
      </c>
      <c r="G129">
        <v>2498783</v>
      </c>
      <c r="H129">
        <v>99263</v>
      </c>
      <c r="I129">
        <v>4689</v>
      </c>
      <c r="J129">
        <v>2969</v>
      </c>
      <c r="K129">
        <f t="shared" si="2"/>
        <v>12.813519022960337</v>
      </c>
      <c r="L129">
        <v>465071</v>
      </c>
      <c r="M129">
        <v>2009868</v>
      </c>
      <c r="N129">
        <f t="shared" si="3"/>
        <v>332.16369113533204</v>
      </c>
      <c r="O129">
        <v>45701</v>
      </c>
      <c r="P129">
        <v>45712</v>
      </c>
      <c r="Q129" t="s">
        <v>47</v>
      </c>
    </row>
    <row r="130" spans="1:17" x14ac:dyDescent="0.3">
      <c r="A130" t="s">
        <v>181</v>
      </c>
      <c r="B130" t="s">
        <v>63</v>
      </c>
      <c r="C130" t="s">
        <v>19</v>
      </c>
      <c r="D130" t="s">
        <v>46</v>
      </c>
      <c r="E130">
        <v>124287</v>
      </c>
      <c r="F130">
        <v>35011</v>
      </c>
      <c r="G130">
        <v>46112</v>
      </c>
      <c r="H130">
        <v>3156</v>
      </c>
      <c r="I130">
        <v>420</v>
      </c>
      <c r="J130">
        <v>179</v>
      </c>
      <c r="K130">
        <f t="shared" ref="K130:K193" si="4">((H130+I130+J130)/F130)*100</f>
        <v>10.725200651223901</v>
      </c>
      <c r="L130">
        <v>298758</v>
      </c>
      <c r="M130">
        <v>575994</v>
      </c>
      <c r="N130">
        <f t="shared" ref="N130:N193" si="5">((M130-L130)/L130)*100</f>
        <v>92.796176169341066</v>
      </c>
      <c r="O130">
        <v>46054</v>
      </c>
      <c r="P130">
        <v>46063</v>
      </c>
      <c r="Q130" t="s">
        <v>21</v>
      </c>
    </row>
    <row r="131" spans="1:17" x14ac:dyDescent="0.3">
      <c r="A131" t="s">
        <v>182</v>
      </c>
      <c r="B131" t="s">
        <v>63</v>
      </c>
      <c r="C131" t="s">
        <v>43</v>
      </c>
      <c r="D131" t="s">
        <v>29</v>
      </c>
      <c r="E131">
        <v>1884996</v>
      </c>
      <c r="F131">
        <v>577615</v>
      </c>
      <c r="G131">
        <v>1107347</v>
      </c>
      <c r="H131">
        <v>49671</v>
      </c>
      <c r="I131">
        <v>5462</v>
      </c>
      <c r="J131">
        <v>3541</v>
      </c>
      <c r="K131">
        <f t="shared" si="4"/>
        <v>10.157977199345584</v>
      </c>
      <c r="L131">
        <v>297476</v>
      </c>
      <c r="M131">
        <v>730115</v>
      </c>
      <c r="N131">
        <f t="shared" si="5"/>
        <v>145.43660665062055</v>
      </c>
      <c r="O131">
        <v>45888</v>
      </c>
      <c r="P131">
        <v>45898</v>
      </c>
      <c r="Q131" t="s">
        <v>41</v>
      </c>
    </row>
    <row r="132" spans="1:17" x14ac:dyDescent="0.3">
      <c r="A132" t="s">
        <v>183</v>
      </c>
      <c r="B132" t="s">
        <v>23</v>
      </c>
      <c r="C132" t="s">
        <v>37</v>
      </c>
      <c r="D132" t="s">
        <v>51</v>
      </c>
      <c r="E132">
        <v>1767225</v>
      </c>
      <c r="F132">
        <v>1230211</v>
      </c>
      <c r="G132">
        <v>2093992</v>
      </c>
      <c r="H132">
        <v>105392</v>
      </c>
      <c r="I132">
        <v>13155</v>
      </c>
      <c r="J132">
        <v>8038</v>
      </c>
      <c r="K132">
        <f t="shared" si="4"/>
        <v>10.289698271272165</v>
      </c>
      <c r="L132">
        <v>20438</v>
      </c>
      <c r="M132">
        <v>95355</v>
      </c>
      <c r="N132">
        <f t="shared" si="5"/>
        <v>366.55739309130053</v>
      </c>
      <c r="O132">
        <v>46084</v>
      </c>
      <c r="P132">
        <v>46092</v>
      </c>
      <c r="Q132" t="s">
        <v>34</v>
      </c>
    </row>
    <row r="133" spans="1:17" x14ac:dyDescent="0.3">
      <c r="A133" t="s">
        <v>184</v>
      </c>
      <c r="B133" t="s">
        <v>23</v>
      </c>
      <c r="C133" t="s">
        <v>37</v>
      </c>
      <c r="D133" t="s">
        <v>58</v>
      </c>
      <c r="E133">
        <v>861576</v>
      </c>
      <c r="F133">
        <v>425358</v>
      </c>
      <c r="G133">
        <v>1067912</v>
      </c>
      <c r="H133">
        <v>36035</v>
      </c>
      <c r="I133">
        <v>3327</v>
      </c>
      <c r="J133">
        <v>3057</v>
      </c>
      <c r="K133">
        <f t="shared" si="4"/>
        <v>9.9725407774157304</v>
      </c>
      <c r="L133">
        <v>223359</v>
      </c>
      <c r="M133">
        <v>823459</v>
      </c>
      <c r="N133">
        <f t="shared" si="5"/>
        <v>268.67061546658067</v>
      </c>
      <c r="O133">
        <v>45797</v>
      </c>
      <c r="P133">
        <v>45807</v>
      </c>
      <c r="Q133" t="s">
        <v>34</v>
      </c>
    </row>
    <row r="134" spans="1:17" x14ac:dyDescent="0.3">
      <c r="A134" t="s">
        <v>185</v>
      </c>
      <c r="B134" t="s">
        <v>75</v>
      </c>
      <c r="C134" t="s">
        <v>33</v>
      </c>
      <c r="D134" t="s">
        <v>29</v>
      </c>
      <c r="E134">
        <v>940652</v>
      </c>
      <c r="F134">
        <v>827971</v>
      </c>
      <c r="G134">
        <v>2312941</v>
      </c>
      <c r="H134">
        <v>25111</v>
      </c>
      <c r="I134">
        <v>2622</v>
      </c>
      <c r="J134">
        <v>1496</v>
      </c>
      <c r="K134">
        <f t="shared" si="4"/>
        <v>3.53019610590226</v>
      </c>
      <c r="L134">
        <v>407895</v>
      </c>
      <c r="M134">
        <v>1625155</v>
      </c>
      <c r="N134">
        <f t="shared" si="5"/>
        <v>298.42483972590986</v>
      </c>
      <c r="O134">
        <v>45896</v>
      </c>
      <c r="P134">
        <v>45905</v>
      </c>
      <c r="Q134" t="s">
        <v>41</v>
      </c>
    </row>
    <row r="135" spans="1:17" x14ac:dyDescent="0.3">
      <c r="A135" t="s">
        <v>186</v>
      </c>
      <c r="B135" t="s">
        <v>63</v>
      </c>
      <c r="C135" t="s">
        <v>37</v>
      </c>
      <c r="D135" t="s">
        <v>20</v>
      </c>
      <c r="E135">
        <v>1751093</v>
      </c>
      <c r="F135">
        <v>1409624</v>
      </c>
      <c r="G135">
        <v>2917086</v>
      </c>
      <c r="H135">
        <v>192792</v>
      </c>
      <c r="I135">
        <v>15988</v>
      </c>
      <c r="J135">
        <v>19108</v>
      </c>
      <c r="K135">
        <f t="shared" si="4"/>
        <v>16.166580591703887</v>
      </c>
      <c r="L135">
        <v>175981</v>
      </c>
      <c r="M135">
        <v>609001</v>
      </c>
      <c r="N135">
        <f t="shared" si="5"/>
        <v>246.06065427517746</v>
      </c>
      <c r="O135">
        <v>45833</v>
      </c>
      <c r="P135">
        <v>45853</v>
      </c>
      <c r="Q135" t="s">
        <v>78</v>
      </c>
    </row>
    <row r="136" spans="1:17" x14ac:dyDescent="0.3">
      <c r="A136" t="s">
        <v>187</v>
      </c>
      <c r="B136" t="s">
        <v>103</v>
      </c>
      <c r="C136" t="s">
        <v>33</v>
      </c>
      <c r="D136" t="s">
        <v>20</v>
      </c>
      <c r="E136">
        <v>1870501</v>
      </c>
      <c r="F136">
        <v>714206</v>
      </c>
      <c r="G136">
        <v>1665661</v>
      </c>
      <c r="H136">
        <v>33192</v>
      </c>
      <c r="I136">
        <v>2023</v>
      </c>
      <c r="J136">
        <v>2909</v>
      </c>
      <c r="K136">
        <f t="shared" si="4"/>
        <v>5.3379557158578894</v>
      </c>
      <c r="L136">
        <v>317057</v>
      </c>
      <c r="M136">
        <v>378129</v>
      </c>
      <c r="N136">
        <f t="shared" si="5"/>
        <v>19.262151600500857</v>
      </c>
      <c r="O136">
        <v>45933</v>
      </c>
      <c r="P136">
        <v>45960</v>
      </c>
      <c r="Q136" t="s">
        <v>34</v>
      </c>
    </row>
    <row r="137" spans="1:17" x14ac:dyDescent="0.3">
      <c r="A137" t="s">
        <v>188</v>
      </c>
      <c r="B137" t="s">
        <v>57</v>
      </c>
      <c r="C137" t="s">
        <v>19</v>
      </c>
      <c r="D137" t="s">
        <v>20</v>
      </c>
      <c r="E137">
        <v>1652789</v>
      </c>
      <c r="F137">
        <v>1389611</v>
      </c>
      <c r="G137">
        <v>1770610</v>
      </c>
      <c r="H137">
        <v>205239</v>
      </c>
      <c r="I137">
        <v>29834</v>
      </c>
      <c r="J137">
        <v>6833</v>
      </c>
      <c r="K137">
        <f t="shared" si="4"/>
        <v>17.408181138462492</v>
      </c>
      <c r="L137">
        <v>194997</v>
      </c>
      <c r="M137">
        <v>735844</v>
      </c>
      <c r="N137">
        <f t="shared" si="5"/>
        <v>277.36170300055898</v>
      </c>
      <c r="O137">
        <v>45981</v>
      </c>
      <c r="P137">
        <v>46010</v>
      </c>
      <c r="Q137" t="s">
        <v>47</v>
      </c>
    </row>
    <row r="138" spans="1:17" x14ac:dyDescent="0.3">
      <c r="A138" t="s">
        <v>189</v>
      </c>
      <c r="B138" t="s">
        <v>57</v>
      </c>
      <c r="C138" t="s">
        <v>19</v>
      </c>
      <c r="D138" t="s">
        <v>20</v>
      </c>
      <c r="E138">
        <v>871356</v>
      </c>
      <c r="F138">
        <v>580363</v>
      </c>
      <c r="G138">
        <v>1513514</v>
      </c>
      <c r="H138">
        <v>64606</v>
      </c>
      <c r="I138">
        <v>4354</v>
      </c>
      <c r="J138">
        <v>4083</v>
      </c>
      <c r="K138">
        <f t="shared" si="4"/>
        <v>12.585743750032307</v>
      </c>
      <c r="L138">
        <v>295574</v>
      </c>
      <c r="M138">
        <v>923840</v>
      </c>
      <c r="N138">
        <f t="shared" si="5"/>
        <v>212.55793811363651</v>
      </c>
      <c r="O138">
        <v>45838</v>
      </c>
      <c r="P138">
        <v>45855</v>
      </c>
      <c r="Q138" t="s">
        <v>21</v>
      </c>
    </row>
    <row r="139" spans="1:17" x14ac:dyDescent="0.3">
      <c r="A139" t="s">
        <v>190</v>
      </c>
      <c r="B139" t="s">
        <v>45</v>
      </c>
      <c r="C139" t="s">
        <v>37</v>
      </c>
      <c r="D139" t="s">
        <v>58</v>
      </c>
      <c r="E139">
        <v>452461</v>
      </c>
      <c r="F139">
        <v>241554</v>
      </c>
      <c r="G139">
        <v>698648</v>
      </c>
      <c r="H139">
        <v>5104</v>
      </c>
      <c r="I139">
        <v>205</v>
      </c>
      <c r="J139">
        <v>325</v>
      </c>
      <c r="K139">
        <f t="shared" si="4"/>
        <v>2.332397724732358</v>
      </c>
      <c r="L139">
        <v>101330</v>
      </c>
      <c r="M139">
        <v>436373</v>
      </c>
      <c r="N139">
        <f t="shared" si="5"/>
        <v>330.64541596763053</v>
      </c>
      <c r="O139">
        <v>46032</v>
      </c>
      <c r="P139">
        <v>46055</v>
      </c>
      <c r="Q139" t="s">
        <v>54</v>
      </c>
    </row>
    <row r="140" spans="1:17" x14ac:dyDescent="0.3">
      <c r="A140" t="s">
        <v>191</v>
      </c>
      <c r="B140" t="s">
        <v>45</v>
      </c>
      <c r="C140" t="s">
        <v>19</v>
      </c>
      <c r="D140" t="s">
        <v>20</v>
      </c>
      <c r="E140">
        <v>311692</v>
      </c>
      <c r="F140">
        <v>215510</v>
      </c>
      <c r="G140">
        <v>414766</v>
      </c>
      <c r="H140">
        <v>32116</v>
      </c>
      <c r="I140">
        <v>3854</v>
      </c>
      <c r="J140">
        <v>2741</v>
      </c>
      <c r="K140">
        <f t="shared" si="4"/>
        <v>17.962507540253352</v>
      </c>
      <c r="L140">
        <v>106374</v>
      </c>
      <c r="M140">
        <v>509568</v>
      </c>
      <c r="N140">
        <f t="shared" si="5"/>
        <v>379.03435049918215</v>
      </c>
      <c r="O140">
        <v>45770</v>
      </c>
      <c r="P140">
        <v>45794</v>
      </c>
      <c r="Q140" t="s">
        <v>34</v>
      </c>
    </row>
    <row r="141" spans="1:17" x14ac:dyDescent="0.3">
      <c r="A141" t="s">
        <v>192</v>
      </c>
      <c r="B141" t="s">
        <v>63</v>
      </c>
      <c r="C141" t="s">
        <v>33</v>
      </c>
      <c r="D141" t="s">
        <v>20</v>
      </c>
      <c r="E141">
        <v>1779393</v>
      </c>
      <c r="F141">
        <v>1004925</v>
      </c>
      <c r="G141">
        <v>2319906</v>
      </c>
      <c r="H141">
        <v>73721</v>
      </c>
      <c r="I141">
        <v>9736</v>
      </c>
      <c r="J141">
        <v>3099</v>
      </c>
      <c r="K141">
        <f t="shared" si="4"/>
        <v>8.6131800880662723</v>
      </c>
      <c r="L141">
        <v>236001</v>
      </c>
      <c r="M141">
        <v>796099</v>
      </c>
      <c r="N141">
        <f t="shared" si="5"/>
        <v>237.32865538705346</v>
      </c>
      <c r="O141">
        <v>45870</v>
      </c>
      <c r="P141">
        <v>45894</v>
      </c>
      <c r="Q141" t="s">
        <v>47</v>
      </c>
    </row>
    <row r="142" spans="1:17" x14ac:dyDescent="0.3">
      <c r="A142" t="s">
        <v>193</v>
      </c>
      <c r="B142" t="s">
        <v>61</v>
      </c>
      <c r="C142" t="s">
        <v>33</v>
      </c>
      <c r="D142" t="s">
        <v>40</v>
      </c>
      <c r="E142">
        <v>1624654</v>
      </c>
      <c r="F142">
        <v>1182024</v>
      </c>
      <c r="G142">
        <v>1608313</v>
      </c>
      <c r="H142">
        <v>94157</v>
      </c>
      <c r="I142">
        <v>5879</v>
      </c>
      <c r="J142">
        <v>4363</v>
      </c>
      <c r="K142">
        <f t="shared" si="4"/>
        <v>8.8322233727910771</v>
      </c>
      <c r="L142">
        <v>120806</v>
      </c>
      <c r="M142">
        <v>290775</v>
      </c>
      <c r="N142">
        <f t="shared" si="5"/>
        <v>140.69582636624008</v>
      </c>
      <c r="O142">
        <v>46029</v>
      </c>
      <c r="P142">
        <v>46054</v>
      </c>
      <c r="Q142" t="s">
        <v>78</v>
      </c>
    </row>
    <row r="143" spans="1:17" x14ac:dyDescent="0.3">
      <c r="A143" t="s">
        <v>194</v>
      </c>
      <c r="B143" t="s">
        <v>80</v>
      </c>
      <c r="C143" t="s">
        <v>19</v>
      </c>
      <c r="D143" t="s">
        <v>72</v>
      </c>
      <c r="E143">
        <v>276906</v>
      </c>
      <c r="F143">
        <v>155460</v>
      </c>
      <c r="G143">
        <v>354401</v>
      </c>
      <c r="H143">
        <v>15025</v>
      </c>
      <c r="I143">
        <v>2249</v>
      </c>
      <c r="J143">
        <v>1197</v>
      </c>
      <c r="K143">
        <f t="shared" si="4"/>
        <v>11.881512929370899</v>
      </c>
      <c r="L143">
        <v>188276</v>
      </c>
      <c r="M143">
        <v>269648</v>
      </c>
      <c r="N143">
        <f t="shared" si="5"/>
        <v>43.219528776901996</v>
      </c>
      <c r="O143">
        <v>45718</v>
      </c>
      <c r="P143">
        <v>45745</v>
      </c>
      <c r="Q143" t="s">
        <v>34</v>
      </c>
    </row>
    <row r="144" spans="1:17" x14ac:dyDescent="0.3">
      <c r="A144" t="s">
        <v>195</v>
      </c>
      <c r="B144" t="s">
        <v>75</v>
      </c>
      <c r="C144" t="s">
        <v>28</v>
      </c>
      <c r="D144" t="s">
        <v>24</v>
      </c>
      <c r="E144">
        <v>1044975</v>
      </c>
      <c r="F144">
        <v>530577</v>
      </c>
      <c r="G144">
        <v>1188800</v>
      </c>
      <c r="H144">
        <v>15858</v>
      </c>
      <c r="I144">
        <v>699</v>
      </c>
      <c r="J144">
        <v>671</v>
      </c>
      <c r="K144">
        <f t="shared" si="4"/>
        <v>3.2470310624094147</v>
      </c>
      <c r="L144">
        <v>225386</v>
      </c>
      <c r="M144">
        <v>743550</v>
      </c>
      <c r="N144">
        <f t="shared" si="5"/>
        <v>229.90070368168384</v>
      </c>
      <c r="O144">
        <v>46080</v>
      </c>
      <c r="P144">
        <v>46100</v>
      </c>
      <c r="Q144" t="s">
        <v>41</v>
      </c>
    </row>
    <row r="145" spans="1:17" x14ac:dyDescent="0.3">
      <c r="A145" t="s">
        <v>196</v>
      </c>
      <c r="B145" t="s">
        <v>39</v>
      </c>
      <c r="C145" t="s">
        <v>28</v>
      </c>
      <c r="D145" t="s">
        <v>58</v>
      </c>
      <c r="E145">
        <v>1935350</v>
      </c>
      <c r="F145">
        <v>841065</v>
      </c>
      <c r="G145">
        <v>1221566</v>
      </c>
      <c r="H145">
        <v>88276</v>
      </c>
      <c r="I145">
        <v>3689</v>
      </c>
      <c r="J145">
        <v>5805</v>
      </c>
      <c r="K145">
        <f t="shared" si="4"/>
        <v>11.62454744877031</v>
      </c>
      <c r="L145">
        <v>106412</v>
      </c>
      <c r="M145">
        <v>317604</v>
      </c>
      <c r="N145">
        <f t="shared" si="5"/>
        <v>198.46633838288915</v>
      </c>
      <c r="O145">
        <v>46004</v>
      </c>
      <c r="P145">
        <v>46014</v>
      </c>
      <c r="Q145" t="s">
        <v>30</v>
      </c>
    </row>
    <row r="146" spans="1:17" x14ac:dyDescent="0.3">
      <c r="A146" t="s">
        <v>197</v>
      </c>
      <c r="B146" t="s">
        <v>53</v>
      </c>
      <c r="C146" t="s">
        <v>33</v>
      </c>
      <c r="D146" t="s">
        <v>20</v>
      </c>
      <c r="E146">
        <v>110329</v>
      </c>
      <c r="F146">
        <v>63800</v>
      </c>
      <c r="G146">
        <v>169347</v>
      </c>
      <c r="H146">
        <v>4070</v>
      </c>
      <c r="I146">
        <v>533</v>
      </c>
      <c r="J146">
        <v>113</v>
      </c>
      <c r="K146">
        <f t="shared" si="4"/>
        <v>7.391849529780564</v>
      </c>
      <c r="L146">
        <v>23723</v>
      </c>
      <c r="M146">
        <v>108769</v>
      </c>
      <c r="N146">
        <f t="shared" si="5"/>
        <v>358.49597437086373</v>
      </c>
      <c r="O146">
        <v>46108</v>
      </c>
      <c r="P146">
        <v>46120</v>
      </c>
      <c r="Q146" t="s">
        <v>25</v>
      </c>
    </row>
    <row r="147" spans="1:17" x14ac:dyDescent="0.3">
      <c r="A147" t="s">
        <v>198</v>
      </c>
      <c r="B147" t="s">
        <v>39</v>
      </c>
      <c r="C147" t="s">
        <v>28</v>
      </c>
      <c r="D147" t="s">
        <v>20</v>
      </c>
      <c r="E147">
        <v>57115</v>
      </c>
      <c r="F147">
        <v>22174</v>
      </c>
      <c r="G147">
        <v>44438</v>
      </c>
      <c r="H147">
        <v>1933</v>
      </c>
      <c r="I147">
        <v>215</v>
      </c>
      <c r="J147">
        <v>65</v>
      </c>
      <c r="K147">
        <f t="shared" si="4"/>
        <v>9.9801569405610184</v>
      </c>
      <c r="L147">
        <v>385137</v>
      </c>
      <c r="M147">
        <v>1031052</v>
      </c>
      <c r="N147">
        <f t="shared" si="5"/>
        <v>167.71045108623684</v>
      </c>
      <c r="O147">
        <v>45855</v>
      </c>
      <c r="P147">
        <v>45879</v>
      </c>
      <c r="Q147" t="s">
        <v>41</v>
      </c>
    </row>
    <row r="148" spans="1:17" x14ac:dyDescent="0.3">
      <c r="A148" t="s">
        <v>199</v>
      </c>
      <c r="B148" t="s">
        <v>75</v>
      </c>
      <c r="C148" t="s">
        <v>28</v>
      </c>
      <c r="D148" t="s">
        <v>51</v>
      </c>
      <c r="E148">
        <v>1463908</v>
      </c>
      <c r="F148">
        <v>595622</v>
      </c>
      <c r="G148">
        <v>1424918</v>
      </c>
      <c r="H148">
        <v>63865</v>
      </c>
      <c r="I148">
        <v>5026</v>
      </c>
      <c r="J148">
        <v>2144</v>
      </c>
      <c r="K148">
        <f t="shared" si="4"/>
        <v>11.926188085732225</v>
      </c>
      <c r="L148">
        <v>248589</v>
      </c>
      <c r="M148">
        <v>383044</v>
      </c>
      <c r="N148">
        <f t="shared" si="5"/>
        <v>54.087268543660414</v>
      </c>
      <c r="O148">
        <v>45772</v>
      </c>
      <c r="P148">
        <v>45798</v>
      </c>
      <c r="Q148" t="s">
        <v>47</v>
      </c>
    </row>
    <row r="149" spans="1:17" x14ac:dyDescent="0.3">
      <c r="A149" t="s">
        <v>200</v>
      </c>
      <c r="B149" t="s">
        <v>61</v>
      </c>
      <c r="C149" t="s">
        <v>43</v>
      </c>
      <c r="D149" t="s">
        <v>46</v>
      </c>
      <c r="E149">
        <v>924686</v>
      </c>
      <c r="F149">
        <v>328980</v>
      </c>
      <c r="G149">
        <v>399378</v>
      </c>
      <c r="H149">
        <v>47853</v>
      </c>
      <c r="I149">
        <v>2247</v>
      </c>
      <c r="J149">
        <v>2141</v>
      </c>
      <c r="K149">
        <f t="shared" si="4"/>
        <v>15.879688734877501</v>
      </c>
      <c r="L149">
        <v>179421</v>
      </c>
      <c r="M149">
        <v>462669</v>
      </c>
      <c r="N149">
        <f t="shared" si="5"/>
        <v>157.8678081161068</v>
      </c>
      <c r="O149">
        <v>45831</v>
      </c>
      <c r="P149">
        <v>45854</v>
      </c>
      <c r="Q149" t="s">
        <v>41</v>
      </c>
    </row>
    <row r="150" spans="1:17" x14ac:dyDescent="0.3">
      <c r="A150" t="s">
        <v>201</v>
      </c>
      <c r="B150" t="s">
        <v>80</v>
      </c>
      <c r="C150" t="s">
        <v>43</v>
      </c>
      <c r="D150" t="s">
        <v>29</v>
      </c>
      <c r="E150">
        <v>1570849</v>
      </c>
      <c r="F150">
        <v>545927</v>
      </c>
      <c r="G150">
        <v>1465382</v>
      </c>
      <c r="H150">
        <v>78300</v>
      </c>
      <c r="I150">
        <v>4980</v>
      </c>
      <c r="J150">
        <v>6221</v>
      </c>
      <c r="K150">
        <f t="shared" si="4"/>
        <v>16.394316456229497</v>
      </c>
      <c r="L150">
        <v>378818</v>
      </c>
      <c r="M150">
        <v>1562330</v>
      </c>
      <c r="N150">
        <f t="shared" si="5"/>
        <v>312.42232417678144</v>
      </c>
      <c r="O150">
        <v>45937</v>
      </c>
      <c r="P150">
        <v>45959</v>
      </c>
      <c r="Q150" t="s">
        <v>25</v>
      </c>
    </row>
    <row r="151" spans="1:17" x14ac:dyDescent="0.3">
      <c r="A151" t="s">
        <v>202</v>
      </c>
      <c r="B151" t="s">
        <v>57</v>
      </c>
      <c r="C151" t="s">
        <v>43</v>
      </c>
      <c r="D151" t="s">
        <v>46</v>
      </c>
      <c r="E151">
        <v>1966558</v>
      </c>
      <c r="F151">
        <v>782455</v>
      </c>
      <c r="G151">
        <v>1762615</v>
      </c>
      <c r="H151">
        <v>39802</v>
      </c>
      <c r="I151">
        <v>4032</v>
      </c>
      <c r="J151">
        <v>3574</v>
      </c>
      <c r="K151">
        <f t="shared" si="4"/>
        <v>6.0588787853614585</v>
      </c>
      <c r="L151">
        <v>136096</v>
      </c>
      <c r="M151">
        <v>512183</v>
      </c>
      <c r="N151">
        <f t="shared" si="5"/>
        <v>276.33949565012932</v>
      </c>
      <c r="O151">
        <v>45912</v>
      </c>
      <c r="P151">
        <v>45940</v>
      </c>
      <c r="Q151" t="s">
        <v>30</v>
      </c>
    </row>
    <row r="152" spans="1:17" x14ac:dyDescent="0.3">
      <c r="A152" t="s">
        <v>203</v>
      </c>
      <c r="B152" t="s">
        <v>63</v>
      </c>
      <c r="C152" t="s">
        <v>43</v>
      </c>
      <c r="D152" t="s">
        <v>40</v>
      </c>
      <c r="E152">
        <v>1198012</v>
      </c>
      <c r="F152">
        <v>885506</v>
      </c>
      <c r="G152">
        <v>2182946</v>
      </c>
      <c r="H152">
        <v>81161</v>
      </c>
      <c r="I152">
        <v>5701</v>
      </c>
      <c r="J152">
        <v>7553</v>
      </c>
      <c r="K152">
        <f t="shared" si="4"/>
        <v>10.662265416609261</v>
      </c>
      <c r="L152">
        <v>440482</v>
      </c>
      <c r="M152">
        <v>1101181</v>
      </c>
      <c r="N152">
        <f t="shared" si="5"/>
        <v>149.99455142321366</v>
      </c>
      <c r="O152">
        <v>46091</v>
      </c>
      <c r="P152">
        <v>46102</v>
      </c>
      <c r="Q152" t="s">
        <v>21</v>
      </c>
    </row>
    <row r="153" spans="1:17" x14ac:dyDescent="0.3">
      <c r="A153" t="s">
        <v>204</v>
      </c>
      <c r="B153" t="s">
        <v>27</v>
      </c>
      <c r="C153" t="s">
        <v>28</v>
      </c>
      <c r="D153" t="s">
        <v>40</v>
      </c>
      <c r="E153">
        <v>1629231</v>
      </c>
      <c r="F153">
        <v>963834</v>
      </c>
      <c r="G153">
        <v>1149759</v>
      </c>
      <c r="H153">
        <v>119711</v>
      </c>
      <c r="I153">
        <v>12723</v>
      </c>
      <c r="J153">
        <v>3189</v>
      </c>
      <c r="K153">
        <f t="shared" si="4"/>
        <v>14.071198982397384</v>
      </c>
      <c r="L153">
        <v>96110</v>
      </c>
      <c r="M153">
        <v>373059</v>
      </c>
      <c r="N153">
        <f t="shared" si="5"/>
        <v>288.15836021225675</v>
      </c>
      <c r="O153">
        <v>45784</v>
      </c>
      <c r="P153">
        <v>45798</v>
      </c>
      <c r="Q153" t="s">
        <v>47</v>
      </c>
    </row>
    <row r="154" spans="1:17" x14ac:dyDescent="0.3">
      <c r="A154" t="s">
        <v>205</v>
      </c>
      <c r="B154" t="s">
        <v>80</v>
      </c>
      <c r="C154" t="s">
        <v>19</v>
      </c>
      <c r="D154" t="s">
        <v>40</v>
      </c>
      <c r="E154">
        <v>1038878</v>
      </c>
      <c r="F154">
        <v>758447</v>
      </c>
      <c r="G154">
        <v>2171488</v>
      </c>
      <c r="H154">
        <v>87195</v>
      </c>
      <c r="I154">
        <v>5669</v>
      </c>
      <c r="J154">
        <v>8531</v>
      </c>
      <c r="K154">
        <f t="shared" si="4"/>
        <v>13.36876538505657</v>
      </c>
      <c r="L154">
        <v>103502</v>
      </c>
      <c r="M154">
        <v>201297</v>
      </c>
      <c r="N154">
        <f t="shared" si="5"/>
        <v>94.486096887016686</v>
      </c>
      <c r="O154">
        <v>45977</v>
      </c>
      <c r="P154">
        <v>45996</v>
      </c>
      <c r="Q154" t="s">
        <v>34</v>
      </c>
    </row>
    <row r="155" spans="1:17" x14ac:dyDescent="0.3">
      <c r="A155" t="s">
        <v>206</v>
      </c>
      <c r="B155" t="s">
        <v>80</v>
      </c>
      <c r="C155" t="s">
        <v>43</v>
      </c>
      <c r="D155" t="s">
        <v>29</v>
      </c>
      <c r="E155">
        <v>1783462</v>
      </c>
      <c r="F155">
        <v>1457265</v>
      </c>
      <c r="G155">
        <v>1952374</v>
      </c>
      <c r="H155">
        <v>48427</v>
      </c>
      <c r="I155">
        <v>7262</v>
      </c>
      <c r="J155">
        <v>2845</v>
      </c>
      <c r="K155">
        <f t="shared" si="4"/>
        <v>4.0167025215043246</v>
      </c>
      <c r="L155">
        <v>345502</v>
      </c>
      <c r="M155">
        <v>842400</v>
      </c>
      <c r="N155">
        <f t="shared" si="5"/>
        <v>143.81913852886527</v>
      </c>
      <c r="O155">
        <v>46096</v>
      </c>
      <c r="P155">
        <v>46104</v>
      </c>
      <c r="Q155" t="s">
        <v>30</v>
      </c>
    </row>
    <row r="156" spans="1:17" x14ac:dyDescent="0.3">
      <c r="A156" t="s">
        <v>207</v>
      </c>
      <c r="B156" t="s">
        <v>63</v>
      </c>
      <c r="C156" t="s">
        <v>28</v>
      </c>
      <c r="D156" t="s">
        <v>46</v>
      </c>
      <c r="E156">
        <v>905613</v>
      </c>
      <c r="F156">
        <v>336146</v>
      </c>
      <c r="G156">
        <v>955897</v>
      </c>
      <c r="H156">
        <v>33856</v>
      </c>
      <c r="I156">
        <v>1273</v>
      </c>
      <c r="J156">
        <v>1377</v>
      </c>
      <c r="K156">
        <f t="shared" si="4"/>
        <v>10.860161953436899</v>
      </c>
      <c r="L156">
        <v>250838</v>
      </c>
      <c r="M156">
        <v>307969</v>
      </c>
      <c r="N156">
        <f t="shared" si="5"/>
        <v>22.776054664763713</v>
      </c>
      <c r="O156">
        <v>46006</v>
      </c>
      <c r="P156">
        <v>46015</v>
      </c>
      <c r="Q156" t="s">
        <v>21</v>
      </c>
    </row>
    <row r="157" spans="1:17" x14ac:dyDescent="0.3">
      <c r="A157" t="s">
        <v>208</v>
      </c>
      <c r="B157" t="s">
        <v>75</v>
      </c>
      <c r="C157" t="s">
        <v>37</v>
      </c>
      <c r="D157" t="s">
        <v>40</v>
      </c>
      <c r="E157">
        <v>1290432</v>
      </c>
      <c r="F157">
        <v>952527</v>
      </c>
      <c r="G157">
        <v>1735864</v>
      </c>
      <c r="H157">
        <v>128303</v>
      </c>
      <c r="I157">
        <v>5138</v>
      </c>
      <c r="J157">
        <v>5147</v>
      </c>
      <c r="K157">
        <f t="shared" si="4"/>
        <v>14.549508832820488</v>
      </c>
      <c r="L157">
        <v>189409</v>
      </c>
      <c r="M157">
        <v>289380</v>
      </c>
      <c r="N157">
        <f t="shared" si="5"/>
        <v>52.780490895363997</v>
      </c>
      <c r="O157">
        <v>45673</v>
      </c>
      <c r="P157">
        <v>45687</v>
      </c>
      <c r="Q157" t="s">
        <v>25</v>
      </c>
    </row>
    <row r="158" spans="1:17" x14ac:dyDescent="0.3">
      <c r="A158" t="s">
        <v>209</v>
      </c>
      <c r="B158" t="s">
        <v>75</v>
      </c>
      <c r="C158" t="s">
        <v>28</v>
      </c>
      <c r="D158" t="s">
        <v>24</v>
      </c>
      <c r="E158">
        <v>63789</v>
      </c>
      <c r="F158">
        <v>24586</v>
      </c>
      <c r="G158">
        <v>29040</v>
      </c>
      <c r="H158">
        <v>2895</v>
      </c>
      <c r="I158">
        <v>273</v>
      </c>
      <c r="J158">
        <v>111</v>
      </c>
      <c r="K158">
        <f t="shared" si="4"/>
        <v>13.336858374684779</v>
      </c>
      <c r="L158">
        <v>389820</v>
      </c>
      <c r="M158">
        <v>1752989</v>
      </c>
      <c r="N158">
        <f t="shared" si="5"/>
        <v>349.69190908624495</v>
      </c>
      <c r="O158">
        <v>45830</v>
      </c>
      <c r="P158">
        <v>45849</v>
      </c>
      <c r="Q158" t="s">
        <v>41</v>
      </c>
    </row>
    <row r="159" spans="1:17" x14ac:dyDescent="0.3">
      <c r="A159" t="s">
        <v>210</v>
      </c>
      <c r="B159" t="s">
        <v>49</v>
      </c>
      <c r="C159" t="s">
        <v>37</v>
      </c>
      <c r="D159" t="s">
        <v>46</v>
      </c>
      <c r="E159">
        <v>479472</v>
      </c>
      <c r="F159">
        <v>191029</v>
      </c>
      <c r="G159">
        <v>272617</v>
      </c>
      <c r="H159">
        <v>26130</v>
      </c>
      <c r="I159">
        <v>1695</v>
      </c>
      <c r="J159">
        <v>748</v>
      </c>
      <c r="K159">
        <f t="shared" si="4"/>
        <v>14.957414842772563</v>
      </c>
      <c r="L159">
        <v>395429</v>
      </c>
      <c r="M159">
        <v>705640</v>
      </c>
      <c r="N159">
        <f t="shared" si="5"/>
        <v>78.449228559362112</v>
      </c>
      <c r="O159">
        <v>45776</v>
      </c>
      <c r="P159">
        <v>45804</v>
      </c>
      <c r="Q159" t="s">
        <v>34</v>
      </c>
    </row>
    <row r="160" spans="1:17" x14ac:dyDescent="0.3">
      <c r="A160" t="s">
        <v>211</v>
      </c>
      <c r="B160" t="s">
        <v>80</v>
      </c>
      <c r="C160" t="s">
        <v>43</v>
      </c>
      <c r="D160" t="s">
        <v>29</v>
      </c>
      <c r="E160">
        <v>920157</v>
      </c>
      <c r="F160">
        <v>681533</v>
      </c>
      <c r="G160">
        <v>1046376</v>
      </c>
      <c r="H160">
        <v>101243</v>
      </c>
      <c r="I160">
        <v>3692</v>
      </c>
      <c r="J160">
        <v>4492</v>
      </c>
      <c r="K160">
        <f t="shared" si="4"/>
        <v>16.056009026708903</v>
      </c>
      <c r="L160">
        <v>481762</v>
      </c>
      <c r="M160">
        <v>1723819</v>
      </c>
      <c r="N160">
        <f t="shared" si="5"/>
        <v>257.81547735188741</v>
      </c>
      <c r="O160">
        <v>45748</v>
      </c>
      <c r="P160">
        <v>45777</v>
      </c>
      <c r="Q160" t="s">
        <v>54</v>
      </c>
    </row>
    <row r="161" spans="1:17" x14ac:dyDescent="0.3">
      <c r="A161" t="s">
        <v>212</v>
      </c>
      <c r="B161" t="s">
        <v>53</v>
      </c>
      <c r="C161" t="s">
        <v>33</v>
      </c>
      <c r="D161" t="s">
        <v>58</v>
      </c>
      <c r="E161">
        <v>171316</v>
      </c>
      <c r="F161">
        <v>96797</v>
      </c>
      <c r="G161">
        <v>212259</v>
      </c>
      <c r="H161">
        <v>6211</v>
      </c>
      <c r="I161">
        <v>343</v>
      </c>
      <c r="J161">
        <v>549</v>
      </c>
      <c r="K161">
        <f t="shared" si="4"/>
        <v>7.3380373358678472</v>
      </c>
      <c r="L161">
        <v>209227</v>
      </c>
      <c r="M161">
        <v>617835</v>
      </c>
      <c r="N161">
        <f t="shared" si="5"/>
        <v>195.29410640118149</v>
      </c>
      <c r="O161">
        <v>45932</v>
      </c>
      <c r="P161">
        <v>45951</v>
      </c>
      <c r="Q161" t="s">
        <v>47</v>
      </c>
    </row>
    <row r="162" spans="1:17" x14ac:dyDescent="0.3">
      <c r="A162" t="s">
        <v>213</v>
      </c>
      <c r="B162" t="s">
        <v>63</v>
      </c>
      <c r="C162" t="s">
        <v>37</v>
      </c>
      <c r="D162" t="s">
        <v>40</v>
      </c>
      <c r="E162">
        <v>1144275</v>
      </c>
      <c r="F162">
        <v>1012268</v>
      </c>
      <c r="G162">
        <v>1867070</v>
      </c>
      <c r="H162">
        <v>115566</v>
      </c>
      <c r="I162">
        <v>7012</v>
      </c>
      <c r="J162">
        <v>10691</v>
      </c>
      <c r="K162">
        <f t="shared" si="4"/>
        <v>13.165387031892738</v>
      </c>
      <c r="L162">
        <v>14940</v>
      </c>
      <c r="M162">
        <v>45726</v>
      </c>
      <c r="N162">
        <f t="shared" si="5"/>
        <v>206.06425702811245</v>
      </c>
      <c r="O162">
        <v>46126</v>
      </c>
      <c r="P162">
        <v>46144</v>
      </c>
      <c r="Q162" t="s">
        <v>25</v>
      </c>
    </row>
    <row r="163" spans="1:17" x14ac:dyDescent="0.3">
      <c r="A163" t="s">
        <v>214</v>
      </c>
      <c r="B163" t="s">
        <v>80</v>
      </c>
      <c r="C163" t="s">
        <v>37</v>
      </c>
      <c r="D163" t="s">
        <v>46</v>
      </c>
      <c r="E163">
        <v>1374064</v>
      </c>
      <c r="F163">
        <v>641455</v>
      </c>
      <c r="G163">
        <v>913301</v>
      </c>
      <c r="H163">
        <v>18379</v>
      </c>
      <c r="I163">
        <v>1710</v>
      </c>
      <c r="J163">
        <v>708</v>
      </c>
      <c r="K163">
        <f t="shared" si="4"/>
        <v>3.2421604009634351</v>
      </c>
      <c r="L163">
        <v>264486</v>
      </c>
      <c r="M163">
        <v>1111869</v>
      </c>
      <c r="N163">
        <f t="shared" si="5"/>
        <v>320.388602799392</v>
      </c>
      <c r="O163">
        <v>45922</v>
      </c>
      <c r="P163">
        <v>45943</v>
      </c>
      <c r="Q163" t="s">
        <v>21</v>
      </c>
    </row>
    <row r="164" spans="1:17" x14ac:dyDescent="0.3">
      <c r="A164" t="s">
        <v>215</v>
      </c>
      <c r="B164" t="s">
        <v>23</v>
      </c>
      <c r="C164" t="s">
        <v>28</v>
      </c>
      <c r="D164" t="s">
        <v>29</v>
      </c>
      <c r="E164">
        <v>700363</v>
      </c>
      <c r="F164">
        <v>362099</v>
      </c>
      <c r="G164">
        <v>956070</v>
      </c>
      <c r="H164">
        <v>30480</v>
      </c>
      <c r="I164">
        <v>2256</v>
      </c>
      <c r="J164">
        <v>2288</v>
      </c>
      <c r="K164">
        <f t="shared" si="4"/>
        <v>9.6724928817809488</v>
      </c>
      <c r="L164">
        <v>241325</v>
      </c>
      <c r="M164">
        <v>335944</v>
      </c>
      <c r="N164">
        <f t="shared" si="5"/>
        <v>39.208121827411169</v>
      </c>
      <c r="O164">
        <v>45971</v>
      </c>
      <c r="P164">
        <v>45988</v>
      </c>
      <c r="Q164" t="s">
        <v>54</v>
      </c>
    </row>
    <row r="165" spans="1:17" x14ac:dyDescent="0.3">
      <c r="A165" t="s">
        <v>216</v>
      </c>
      <c r="B165" t="s">
        <v>18</v>
      </c>
      <c r="C165" t="s">
        <v>33</v>
      </c>
      <c r="D165" t="s">
        <v>58</v>
      </c>
      <c r="E165">
        <v>877396</v>
      </c>
      <c r="F165">
        <v>784761</v>
      </c>
      <c r="G165">
        <v>1504537</v>
      </c>
      <c r="H165">
        <v>52593</v>
      </c>
      <c r="I165">
        <v>6400</v>
      </c>
      <c r="J165">
        <v>2449</v>
      </c>
      <c r="K165">
        <f t="shared" si="4"/>
        <v>7.8293900945638217</v>
      </c>
      <c r="L165">
        <v>260846</v>
      </c>
      <c r="M165">
        <v>1153275</v>
      </c>
      <c r="N165">
        <f t="shared" si="5"/>
        <v>342.1286889582359</v>
      </c>
      <c r="O165">
        <v>45823</v>
      </c>
      <c r="P165">
        <v>45849</v>
      </c>
      <c r="Q165" t="s">
        <v>78</v>
      </c>
    </row>
    <row r="166" spans="1:17" x14ac:dyDescent="0.3">
      <c r="A166" t="s">
        <v>217</v>
      </c>
      <c r="B166" t="s">
        <v>27</v>
      </c>
      <c r="C166" t="s">
        <v>33</v>
      </c>
      <c r="D166" t="s">
        <v>51</v>
      </c>
      <c r="E166">
        <v>1195738</v>
      </c>
      <c r="F166">
        <v>378007</v>
      </c>
      <c r="G166">
        <v>454219</v>
      </c>
      <c r="H166">
        <v>53703</v>
      </c>
      <c r="I166">
        <v>3829</v>
      </c>
      <c r="J166">
        <v>2002</v>
      </c>
      <c r="K166">
        <f t="shared" si="4"/>
        <v>15.749443793368906</v>
      </c>
      <c r="L166">
        <v>397534</v>
      </c>
      <c r="M166">
        <v>1623208</v>
      </c>
      <c r="N166">
        <f t="shared" si="5"/>
        <v>308.31928841306654</v>
      </c>
      <c r="O166">
        <v>46056</v>
      </c>
      <c r="P166">
        <v>46074</v>
      </c>
      <c r="Q166" t="s">
        <v>54</v>
      </c>
    </row>
    <row r="167" spans="1:17" x14ac:dyDescent="0.3">
      <c r="A167" t="s">
        <v>218</v>
      </c>
      <c r="B167" t="s">
        <v>23</v>
      </c>
      <c r="C167" t="s">
        <v>19</v>
      </c>
      <c r="D167" t="s">
        <v>20</v>
      </c>
      <c r="E167">
        <v>688981</v>
      </c>
      <c r="F167">
        <v>616540</v>
      </c>
      <c r="G167">
        <v>1137075</v>
      </c>
      <c r="H167">
        <v>50070</v>
      </c>
      <c r="I167">
        <v>3197</v>
      </c>
      <c r="J167">
        <v>1058</v>
      </c>
      <c r="K167">
        <f t="shared" si="4"/>
        <v>8.8112693418107497</v>
      </c>
      <c r="L167">
        <v>433599</v>
      </c>
      <c r="M167">
        <v>895433</v>
      </c>
      <c r="N167">
        <f t="shared" si="5"/>
        <v>106.51177701055583</v>
      </c>
      <c r="O167">
        <v>45873</v>
      </c>
      <c r="P167">
        <v>45882</v>
      </c>
      <c r="Q167" t="s">
        <v>25</v>
      </c>
    </row>
    <row r="168" spans="1:17" x14ac:dyDescent="0.3">
      <c r="A168" t="s">
        <v>219</v>
      </c>
      <c r="B168" t="s">
        <v>57</v>
      </c>
      <c r="C168" t="s">
        <v>37</v>
      </c>
      <c r="D168" t="s">
        <v>40</v>
      </c>
      <c r="E168">
        <v>1582624</v>
      </c>
      <c r="F168">
        <v>1175945</v>
      </c>
      <c r="G168">
        <v>1683288</v>
      </c>
      <c r="H168">
        <v>137929</v>
      </c>
      <c r="I168">
        <v>20107</v>
      </c>
      <c r="J168">
        <v>13317</v>
      </c>
      <c r="K168">
        <f t="shared" si="4"/>
        <v>14.571514824247734</v>
      </c>
      <c r="L168">
        <v>239534</v>
      </c>
      <c r="M168">
        <v>1028053</v>
      </c>
      <c r="N168">
        <f t="shared" si="5"/>
        <v>329.1887581721175</v>
      </c>
      <c r="O168">
        <v>45686</v>
      </c>
      <c r="P168">
        <v>45714</v>
      </c>
      <c r="Q168" t="s">
        <v>34</v>
      </c>
    </row>
    <row r="169" spans="1:17" x14ac:dyDescent="0.3">
      <c r="A169" t="s">
        <v>220</v>
      </c>
      <c r="B169" t="s">
        <v>63</v>
      </c>
      <c r="C169" t="s">
        <v>28</v>
      </c>
      <c r="D169" t="s">
        <v>72</v>
      </c>
      <c r="E169">
        <v>1978497</v>
      </c>
      <c r="F169">
        <v>1063153</v>
      </c>
      <c r="G169">
        <v>2982065</v>
      </c>
      <c r="H169">
        <v>126099</v>
      </c>
      <c r="I169">
        <v>5935</v>
      </c>
      <c r="J169">
        <v>7467</v>
      </c>
      <c r="K169">
        <f t="shared" si="4"/>
        <v>13.121441598716272</v>
      </c>
      <c r="L169">
        <v>160668</v>
      </c>
      <c r="M169">
        <v>398380</v>
      </c>
      <c r="N169">
        <f t="shared" si="5"/>
        <v>147.9522991510444</v>
      </c>
      <c r="O169">
        <v>46004</v>
      </c>
      <c r="P169">
        <v>46016</v>
      </c>
      <c r="Q169" t="s">
        <v>25</v>
      </c>
    </row>
    <row r="170" spans="1:17" x14ac:dyDescent="0.3">
      <c r="A170" t="s">
        <v>221</v>
      </c>
      <c r="B170" t="s">
        <v>27</v>
      </c>
      <c r="C170" t="s">
        <v>37</v>
      </c>
      <c r="D170" t="s">
        <v>58</v>
      </c>
      <c r="E170">
        <v>165436</v>
      </c>
      <c r="F170">
        <v>130976</v>
      </c>
      <c r="G170">
        <v>221777</v>
      </c>
      <c r="H170">
        <v>17411</v>
      </c>
      <c r="I170">
        <v>787</v>
      </c>
      <c r="J170">
        <v>996</v>
      </c>
      <c r="K170">
        <f t="shared" si="4"/>
        <v>14.654593207915953</v>
      </c>
      <c r="L170">
        <v>252257</v>
      </c>
      <c r="M170">
        <v>769083</v>
      </c>
      <c r="N170">
        <f t="shared" si="5"/>
        <v>204.88073670899124</v>
      </c>
      <c r="O170">
        <v>46080</v>
      </c>
      <c r="P170">
        <v>46110</v>
      </c>
      <c r="Q170" t="s">
        <v>34</v>
      </c>
    </row>
    <row r="171" spans="1:17" x14ac:dyDescent="0.3">
      <c r="A171" t="s">
        <v>222</v>
      </c>
      <c r="B171" t="s">
        <v>61</v>
      </c>
      <c r="C171" t="s">
        <v>43</v>
      </c>
      <c r="D171" t="s">
        <v>51</v>
      </c>
      <c r="E171">
        <v>547807</v>
      </c>
      <c r="F171">
        <v>178820</v>
      </c>
      <c r="G171">
        <v>414290</v>
      </c>
      <c r="H171">
        <v>7757</v>
      </c>
      <c r="I171">
        <v>666</v>
      </c>
      <c r="J171">
        <v>392</v>
      </c>
      <c r="K171">
        <f t="shared" si="4"/>
        <v>4.9295380829884801</v>
      </c>
      <c r="L171">
        <v>198932</v>
      </c>
      <c r="M171">
        <v>889574</v>
      </c>
      <c r="N171">
        <f t="shared" si="5"/>
        <v>347.17491404097882</v>
      </c>
      <c r="O171">
        <v>45940</v>
      </c>
      <c r="P171">
        <v>45956</v>
      </c>
      <c r="Q171" t="s">
        <v>21</v>
      </c>
    </row>
    <row r="172" spans="1:17" x14ac:dyDescent="0.3">
      <c r="A172" t="s">
        <v>223</v>
      </c>
      <c r="B172" t="s">
        <v>39</v>
      </c>
      <c r="C172" t="s">
        <v>37</v>
      </c>
      <c r="D172" t="s">
        <v>24</v>
      </c>
      <c r="E172">
        <v>444229</v>
      </c>
      <c r="F172">
        <v>276934</v>
      </c>
      <c r="G172">
        <v>494471</v>
      </c>
      <c r="H172">
        <v>14680</v>
      </c>
      <c r="I172">
        <v>846</v>
      </c>
      <c r="J172">
        <v>478</v>
      </c>
      <c r="K172">
        <f t="shared" si="4"/>
        <v>5.7789942730036756</v>
      </c>
      <c r="L172">
        <v>298256</v>
      </c>
      <c r="M172">
        <v>332099</v>
      </c>
      <c r="N172">
        <f t="shared" si="5"/>
        <v>11.346963682205891</v>
      </c>
      <c r="O172">
        <v>45861</v>
      </c>
      <c r="P172">
        <v>45877</v>
      </c>
      <c r="Q172" t="s">
        <v>21</v>
      </c>
    </row>
    <row r="173" spans="1:17" x14ac:dyDescent="0.3">
      <c r="A173" t="s">
        <v>224</v>
      </c>
      <c r="B173" t="s">
        <v>18</v>
      </c>
      <c r="C173" t="s">
        <v>19</v>
      </c>
      <c r="D173" t="s">
        <v>40</v>
      </c>
      <c r="E173">
        <v>987760</v>
      </c>
      <c r="F173">
        <v>421104</v>
      </c>
      <c r="G173">
        <v>1200869</v>
      </c>
      <c r="H173">
        <v>55274</v>
      </c>
      <c r="I173">
        <v>2857</v>
      </c>
      <c r="J173">
        <v>2976</v>
      </c>
      <c r="K173">
        <f t="shared" si="4"/>
        <v>14.511142140658839</v>
      </c>
      <c r="L173">
        <v>486092</v>
      </c>
      <c r="M173">
        <v>1185580</v>
      </c>
      <c r="N173">
        <f t="shared" si="5"/>
        <v>143.90033162446616</v>
      </c>
      <c r="O173">
        <v>46137</v>
      </c>
      <c r="P173">
        <v>46148</v>
      </c>
      <c r="Q173" t="s">
        <v>47</v>
      </c>
    </row>
    <row r="174" spans="1:17" x14ac:dyDescent="0.3">
      <c r="A174" t="s">
        <v>225</v>
      </c>
      <c r="B174" t="s">
        <v>103</v>
      </c>
      <c r="C174" t="s">
        <v>19</v>
      </c>
      <c r="D174" t="s">
        <v>29</v>
      </c>
      <c r="E174">
        <v>988195</v>
      </c>
      <c r="F174">
        <v>555489</v>
      </c>
      <c r="G174">
        <v>1596208</v>
      </c>
      <c r="H174">
        <v>66784</v>
      </c>
      <c r="I174">
        <v>4724</v>
      </c>
      <c r="J174">
        <v>4196</v>
      </c>
      <c r="K174">
        <f t="shared" si="4"/>
        <v>13.628352676650662</v>
      </c>
      <c r="L174">
        <v>431770</v>
      </c>
      <c r="M174">
        <v>2075659</v>
      </c>
      <c r="N174">
        <f t="shared" si="5"/>
        <v>380.73256594946383</v>
      </c>
      <c r="O174">
        <v>46009</v>
      </c>
      <c r="P174">
        <v>46024</v>
      </c>
      <c r="Q174" t="s">
        <v>25</v>
      </c>
    </row>
    <row r="175" spans="1:17" x14ac:dyDescent="0.3">
      <c r="A175" t="s">
        <v>226</v>
      </c>
      <c r="B175" t="s">
        <v>103</v>
      </c>
      <c r="C175" t="s">
        <v>43</v>
      </c>
      <c r="D175" t="s">
        <v>24</v>
      </c>
      <c r="E175">
        <v>934900</v>
      </c>
      <c r="F175">
        <v>460845</v>
      </c>
      <c r="G175">
        <v>677176</v>
      </c>
      <c r="H175">
        <v>41250</v>
      </c>
      <c r="I175">
        <v>4715</v>
      </c>
      <c r="J175">
        <v>1780</v>
      </c>
      <c r="K175">
        <f t="shared" si="4"/>
        <v>10.360316375353969</v>
      </c>
      <c r="L175">
        <v>461574</v>
      </c>
      <c r="M175">
        <v>1216696</v>
      </c>
      <c r="N175">
        <f t="shared" si="5"/>
        <v>163.59716968460097</v>
      </c>
      <c r="O175">
        <v>45860</v>
      </c>
      <c r="P175">
        <v>45868</v>
      </c>
      <c r="Q175" t="s">
        <v>34</v>
      </c>
    </row>
    <row r="176" spans="1:17" x14ac:dyDescent="0.3">
      <c r="A176" t="s">
        <v>227</v>
      </c>
      <c r="B176" t="s">
        <v>103</v>
      </c>
      <c r="C176" t="s">
        <v>43</v>
      </c>
      <c r="D176" t="s">
        <v>24</v>
      </c>
      <c r="E176">
        <v>972554</v>
      </c>
      <c r="F176">
        <v>375985</v>
      </c>
      <c r="G176">
        <v>946013</v>
      </c>
      <c r="H176">
        <v>24101</v>
      </c>
      <c r="I176">
        <v>3109</v>
      </c>
      <c r="J176">
        <v>1837</v>
      </c>
      <c r="K176">
        <f t="shared" si="4"/>
        <v>7.7255741585435596</v>
      </c>
      <c r="L176">
        <v>470807</v>
      </c>
      <c r="M176">
        <v>1895831</v>
      </c>
      <c r="N176">
        <f t="shared" si="5"/>
        <v>302.67689307932977</v>
      </c>
      <c r="O176">
        <v>46079</v>
      </c>
      <c r="P176">
        <v>46094</v>
      </c>
      <c r="Q176" t="s">
        <v>47</v>
      </c>
    </row>
    <row r="177" spans="1:17" x14ac:dyDescent="0.3">
      <c r="A177" t="s">
        <v>228</v>
      </c>
      <c r="B177" t="s">
        <v>49</v>
      </c>
      <c r="C177" t="s">
        <v>43</v>
      </c>
      <c r="D177" t="s">
        <v>29</v>
      </c>
      <c r="E177">
        <v>1510888</v>
      </c>
      <c r="F177">
        <v>1165155</v>
      </c>
      <c r="G177">
        <v>2823255</v>
      </c>
      <c r="H177">
        <v>131978</v>
      </c>
      <c r="I177">
        <v>13874</v>
      </c>
      <c r="J177">
        <v>8051</v>
      </c>
      <c r="K177">
        <f t="shared" si="4"/>
        <v>13.208800545850123</v>
      </c>
      <c r="L177">
        <v>454951</v>
      </c>
      <c r="M177">
        <v>1293284</v>
      </c>
      <c r="N177">
        <f t="shared" si="5"/>
        <v>184.26885532727698</v>
      </c>
      <c r="O177">
        <v>45955</v>
      </c>
      <c r="P177">
        <v>45970</v>
      </c>
      <c r="Q177" t="s">
        <v>47</v>
      </c>
    </row>
    <row r="178" spans="1:17" x14ac:dyDescent="0.3">
      <c r="A178" t="s">
        <v>229</v>
      </c>
      <c r="B178" t="s">
        <v>49</v>
      </c>
      <c r="C178" t="s">
        <v>19</v>
      </c>
      <c r="D178" t="s">
        <v>72</v>
      </c>
      <c r="E178">
        <v>379072</v>
      </c>
      <c r="F178">
        <v>132948</v>
      </c>
      <c r="G178">
        <v>255194</v>
      </c>
      <c r="H178">
        <v>3960</v>
      </c>
      <c r="I178">
        <v>269</v>
      </c>
      <c r="J178">
        <v>79</v>
      </c>
      <c r="K178">
        <f t="shared" si="4"/>
        <v>3.2403646538496256</v>
      </c>
      <c r="L178">
        <v>98400</v>
      </c>
      <c r="M178">
        <v>205265</v>
      </c>
      <c r="N178">
        <f t="shared" si="5"/>
        <v>108.60264227642276</v>
      </c>
      <c r="O178">
        <v>45687</v>
      </c>
      <c r="P178">
        <v>45700</v>
      </c>
      <c r="Q178" t="s">
        <v>34</v>
      </c>
    </row>
    <row r="179" spans="1:17" x14ac:dyDescent="0.3">
      <c r="A179" t="s">
        <v>230</v>
      </c>
      <c r="B179" t="s">
        <v>63</v>
      </c>
      <c r="C179" t="s">
        <v>33</v>
      </c>
      <c r="D179" t="s">
        <v>72</v>
      </c>
      <c r="E179">
        <v>975519</v>
      </c>
      <c r="F179">
        <v>475585</v>
      </c>
      <c r="G179">
        <v>1289028</v>
      </c>
      <c r="H179">
        <v>44242</v>
      </c>
      <c r="I179">
        <v>3363</v>
      </c>
      <c r="J179">
        <v>4389</v>
      </c>
      <c r="K179">
        <f t="shared" si="4"/>
        <v>10.932640852844392</v>
      </c>
      <c r="L179">
        <v>256864</v>
      </c>
      <c r="M179">
        <v>389338</v>
      </c>
      <c r="N179">
        <f t="shared" si="5"/>
        <v>51.573595365640955</v>
      </c>
      <c r="O179">
        <v>46098</v>
      </c>
      <c r="P179">
        <v>46117</v>
      </c>
      <c r="Q179" t="s">
        <v>78</v>
      </c>
    </row>
    <row r="180" spans="1:17" x14ac:dyDescent="0.3">
      <c r="A180" t="s">
        <v>231</v>
      </c>
      <c r="B180" t="s">
        <v>36</v>
      </c>
      <c r="C180" t="s">
        <v>19</v>
      </c>
      <c r="D180" t="s">
        <v>29</v>
      </c>
      <c r="E180">
        <v>917852</v>
      </c>
      <c r="F180">
        <v>423859</v>
      </c>
      <c r="G180">
        <v>656485</v>
      </c>
      <c r="H180">
        <v>12933</v>
      </c>
      <c r="I180">
        <v>804</v>
      </c>
      <c r="J180">
        <v>1269</v>
      </c>
      <c r="K180">
        <f t="shared" si="4"/>
        <v>3.5403282695424658</v>
      </c>
      <c r="L180">
        <v>245241</v>
      </c>
      <c r="M180">
        <v>1219343</v>
      </c>
      <c r="N180">
        <f t="shared" si="5"/>
        <v>397.20193605473798</v>
      </c>
      <c r="O180">
        <v>45804</v>
      </c>
      <c r="P180">
        <v>45827</v>
      </c>
      <c r="Q180" t="s">
        <v>34</v>
      </c>
    </row>
    <row r="181" spans="1:17" x14ac:dyDescent="0.3">
      <c r="A181" t="s">
        <v>232</v>
      </c>
      <c r="B181" t="s">
        <v>27</v>
      </c>
      <c r="C181" t="s">
        <v>28</v>
      </c>
      <c r="D181" t="s">
        <v>58</v>
      </c>
      <c r="E181">
        <v>1541946</v>
      </c>
      <c r="F181">
        <v>428152</v>
      </c>
      <c r="G181">
        <v>954186</v>
      </c>
      <c r="H181">
        <v>61087</v>
      </c>
      <c r="I181">
        <v>4083</v>
      </c>
      <c r="J181">
        <v>5618</v>
      </c>
      <c r="K181">
        <f t="shared" si="4"/>
        <v>16.533380668547618</v>
      </c>
      <c r="L181">
        <v>28614</v>
      </c>
      <c r="M181">
        <v>68241</v>
      </c>
      <c r="N181">
        <f t="shared" si="5"/>
        <v>138.48815265254771</v>
      </c>
      <c r="O181">
        <v>45978</v>
      </c>
      <c r="P181">
        <v>46007</v>
      </c>
      <c r="Q181" t="s">
        <v>30</v>
      </c>
    </row>
    <row r="182" spans="1:17" x14ac:dyDescent="0.3">
      <c r="A182" t="s">
        <v>233</v>
      </c>
      <c r="B182" t="s">
        <v>61</v>
      </c>
      <c r="C182" t="s">
        <v>37</v>
      </c>
      <c r="D182" t="s">
        <v>72</v>
      </c>
      <c r="E182">
        <v>1911670</v>
      </c>
      <c r="F182">
        <v>524398</v>
      </c>
      <c r="G182">
        <v>1171894</v>
      </c>
      <c r="H182">
        <v>63521</v>
      </c>
      <c r="I182">
        <v>6699</v>
      </c>
      <c r="J182">
        <v>4591</v>
      </c>
      <c r="K182">
        <f t="shared" si="4"/>
        <v>14.266072715761693</v>
      </c>
      <c r="L182">
        <v>330068</v>
      </c>
      <c r="M182">
        <v>839529</v>
      </c>
      <c r="N182">
        <f t="shared" si="5"/>
        <v>154.35031569252396</v>
      </c>
      <c r="O182">
        <v>46155</v>
      </c>
      <c r="P182">
        <v>46185</v>
      </c>
      <c r="Q182" t="s">
        <v>30</v>
      </c>
    </row>
    <row r="183" spans="1:17" x14ac:dyDescent="0.3">
      <c r="A183" t="s">
        <v>234</v>
      </c>
      <c r="B183" t="s">
        <v>32</v>
      </c>
      <c r="C183" t="s">
        <v>28</v>
      </c>
      <c r="D183" t="s">
        <v>20</v>
      </c>
      <c r="E183">
        <v>1811145</v>
      </c>
      <c r="F183">
        <v>884515</v>
      </c>
      <c r="G183">
        <v>1023183</v>
      </c>
      <c r="H183">
        <v>100858</v>
      </c>
      <c r="I183">
        <v>10371</v>
      </c>
      <c r="J183">
        <v>7042</v>
      </c>
      <c r="K183">
        <f t="shared" si="4"/>
        <v>13.371282567282636</v>
      </c>
      <c r="L183">
        <v>413807</v>
      </c>
      <c r="M183">
        <v>1047787</v>
      </c>
      <c r="N183">
        <f t="shared" si="5"/>
        <v>153.20668814205655</v>
      </c>
      <c r="O183">
        <v>45721</v>
      </c>
      <c r="P183">
        <v>45728</v>
      </c>
      <c r="Q183" t="s">
        <v>78</v>
      </c>
    </row>
    <row r="184" spans="1:17" x14ac:dyDescent="0.3">
      <c r="A184" t="s">
        <v>235</v>
      </c>
      <c r="B184" t="s">
        <v>61</v>
      </c>
      <c r="C184" t="s">
        <v>37</v>
      </c>
      <c r="D184" t="s">
        <v>20</v>
      </c>
      <c r="E184">
        <v>180982</v>
      </c>
      <c r="F184">
        <v>69366</v>
      </c>
      <c r="G184">
        <v>200856</v>
      </c>
      <c r="H184">
        <v>7138</v>
      </c>
      <c r="I184">
        <v>220</v>
      </c>
      <c r="J184">
        <v>634</v>
      </c>
      <c r="K184">
        <f t="shared" si="4"/>
        <v>11.521494680390971</v>
      </c>
      <c r="L184">
        <v>197054</v>
      </c>
      <c r="M184">
        <v>608296</v>
      </c>
      <c r="N184">
        <f t="shared" si="5"/>
        <v>208.69507850639928</v>
      </c>
      <c r="O184">
        <v>46124</v>
      </c>
      <c r="P184">
        <v>46134</v>
      </c>
      <c r="Q184" t="s">
        <v>34</v>
      </c>
    </row>
    <row r="185" spans="1:17" x14ac:dyDescent="0.3">
      <c r="A185" t="s">
        <v>236</v>
      </c>
      <c r="B185" t="s">
        <v>27</v>
      </c>
      <c r="C185" t="s">
        <v>28</v>
      </c>
      <c r="D185" t="s">
        <v>51</v>
      </c>
      <c r="E185">
        <v>261525</v>
      </c>
      <c r="F185">
        <v>98359</v>
      </c>
      <c r="G185">
        <v>293630</v>
      </c>
      <c r="H185">
        <v>3963</v>
      </c>
      <c r="I185">
        <v>132</v>
      </c>
      <c r="J185">
        <v>98</v>
      </c>
      <c r="K185">
        <f t="shared" si="4"/>
        <v>4.2629550930773998</v>
      </c>
      <c r="L185">
        <v>46424</v>
      </c>
      <c r="M185">
        <v>154807</v>
      </c>
      <c r="N185">
        <f t="shared" si="5"/>
        <v>233.46329484749268</v>
      </c>
      <c r="O185">
        <v>46092</v>
      </c>
      <c r="P185">
        <v>46113</v>
      </c>
      <c r="Q185" t="s">
        <v>47</v>
      </c>
    </row>
    <row r="186" spans="1:17" x14ac:dyDescent="0.3">
      <c r="A186" t="s">
        <v>237</v>
      </c>
      <c r="B186" t="s">
        <v>61</v>
      </c>
      <c r="C186" t="s">
        <v>33</v>
      </c>
      <c r="D186" t="s">
        <v>51</v>
      </c>
      <c r="E186">
        <v>1896439</v>
      </c>
      <c r="F186">
        <v>1321074</v>
      </c>
      <c r="G186">
        <v>2955345</v>
      </c>
      <c r="H186">
        <v>132724</v>
      </c>
      <c r="I186">
        <v>13725</v>
      </c>
      <c r="J186">
        <v>10238</v>
      </c>
      <c r="K186">
        <f t="shared" si="4"/>
        <v>11.860577075924589</v>
      </c>
      <c r="L186">
        <v>86078</v>
      </c>
      <c r="M186">
        <v>218815</v>
      </c>
      <c r="N186">
        <f t="shared" si="5"/>
        <v>154.20548804572599</v>
      </c>
      <c r="O186">
        <v>46046</v>
      </c>
      <c r="P186">
        <v>46061</v>
      </c>
      <c r="Q186" t="s">
        <v>47</v>
      </c>
    </row>
    <row r="187" spans="1:17" x14ac:dyDescent="0.3">
      <c r="A187" t="s">
        <v>238</v>
      </c>
      <c r="B187" t="s">
        <v>49</v>
      </c>
      <c r="C187" t="s">
        <v>19</v>
      </c>
      <c r="D187" t="s">
        <v>29</v>
      </c>
      <c r="E187">
        <v>1085776</v>
      </c>
      <c r="F187">
        <v>889042</v>
      </c>
      <c r="G187">
        <v>2235770</v>
      </c>
      <c r="H187">
        <v>51182</v>
      </c>
      <c r="I187">
        <v>6410</v>
      </c>
      <c r="J187">
        <v>1420</v>
      </c>
      <c r="K187">
        <f t="shared" si="4"/>
        <v>6.6377066550286719</v>
      </c>
      <c r="L187">
        <v>381577</v>
      </c>
      <c r="M187">
        <v>1030899</v>
      </c>
      <c r="N187">
        <f t="shared" si="5"/>
        <v>170.16801327124014</v>
      </c>
      <c r="O187">
        <v>45742</v>
      </c>
      <c r="P187">
        <v>45764</v>
      </c>
      <c r="Q187" t="s">
        <v>21</v>
      </c>
    </row>
    <row r="188" spans="1:17" x14ac:dyDescent="0.3">
      <c r="A188" t="s">
        <v>239</v>
      </c>
      <c r="B188" t="s">
        <v>23</v>
      </c>
      <c r="C188" t="s">
        <v>19</v>
      </c>
      <c r="D188" t="s">
        <v>20</v>
      </c>
      <c r="E188">
        <v>1693344</v>
      </c>
      <c r="F188">
        <v>1044491</v>
      </c>
      <c r="G188">
        <v>1239915</v>
      </c>
      <c r="H188">
        <v>44459</v>
      </c>
      <c r="I188">
        <v>5391</v>
      </c>
      <c r="J188">
        <v>4357</v>
      </c>
      <c r="K188">
        <f t="shared" si="4"/>
        <v>5.1898005822931932</v>
      </c>
      <c r="L188">
        <v>16111</v>
      </c>
      <c r="M188">
        <v>25880</v>
      </c>
      <c r="N188">
        <f t="shared" si="5"/>
        <v>60.635590590279932</v>
      </c>
      <c r="O188">
        <v>45747</v>
      </c>
      <c r="P188">
        <v>45767</v>
      </c>
      <c r="Q188" t="s">
        <v>78</v>
      </c>
    </row>
    <row r="189" spans="1:17" x14ac:dyDescent="0.3">
      <c r="A189" t="s">
        <v>240</v>
      </c>
      <c r="B189" t="s">
        <v>49</v>
      </c>
      <c r="C189" t="s">
        <v>28</v>
      </c>
      <c r="D189" t="s">
        <v>40</v>
      </c>
      <c r="E189">
        <v>883853</v>
      </c>
      <c r="F189">
        <v>365511</v>
      </c>
      <c r="G189">
        <v>758615</v>
      </c>
      <c r="H189">
        <v>12694</v>
      </c>
      <c r="I189">
        <v>794</v>
      </c>
      <c r="J189">
        <v>1222</v>
      </c>
      <c r="K189">
        <f t="shared" si="4"/>
        <v>4.0245026825458057</v>
      </c>
      <c r="L189">
        <v>409380</v>
      </c>
      <c r="M189">
        <v>880820</v>
      </c>
      <c r="N189">
        <f t="shared" si="5"/>
        <v>115.15950950217402</v>
      </c>
      <c r="O189">
        <v>45776</v>
      </c>
      <c r="P189">
        <v>45803</v>
      </c>
      <c r="Q189" t="s">
        <v>30</v>
      </c>
    </row>
    <row r="190" spans="1:17" x14ac:dyDescent="0.3">
      <c r="A190" t="s">
        <v>241</v>
      </c>
      <c r="B190" t="s">
        <v>80</v>
      </c>
      <c r="C190" t="s">
        <v>43</v>
      </c>
      <c r="D190" t="s">
        <v>24</v>
      </c>
      <c r="E190">
        <v>938552</v>
      </c>
      <c r="F190">
        <v>698157</v>
      </c>
      <c r="G190">
        <v>1221649</v>
      </c>
      <c r="H190">
        <v>92608</v>
      </c>
      <c r="I190">
        <v>10335</v>
      </c>
      <c r="J190">
        <v>8754</v>
      </c>
      <c r="K190">
        <f t="shared" si="4"/>
        <v>15.998836937823441</v>
      </c>
      <c r="L190">
        <v>247979</v>
      </c>
      <c r="M190">
        <v>1149225</v>
      </c>
      <c r="N190">
        <f t="shared" si="5"/>
        <v>363.43642001943715</v>
      </c>
      <c r="O190">
        <v>46029</v>
      </c>
      <c r="P190">
        <v>46039</v>
      </c>
      <c r="Q190" t="s">
        <v>30</v>
      </c>
    </row>
    <row r="191" spans="1:17" x14ac:dyDescent="0.3">
      <c r="A191" t="s">
        <v>242</v>
      </c>
      <c r="B191" t="s">
        <v>36</v>
      </c>
      <c r="C191" t="s">
        <v>37</v>
      </c>
      <c r="D191" t="s">
        <v>20</v>
      </c>
      <c r="E191">
        <v>1607251</v>
      </c>
      <c r="F191">
        <v>492069</v>
      </c>
      <c r="G191">
        <v>1273649</v>
      </c>
      <c r="H191">
        <v>25104</v>
      </c>
      <c r="I191">
        <v>1353</v>
      </c>
      <c r="J191">
        <v>1767</v>
      </c>
      <c r="K191">
        <f t="shared" si="4"/>
        <v>5.735780957548636</v>
      </c>
      <c r="L191">
        <v>334127</v>
      </c>
      <c r="M191">
        <v>1421720</v>
      </c>
      <c r="N191">
        <f t="shared" si="5"/>
        <v>325.50287764831933</v>
      </c>
      <c r="O191">
        <v>45724</v>
      </c>
      <c r="P191">
        <v>45741</v>
      </c>
      <c r="Q191" t="s">
        <v>25</v>
      </c>
    </row>
    <row r="192" spans="1:17" x14ac:dyDescent="0.3">
      <c r="A192" t="s">
        <v>243</v>
      </c>
      <c r="B192" t="s">
        <v>61</v>
      </c>
      <c r="C192" t="s">
        <v>37</v>
      </c>
      <c r="D192" t="s">
        <v>46</v>
      </c>
      <c r="E192">
        <v>1111496</v>
      </c>
      <c r="F192">
        <v>978370</v>
      </c>
      <c r="G192">
        <v>2769869</v>
      </c>
      <c r="H192">
        <v>44687</v>
      </c>
      <c r="I192">
        <v>1436</v>
      </c>
      <c r="J192">
        <v>1310</v>
      </c>
      <c r="K192">
        <f t="shared" si="4"/>
        <v>4.8481658268344292</v>
      </c>
      <c r="L192">
        <v>201788</v>
      </c>
      <c r="M192">
        <v>498616</v>
      </c>
      <c r="N192">
        <f t="shared" si="5"/>
        <v>147.09893551648264</v>
      </c>
      <c r="O192">
        <v>46046</v>
      </c>
      <c r="P192">
        <v>46061</v>
      </c>
      <c r="Q192" t="s">
        <v>25</v>
      </c>
    </row>
    <row r="193" spans="1:17" x14ac:dyDescent="0.3">
      <c r="A193" t="s">
        <v>244</v>
      </c>
      <c r="B193" t="s">
        <v>80</v>
      </c>
      <c r="C193" t="s">
        <v>37</v>
      </c>
      <c r="D193" t="s">
        <v>58</v>
      </c>
      <c r="E193">
        <v>506335</v>
      </c>
      <c r="F193">
        <v>292088</v>
      </c>
      <c r="G193">
        <v>453057</v>
      </c>
      <c r="H193">
        <v>21317</v>
      </c>
      <c r="I193">
        <v>2301</v>
      </c>
      <c r="J193">
        <v>792</v>
      </c>
      <c r="K193">
        <f t="shared" si="4"/>
        <v>8.3570704719125732</v>
      </c>
      <c r="L193">
        <v>489968</v>
      </c>
      <c r="M193">
        <v>2249708</v>
      </c>
      <c r="N193">
        <f t="shared" si="5"/>
        <v>359.15406720438887</v>
      </c>
      <c r="O193">
        <v>46094</v>
      </c>
      <c r="P193">
        <v>46115</v>
      </c>
      <c r="Q193" t="s">
        <v>21</v>
      </c>
    </row>
    <row r="194" spans="1:17" x14ac:dyDescent="0.3">
      <c r="A194" t="s">
        <v>245</v>
      </c>
      <c r="B194" t="s">
        <v>63</v>
      </c>
      <c r="C194" t="s">
        <v>43</v>
      </c>
      <c r="D194" t="s">
        <v>20</v>
      </c>
      <c r="E194">
        <v>1825777</v>
      </c>
      <c r="F194">
        <v>1115099</v>
      </c>
      <c r="G194">
        <v>1701558</v>
      </c>
      <c r="H194">
        <v>58541</v>
      </c>
      <c r="I194">
        <v>4373</v>
      </c>
      <c r="J194">
        <v>3518</v>
      </c>
      <c r="K194">
        <f t="shared" ref="K194:K257" si="6">((H194+I194+J194)/F194)*100</f>
        <v>5.9574979441287281</v>
      </c>
      <c r="L194">
        <v>41378</v>
      </c>
      <c r="M194">
        <v>199241</v>
      </c>
      <c r="N194">
        <f t="shared" ref="N194:N257" si="7">((M194-L194)/L194)*100</f>
        <v>381.51433128715746</v>
      </c>
      <c r="O194">
        <v>45817</v>
      </c>
      <c r="P194">
        <v>45833</v>
      </c>
      <c r="Q194" t="s">
        <v>47</v>
      </c>
    </row>
    <row r="195" spans="1:17" x14ac:dyDescent="0.3">
      <c r="A195" t="s">
        <v>246</v>
      </c>
      <c r="B195" t="s">
        <v>39</v>
      </c>
      <c r="C195" t="s">
        <v>33</v>
      </c>
      <c r="D195" t="s">
        <v>46</v>
      </c>
      <c r="E195">
        <v>244096</v>
      </c>
      <c r="F195">
        <v>98073</v>
      </c>
      <c r="G195">
        <v>282986</v>
      </c>
      <c r="H195">
        <v>7551</v>
      </c>
      <c r="I195">
        <v>670</v>
      </c>
      <c r="J195">
        <v>655</v>
      </c>
      <c r="K195">
        <f t="shared" si="6"/>
        <v>9.0504012317355436</v>
      </c>
      <c r="L195">
        <v>130937</v>
      </c>
      <c r="M195">
        <v>457383</v>
      </c>
      <c r="N195">
        <f t="shared" si="7"/>
        <v>249.31531958117264</v>
      </c>
      <c r="O195">
        <v>45802</v>
      </c>
      <c r="P195">
        <v>45811</v>
      </c>
      <c r="Q195" t="s">
        <v>21</v>
      </c>
    </row>
    <row r="196" spans="1:17" x14ac:dyDescent="0.3">
      <c r="A196" t="s">
        <v>247</v>
      </c>
      <c r="B196" t="s">
        <v>75</v>
      </c>
      <c r="C196" t="s">
        <v>37</v>
      </c>
      <c r="D196" t="s">
        <v>40</v>
      </c>
      <c r="E196">
        <v>977102</v>
      </c>
      <c r="F196">
        <v>566408</v>
      </c>
      <c r="G196">
        <v>962858</v>
      </c>
      <c r="H196">
        <v>84695</v>
      </c>
      <c r="I196">
        <v>10906</v>
      </c>
      <c r="J196">
        <v>6704</v>
      </c>
      <c r="K196">
        <f t="shared" si="6"/>
        <v>18.062068332368185</v>
      </c>
      <c r="L196">
        <v>89539</v>
      </c>
      <c r="M196">
        <v>301679</v>
      </c>
      <c r="N196">
        <f t="shared" si="7"/>
        <v>236.92469203363896</v>
      </c>
      <c r="O196">
        <v>45892</v>
      </c>
      <c r="P196">
        <v>45904</v>
      </c>
      <c r="Q196" t="s">
        <v>78</v>
      </c>
    </row>
    <row r="197" spans="1:17" x14ac:dyDescent="0.3">
      <c r="A197" t="s">
        <v>248</v>
      </c>
      <c r="B197" t="s">
        <v>53</v>
      </c>
      <c r="C197" t="s">
        <v>43</v>
      </c>
      <c r="D197" t="s">
        <v>20</v>
      </c>
      <c r="E197">
        <v>1916776</v>
      </c>
      <c r="F197">
        <v>717363</v>
      </c>
      <c r="G197">
        <v>1936568</v>
      </c>
      <c r="H197">
        <v>46831</v>
      </c>
      <c r="I197">
        <v>6609</v>
      </c>
      <c r="J197">
        <v>2774</v>
      </c>
      <c r="K197">
        <f t="shared" si="6"/>
        <v>7.8362000828032672</v>
      </c>
      <c r="L197">
        <v>166780</v>
      </c>
      <c r="M197">
        <v>329418</v>
      </c>
      <c r="N197">
        <f t="shared" si="7"/>
        <v>97.516488787624411</v>
      </c>
      <c r="O197">
        <v>45964</v>
      </c>
      <c r="P197">
        <v>45977</v>
      </c>
      <c r="Q197" t="s">
        <v>54</v>
      </c>
    </row>
    <row r="198" spans="1:17" x14ac:dyDescent="0.3">
      <c r="A198" t="s">
        <v>249</v>
      </c>
      <c r="B198" t="s">
        <v>63</v>
      </c>
      <c r="C198" t="s">
        <v>28</v>
      </c>
      <c r="D198" t="s">
        <v>40</v>
      </c>
      <c r="E198">
        <v>69358</v>
      </c>
      <c r="F198">
        <v>40778</v>
      </c>
      <c r="G198">
        <v>110579</v>
      </c>
      <c r="H198">
        <v>1087</v>
      </c>
      <c r="I198">
        <v>136</v>
      </c>
      <c r="J198">
        <v>24</v>
      </c>
      <c r="K198">
        <f t="shared" si="6"/>
        <v>3.0580214821717591</v>
      </c>
      <c r="L198">
        <v>349710</v>
      </c>
      <c r="M198">
        <v>564663</v>
      </c>
      <c r="N198">
        <f t="shared" si="7"/>
        <v>61.466071888135886</v>
      </c>
      <c r="O198">
        <v>45900</v>
      </c>
      <c r="P198">
        <v>45916</v>
      </c>
      <c r="Q198" t="s">
        <v>47</v>
      </c>
    </row>
    <row r="199" spans="1:17" x14ac:dyDescent="0.3">
      <c r="A199" t="s">
        <v>250</v>
      </c>
      <c r="B199" t="s">
        <v>103</v>
      </c>
      <c r="C199" t="s">
        <v>19</v>
      </c>
      <c r="D199" t="s">
        <v>72</v>
      </c>
      <c r="E199">
        <v>1607929</v>
      </c>
      <c r="F199">
        <v>581636</v>
      </c>
      <c r="G199">
        <v>1507630</v>
      </c>
      <c r="H199">
        <v>26567</v>
      </c>
      <c r="I199">
        <v>2045</v>
      </c>
      <c r="J199">
        <v>2015</v>
      </c>
      <c r="K199">
        <f t="shared" si="6"/>
        <v>5.2656644361765776</v>
      </c>
      <c r="L199">
        <v>113631</v>
      </c>
      <c r="M199">
        <v>380077</v>
      </c>
      <c r="N199">
        <f t="shared" si="7"/>
        <v>234.48354762344783</v>
      </c>
      <c r="O199">
        <v>45849</v>
      </c>
      <c r="P199">
        <v>45873</v>
      </c>
      <c r="Q199" t="s">
        <v>25</v>
      </c>
    </row>
    <row r="200" spans="1:17" x14ac:dyDescent="0.3">
      <c r="A200" t="s">
        <v>251</v>
      </c>
      <c r="B200" t="s">
        <v>75</v>
      </c>
      <c r="C200" t="s">
        <v>28</v>
      </c>
      <c r="D200" t="s">
        <v>46</v>
      </c>
      <c r="E200">
        <v>844825</v>
      </c>
      <c r="F200">
        <v>321666</v>
      </c>
      <c r="G200">
        <v>668704</v>
      </c>
      <c r="H200">
        <v>38799</v>
      </c>
      <c r="I200">
        <v>5091</v>
      </c>
      <c r="J200">
        <v>3309</v>
      </c>
      <c r="K200">
        <f t="shared" si="6"/>
        <v>14.673294659678051</v>
      </c>
      <c r="L200">
        <v>16826</v>
      </c>
      <c r="M200">
        <v>79771</v>
      </c>
      <c r="N200">
        <f t="shared" si="7"/>
        <v>374.09366456674195</v>
      </c>
      <c r="O200">
        <v>46019</v>
      </c>
      <c r="P200">
        <v>46030</v>
      </c>
      <c r="Q200" t="s">
        <v>30</v>
      </c>
    </row>
    <row r="201" spans="1:17" x14ac:dyDescent="0.3">
      <c r="A201" t="s">
        <v>252</v>
      </c>
      <c r="B201" t="s">
        <v>61</v>
      </c>
      <c r="C201" t="s">
        <v>43</v>
      </c>
      <c r="D201" t="s">
        <v>24</v>
      </c>
      <c r="E201">
        <v>1433402</v>
      </c>
      <c r="F201">
        <v>1227223</v>
      </c>
      <c r="G201">
        <v>1785945</v>
      </c>
      <c r="H201">
        <v>104865</v>
      </c>
      <c r="I201">
        <v>10601</v>
      </c>
      <c r="J201">
        <v>9853</v>
      </c>
      <c r="K201">
        <f t="shared" si="6"/>
        <v>10.211591536338545</v>
      </c>
      <c r="L201">
        <v>223397</v>
      </c>
      <c r="M201">
        <v>247899</v>
      </c>
      <c r="N201">
        <f t="shared" si="7"/>
        <v>10.967918100959279</v>
      </c>
      <c r="O201">
        <v>45784</v>
      </c>
      <c r="P201">
        <v>45814</v>
      </c>
      <c r="Q201" t="s">
        <v>34</v>
      </c>
    </row>
    <row r="202" spans="1:17" x14ac:dyDescent="0.3">
      <c r="A202" t="s">
        <v>253</v>
      </c>
      <c r="B202" t="s">
        <v>53</v>
      </c>
      <c r="C202" t="s">
        <v>43</v>
      </c>
      <c r="D202" t="s">
        <v>24</v>
      </c>
      <c r="E202">
        <v>533948</v>
      </c>
      <c r="F202">
        <v>459867</v>
      </c>
      <c r="G202">
        <v>520342</v>
      </c>
      <c r="H202">
        <v>50019</v>
      </c>
      <c r="I202">
        <v>6828</v>
      </c>
      <c r="J202">
        <v>4337</v>
      </c>
      <c r="K202">
        <f t="shared" si="6"/>
        <v>13.304716363644269</v>
      </c>
      <c r="L202">
        <v>63995</v>
      </c>
      <c r="M202">
        <v>225135</v>
      </c>
      <c r="N202">
        <f t="shared" si="7"/>
        <v>251.80092194702709</v>
      </c>
      <c r="O202">
        <v>46097</v>
      </c>
      <c r="P202">
        <v>46125</v>
      </c>
      <c r="Q202" t="s">
        <v>41</v>
      </c>
    </row>
    <row r="203" spans="1:17" x14ac:dyDescent="0.3">
      <c r="A203" t="s">
        <v>254</v>
      </c>
      <c r="B203" t="s">
        <v>32</v>
      </c>
      <c r="C203" t="s">
        <v>37</v>
      </c>
      <c r="D203" t="s">
        <v>29</v>
      </c>
      <c r="E203">
        <v>92857</v>
      </c>
      <c r="F203">
        <v>54499</v>
      </c>
      <c r="G203">
        <v>123153</v>
      </c>
      <c r="H203">
        <v>7407</v>
      </c>
      <c r="I203">
        <v>720</v>
      </c>
      <c r="J203">
        <v>259</v>
      </c>
      <c r="K203">
        <f t="shared" si="6"/>
        <v>15.387438301620213</v>
      </c>
      <c r="L203">
        <v>105348</v>
      </c>
      <c r="M203">
        <v>441520</v>
      </c>
      <c r="N203">
        <f t="shared" si="7"/>
        <v>319.10620040247562</v>
      </c>
      <c r="O203">
        <v>45924</v>
      </c>
      <c r="P203">
        <v>45931</v>
      </c>
      <c r="Q203" t="s">
        <v>41</v>
      </c>
    </row>
    <row r="204" spans="1:17" x14ac:dyDescent="0.3">
      <c r="A204" t="s">
        <v>255</v>
      </c>
      <c r="B204" t="s">
        <v>18</v>
      </c>
      <c r="C204" t="s">
        <v>28</v>
      </c>
      <c r="D204" t="s">
        <v>46</v>
      </c>
      <c r="E204">
        <v>227439</v>
      </c>
      <c r="F204">
        <v>177637</v>
      </c>
      <c r="G204">
        <v>455785</v>
      </c>
      <c r="H204">
        <v>18137</v>
      </c>
      <c r="I204">
        <v>2272</v>
      </c>
      <c r="J204">
        <v>1109</v>
      </c>
      <c r="K204">
        <f t="shared" si="6"/>
        <v>12.113467351959333</v>
      </c>
      <c r="L204">
        <v>342980</v>
      </c>
      <c r="M204">
        <v>581807</v>
      </c>
      <c r="N204">
        <f t="shared" si="7"/>
        <v>69.632923202519095</v>
      </c>
      <c r="O204">
        <v>45982</v>
      </c>
      <c r="P204">
        <v>45992</v>
      </c>
      <c r="Q204" t="s">
        <v>41</v>
      </c>
    </row>
    <row r="205" spans="1:17" x14ac:dyDescent="0.3">
      <c r="A205" t="s">
        <v>256</v>
      </c>
      <c r="B205" t="s">
        <v>32</v>
      </c>
      <c r="C205" t="s">
        <v>43</v>
      </c>
      <c r="D205" t="s">
        <v>46</v>
      </c>
      <c r="E205">
        <v>466760</v>
      </c>
      <c r="F205">
        <v>206458</v>
      </c>
      <c r="G205">
        <v>249903</v>
      </c>
      <c r="H205">
        <v>17903</v>
      </c>
      <c r="I205">
        <v>699</v>
      </c>
      <c r="J205">
        <v>1663</v>
      </c>
      <c r="K205">
        <f t="shared" si="6"/>
        <v>9.8155557062453376</v>
      </c>
      <c r="L205">
        <v>450463</v>
      </c>
      <c r="M205">
        <v>1347391</v>
      </c>
      <c r="N205">
        <f t="shared" si="7"/>
        <v>199.11246872662127</v>
      </c>
      <c r="O205">
        <v>45927</v>
      </c>
      <c r="P205">
        <v>45940</v>
      </c>
      <c r="Q205" t="s">
        <v>54</v>
      </c>
    </row>
    <row r="206" spans="1:17" x14ac:dyDescent="0.3">
      <c r="A206" t="s">
        <v>257</v>
      </c>
      <c r="B206" t="s">
        <v>39</v>
      </c>
      <c r="C206" t="s">
        <v>33</v>
      </c>
      <c r="D206" t="s">
        <v>40</v>
      </c>
      <c r="E206">
        <v>1867806</v>
      </c>
      <c r="F206">
        <v>823853</v>
      </c>
      <c r="G206">
        <v>1744136</v>
      </c>
      <c r="H206">
        <v>22650</v>
      </c>
      <c r="I206">
        <v>1972</v>
      </c>
      <c r="J206">
        <v>1202</v>
      </c>
      <c r="K206">
        <f t="shared" si="6"/>
        <v>3.1345397783342417</v>
      </c>
      <c r="L206">
        <v>475223</v>
      </c>
      <c r="M206">
        <v>1278853</v>
      </c>
      <c r="N206">
        <f t="shared" si="7"/>
        <v>169.10587240095703</v>
      </c>
      <c r="O206">
        <v>45879</v>
      </c>
      <c r="P206">
        <v>45907</v>
      </c>
      <c r="Q206" t="s">
        <v>47</v>
      </c>
    </row>
    <row r="207" spans="1:17" x14ac:dyDescent="0.3">
      <c r="A207" t="s">
        <v>258</v>
      </c>
      <c r="B207" t="s">
        <v>80</v>
      </c>
      <c r="C207" t="s">
        <v>37</v>
      </c>
      <c r="D207" t="s">
        <v>58</v>
      </c>
      <c r="E207">
        <v>1175142</v>
      </c>
      <c r="F207">
        <v>700199</v>
      </c>
      <c r="G207">
        <v>1824546</v>
      </c>
      <c r="H207">
        <v>25888</v>
      </c>
      <c r="I207">
        <v>2149</v>
      </c>
      <c r="J207">
        <v>1911</v>
      </c>
      <c r="K207">
        <f t="shared" si="6"/>
        <v>4.2770698044413091</v>
      </c>
      <c r="L207">
        <v>18105</v>
      </c>
      <c r="M207">
        <v>31098</v>
      </c>
      <c r="N207">
        <f t="shared" si="7"/>
        <v>71.764705882352942</v>
      </c>
      <c r="O207">
        <v>46046</v>
      </c>
      <c r="P207">
        <v>46070</v>
      </c>
      <c r="Q207" t="s">
        <v>25</v>
      </c>
    </row>
    <row r="208" spans="1:17" x14ac:dyDescent="0.3">
      <c r="A208" t="s">
        <v>259</v>
      </c>
      <c r="B208" t="s">
        <v>103</v>
      </c>
      <c r="C208" t="s">
        <v>37</v>
      </c>
      <c r="D208" t="s">
        <v>46</v>
      </c>
      <c r="E208">
        <v>665753</v>
      </c>
      <c r="F208">
        <v>528909</v>
      </c>
      <c r="G208">
        <v>1375402</v>
      </c>
      <c r="H208">
        <v>52827</v>
      </c>
      <c r="I208">
        <v>5984</v>
      </c>
      <c r="J208">
        <v>4327</v>
      </c>
      <c r="K208">
        <f t="shared" si="6"/>
        <v>11.937403220591822</v>
      </c>
      <c r="L208">
        <v>136030</v>
      </c>
      <c r="M208">
        <v>475038</v>
      </c>
      <c r="N208">
        <f t="shared" si="7"/>
        <v>249.21561420274938</v>
      </c>
      <c r="O208">
        <v>45850</v>
      </c>
      <c r="P208">
        <v>45868</v>
      </c>
      <c r="Q208" t="s">
        <v>78</v>
      </c>
    </row>
    <row r="209" spans="1:17" x14ac:dyDescent="0.3">
      <c r="A209" t="s">
        <v>260</v>
      </c>
      <c r="B209" t="s">
        <v>23</v>
      </c>
      <c r="C209" t="s">
        <v>43</v>
      </c>
      <c r="D209" t="s">
        <v>46</v>
      </c>
      <c r="E209">
        <v>1290027</v>
      </c>
      <c r="F209">
        <v>753331</v>
      </c>
      <c r="G209">
        <v>1208778</v>
      </c>
      <c r="H209">
        <v>100630</v>
      </c>
      <c r="I209">
        <v>8556</v>
      </c>
      <c r="J209">
        <v>8019</v>
      </c>
      <c r="K209">
        <f t="shared" si="6"/>
        <v>15.558234029928411</v>
      </c>
      <c r="L209">
        <v>477998</v>
      </c>
      <c r="M209">
        <v>1889403</v>
      </c>
      <c r="N209">
        <f t="shared" si="7"/>
        <v>295.27424800940588</v>
      </c>
      <c r="O209">
        <v>45800</v>
      </c>
      <c r="P209">
        <v>45817</v>
      </c>
      <c r="Q209" t="s">
        <v>25</v>
      </c>
    </row>
    <row r="210" spans="1:17" x14ac:dyDescent="0.3">
      <c r="A210" t="s">
        <v>261</v>
      </c>
      <c r="B210" t="s">
        <v>27</v>
      </c>
      <c r="C210" t="s">
        <v>28</v>
      </c>
      <c r="D210" t="s">
        <v>20</v>
      </c>
      <c r="E210">
        <v>1673030</v>
      </c>
      <c r="F210">
        <v>508483</v>
      </c>
      <c r="G210">
        <v>1496834</v>
      </c>
      <c r="H210">
        <v>34039</v>
      </c>
      <c r="I210">
        <v>4724</v>
      </c>
      <c r="J210">
        <v>2531</v>
      </c>
      <c r="K210">
        <f t="shared" si="6"/>
        <v>8.1210187951219606</v>
      </c>
      <c r="L210">
        <v>246122</v>
      </c>
      <c r="M210">
        <v>918789</v>
      </c>
      <c r="N210">
        <f t="shared" si="7"/>
        <v>273.30632775615345</v>
      </c>
      <c r="O210">
        <v>45700</v>
      </c>
      <c r="P210">
        <v>45717</v>
      </c>
      <c r="Q210" t="s">
        <v>21</v>
      </c>
    </row>
    <row r="211" spans="1:17" x14ac:dyDescent="0.3">
      <c r="A211" t="s">
        <v>262</v>
      </c>
      <c r="B211" t="s">
        <v>23</v>
      </c>
      <c r="C211" t="s">
        <v>43</v>
      </c>
      <c r="D211" t="s">
        <v>20</v>
      </c>
      <c r="E211">
        <v>1314889</v>
      </c>
      <c r="F211">
        <v>922966</v>
      </c>
      <c r="G211">
        <v>1715269</v>
      </c>
      <c r="H211">
        <v>21937</v>
      </c>
      <c r="I211">
        <v>2977</v>
      </c>
      <c r="J211">
        <v>910</v>
      </c>
      <c r="K211">
        <f t="shared" si="6"/>
        <v>2.7979362186689434</v>
      </c>
      <c r="L211">
        <v>83730</v>
      </c>
      <c r="M211">
        <v>104095</v>
      </c>
      <c r="N211">
        <f t="shared" si="7"/>
        <v>24.322226203272422</v>
      </c>
      <c r="O211">
        <v>45706</v>
      </c>
      <c r="P211">
        <v>45723</v>
      </c>
      <c r="Q211" t="s">
        <v>30</v>
      </c>
    </row>
    <row r="212" spans="1:17" x14ac:dyDescent="0.3">
      <c r="A212" t="s">
        <v>263</v>
      </c>
      <c r="B212" t="s">
        <v>63</v>
      </c>
      <c r="C212" t="s">
        <v>33</v>
      </c>
      <c r="D212" t="s">
        <v>24</v>
      </c>
      <c r="E212">
        <v>1445758</v>
      </c>
      <c r="F212">
        <v>447218</v>
      </c>
      <c r="G212">
        <v>628700</v>
      </c>
      <c r="H212">
        <v>51575</v>
      </c>
      <c r="I212">
        <v>1694</v>
      </c>
      <c r="J212">
        <v>2059</v>
      </c>
      <c r="K212">
        <f t="shared" si="6"/>
        <v>12.371595061021694</v>
      </c>
      <c r="L212">
        <v>373498</v>
      </c>
      <c r="M212">
        <v>716327</v>
      </c>
      <c r="N212">
        <f t="shared" si="7"/>
        <v>91.78871105066159</v>
      </c>
      <c r="O212">
        <v>45744</v>
      </c>
      <c r="P212">
        <v>45771</v>
      </c>
      <c r="Q212" t="s">
        <v>78</v>
      </c>
    </row>
    <row r="213" spans="1:17" x14ac:dyDescent="0.3">
      <c r="A213" t="s">
        <v>264</v>
      </c>
      <c r="B213" t="s">
        <v>49</v>
      </c>
      <c r="C213" t="s">
        <v>43</v>
      </c>
      <c r="D213" t="s">
        <v>72</v>
      </c>
      <c r="E213">
        <v>1903737</v>
      </c>
      <c r="F213">
        <v>851043</v>
      </c>
      <c r="G213">
        <v>2314167</v>
      </c>
      <c r="H213">
        <v>19033</v>
      </c>
      <c r="I213">
        <v>1058</v>
      </c>
      <c r="J213">
        <v>745</v>
      </c>
      <c r="K213">
        <f t="shared" si="6"/>
        <v>2.4482899218958387</v>
      </c>
      <c r="L213">
        <v>158682</v>
      </c>
      <c r="M213">
        <v>354284</v>
      </c>
      <c r="N213">
        <f t="shared" si="7"/>
        <v>123.26665910437227</v>
      </c>
      <c r="O213">
        <v>45665</v>
      </c>
      <c r="P213">
        <v>45681</v>
      </c>
      <c r="Q213" t="s">
        <v>21</v>
      </c>
    </row>
    <row r="214" spans="1:17" x14ac:dyDescent="0.3">
      <c r="A214" t="s">
        <v>265</v>
      </c>
      <c r="B214" t="s">
        <v>61</v>
      </c>
      <c r="C214" t="s">
        <v>37</v>
      </c>
      <c r="D214" t="s">
        <v>40</v>
      </c>
      <c r="E214">
        <v>1839283</v>
      </c>
      <c r="F214">
        <v>1048897</v>
      </c>
      <c r="G214">
        <v>2561657</v>
      </c>
      <c r="H214">
        <v>94555</v>
      </c>
      <c r="I214">
        <v>7266</v>
      </c>
      <c r="J214">
        <v>3361</v>
      </c>
      <c r="K214">
        <f t="shared" si="6"/>
        <v>10.02786736924598</v>
      </c>
      <c r="L214">
        <v>93215</v>
      </c>
      <c r="M214">
        <v>271036</v>
      </c>
      <c r="N214">
        <f t="shared" si="7"/>
        <v>190.76436195891219</v>
      </c>
      <c r="O214">
        <v>46130</v>
      </c>
      <c r="P214">
        <v>46153</v>
      </c>
      <c r="Q214" t="s">
        <v>21</v>
      </c>
    </row>
    <row r="215" spans="1:17" x14ac:dyDescent="0.3">
      <c r="A215" t="s">
        <v>266</v>
      </c>
      <c r="B215" t="s">
        <v>45</v>
      </c>
      <c r="C215" t="s">
        <v>19</v>
      </c>
      <c r="D215" t="s">
        <v>51</v>
      </c>
      <c r="E215">
        <v>557266</v>
      </c>
      <c r="F215">
        <v>466814</v>
      </c>
      <c r="G215">
        <v>1330577</v>
      </c>
      <c r="H215">
        <v>25627</v>
      </c>
      <c r="I215">
        <v>3280</v>
      </c>
      <c r="J215">
        <v>514</v>
      </c>
      <c r="K215">
        <f t="shared" si="6"/>
        <v>6.3025102074916353</v>
      </c>
      <c r="L215">
        <v>413887</v>
      </c>
      <c r="M215">
        <v>1111364</v>
      </c>
      <c r="N215">
        <f t="shared" si="7"/>
        <v>168.51870196454587</v>
      </c>
      <c r="O215">
        <v>45824</v>
      </c>
      <c r="P215">
        <v>45852</v>
      </c>
      <c r="Q215" t="s">
        <v>78</v>
      </c>
    </row>
    <row r="216" spans="1:17" x14ac:dyDescent="0.3">
      <c r="A216" t="s">
        <v>267</v>
      </c>
      <c r="B216" t="s">
        <v>103</v>
      </c>
      <c r="C216" t="s">
        <v>19</v>
      </c>
      <c r="D216" t="s">
        <v>46</v>
      </c>
      <c r="E216">
        <v>1949766</v>
      </c>
      <c r="F216">
        <v>899119</v>
      </c>
      <c r="G216">
        <v>1854676</v>
      </c>
      <c r="H216">
        <v>28607</v>
      </c>
      <c r="I216">
        <v>1307</v>
      </c>
      <c r="J216">
        <v>2408</v>
      </c>
      <c r="K216">
        <f t="shared" si="6"/>
        <v>3.5948522943014218</v>
      </c>
      <c r="L216">
        <v>158076</v>
      </c>
      <c r="M216">
        <v>318982</v>
      </c>
      <c r="N216">
        <f t="shared" si="7"/>
        <v>101.79027809408132</v>
      </c>
      <c r="O216">
        <v>45882</v>
      </c>
      <c r="P216">
        <v>45889</v>
      </c>
      <c r="Q216" t="s">
        <v>78</v>
      </c>
    </row>
    <row r="217" spans="1:17" x14ac:dyDescent="0.3">
      <c r="A217" t="s">
        <v>268</v>
      </c>
      <c r="B217" t="s">
        <v>63</v>
      </c>
      <c r="C217" t="s">
        <v>19</v>
      </c>
      <c r="D217" t="s">
        <v>24</v>
      </c>
      <c r="E217">
        <v>205943</v>
      </c>
      <c r="F217">
        <v>155027</v>
      </c>
      <c r="G217">
        <v>282294</v>
      </c>
      <c r="H217">
        <v>14417</v>
      </c>
      <c r="I217">
        <v>1423</v>
      </c>
      <c r="J217">
        <v>765</v>
      </c>
      <c r="K217">
        <f t="shared" si="6"/>
        <v>10.711037432189231</v>
      </c>
      <c r="L217">
        <v>58006</v>
      </c>
      <c r="M217">
        <v>240853</v>
      </c>
      <c r="N217">
        <f t="shared" si="7"/>
        <v>315.22083922352857</v>
      </c>
      <c r="O217">
        <v>46115</v>
      </c>
      <c r="P217">
        <v>46135</v>
      </c>
      <c r="Q217" t="s">
        <v>34</v>
      </c>
    </row>
    <row r="218" spans="1:17" x14ac:dyDescent="0.3">
      <c r="A218" t="s">
        <v>269</v>
      </c>
      <c r="B218" t="s">
        <v>80</v>
      </c>
      <c r="C218" t="s">
        <v>37</v>
      </c>
      <c r="D218" t="s">
        <v>20</v>
      </c>
      <c r="E218">
        <v>1583153</v>
      </c>
      <c r="F218">
        <v>1422849</v>
      </c>
      <c r="G218">
        <v>1966651</v>
      </c>
      <c r="H218">
        <v>140078</v>
      </c>
      <c r="I218">
        <v>17065</v>
      </c>
      <c r="J218">
        <v>7718</v>
      </c>
      <c r="K218">
        <f t="shared" si="6"/>
        <v>11.586682775192589</v>
      </c>
      <c r="L218">
        <v>60804</v>
      </c>
      <c r="M218">
        <v>82874</v>
      </c>
      <c r="N218">
        <f t="shared" si="7"/>
        <v>36.296954147753432</v>
      </c>
      <c r="O218">
        <v>46086</v>
      </c>
      <c r="P218">
        <v>46106</v>
      </c>
      <c r="Q218" t="s">
        <v>78</v>
      </c>
    </row>
    <row r="219" spans="1:17" x14ac:dyDescent="0.3">
      <c r="A219" t="s">
        <v>270</v>
      </c>
      <c r="B219" t="s">
        <v>45</v>
      </c>
      <c r="C219" t="s">
        <v>19</v>
      </c>
      <c r="D219" t="s">
        <v>72</v>
      </c>
      <c r="E219">
        <v>928392</v>
      </c>
      <c r="F219">
        <v>269621</v>
      </c>
      <c r="G219">
        <v>667421</v>
      </c>
      <c r="H219">
        <v>11587</v>
      </c>
      <c r="I219">
        <v>599</v>
      </c>
      <c r="J219">
        <v>345</v>
      </c>
      <c r="K219">
        <f t="shared" si="6"/>
        <v>4.6476350135931552</v>
      </c>
      <c r="L219">
        <v>329184</v>
      </c>
      <c r="M219">
        <v>682011</v>
      </c>
      <c r="N219">
        <f t="shared" si="7"/>
        <v>107.18230533683291</v>
      </c>
      <c r="O219">
        <v>46103</v>
      </c>
      <c r="P219">
        <v>46120</v>
      </c>
      <c r="Q219" t="s">
        <v>34</v>
      </c>
    </row>
    <row r="220" spans="1:17" x14ac:dyDescent="0.3">
      <c r="A220" t="s">
        <v>271</v>
      </c>
      <c r="B220" t="s">
        <v>57</v>
      </c>
      <c r="C220" t="s">
        <v>28</v>
      </c>
      <c r="D220" t="s">
        <v>46</v>
      </c>
      <c r="E220">
        <v>508629</v>
      </c>
      <c r="F220">
        <v>200631</v>
      </c>
      <c r="G220">
        <v>514865</v>
      </c>
      <c r="H220">
        <v>22546</v>
      </c>
      <c r="I220">
        <v>2497</v>
      </c>
      <c r="J220">
        <v>503</v>
      </c>
      <c r="K220">
        <f t="shared" si="6"/>
        <v>12.732827927887516</v>
      </c>
      <c r="L220">
        <v>167042</v>
      </c>
      <c r="M220">
        <v>617453</v>
      </c>
      <c r="N220">
        <f t="shared" si="7"/>
        <v>269.63937213395434</v>
      </c>
      <c r="O220">
        <v>45745</v>
      </c>
      <c r="P220">
        <v>45760</v>
      </c>
      <c r="Q220" t="s">
        <v>54</v>
      </c>
    </row>
    <row r="221" spans="1:17" x14ac:dyDescent="0.3">
      <c r="A221" t="s">
        <v>272</v>
      </c>
      <c r="B221" t="s">
        <v>36</v>
      </c>
      <c r="C221" t="s">
        <v>19</v>
      </c>
      <c r="D221" t="s">
        <v>72</v>
      </c>
      <c r="E221">
        <v>1431368</v>
      </c>
      <c r="F221">
        <v>626069</v>
      </c>
      <c r="G221">
        <v>1816338</v>
      </c>
      <c r="H221">
        <v>61670</v>
      </c>
      <c r="I221">
        <v>5527</v>
      </c>
      <c r="J221">
        <v>4110</v>
      </c>
      <c r="K221">
        <f t="shared" si="6"/>
        <v>11.389639161178721</v>
      </c>
      <c r="L221">
        <v>227368</v>
      </c>
      <c r="M221">
        <v>918370</v>
      </c>
      <c r="N221">
        <f t="shared" si="7"/>
        <v>303.91347946940641</v>
      </c>
      <c r="O221">
        <v>45753</v>
      </c>
      <c r="P221">
        <v>45780</v>
      </c>
      <c r="Q221" t="s">
        <v>25</v>
      </c>
    </row>
    <row r="222" spans="1:17" x14ac:dyDescent="0.3">
      <c r="A222" t="s">
        <v>273</v>
      </c>
      <c r="B222" t="s">
        <v>61</v>
      </c>
      <c r="C222" t="s">
        <v>33</v>
      </c>
      <c r="D222" t="s">
        <v>29</v>
      </c>
      <c r="E222">
        <v>722923</v>
      </c>
      <c r="F222">
        <v>504457</v>
      </c>
      <c r="G222">
        <v>928616</v>
      </c>
      <c r="H222">
        <v>17714</v>
      </c>
      <c r="I222">
        <v>1544</v>
      </c>
      <c r="J222">
        <v>1421</v>
      </c>
      <c r="K222">
        <f t="shared" si="6"/>
        <v>4.0992592034603543</v>
      </c>
      <c r="L222">
        <v>95429</v>
      </c>
      <c r="M222">
        <v>208764</v>
      </c>
      <c r="N222">
        <f t="shared" si="7"/>
        <v>118.76368818702909</v>
      </c>
      <c r="O222">
        <v>45963</v>
      </c>
      <c r="P222">
        <v>45975</v>
      </c>
      <c r="Q222" t="s">
        <v>54</v>
      </c>
    </row>
    <row r="223" spans="1:17" x14ac:dyDescent="0.3">
      <c r="A223" t="s">
        <v>274</v>
      </c>
      <c r="B223" t="s">
        <v>53</v>
      </c>
      <c r="C223" t="s">
        <v>28</v>
      </c>
      <c r="D223" t="s">
        <v>29</v>
      </c>
      <c r="E223">
        <v>579945</v>
      </c>
      <c r="F223">
        <v>347914</v>
      </c>
      <c r="G223">
        <v>1018340</v>
      </c>
      <c r="H223">
        <v>48770</v>
      </c>
      <c r="I223">
        <v>1811</v>
      </c>
      <c r="J223">
        <v>3324</v>
      </c>
      <c r="K223">
        <f t="shared" si="6"/>
        <v>15.493771449266196</v>
      </c>
      <c r="L223">
        <v>377647</v>
      </c>
      <c r="M223">
        <v>1412194</v>
      </c>
      <c r="N223">
        <f t="shared" si="7"/>
        <v>273.9455099603598</v>
      </c>
      <c r="O223">
        <v>45961</v>
      </c>
      <c r="P223">
        <v>45975</v>
      </c>
      <c r="Q223" t="s">
        <v>30</v>
      </c>
    </row>
    <row r="224" spans="1:17" x14ac:dyDescent="0.3">
      <c r="A224" t="s">
        <v>275</v>
      </c>
      <c r="B224" t="s">
        <v>32</v>
      </c>
      <c r="C224" t="s">
        <v>43</v>
      </c>
      <c r="D224" t="s">
        <v>20</v>
      </c>
      <c r="E224">
        <v>635034</v>
      </c>
      <c r="F224">
        <v>158865</v>
      </c>
      <c r="G224">
        <v>239336</v>
      </c>
      <c r="H224">
        <v>7987</v>
      </c>
      <c r="I224">
        <v>376</v>
      </c>
      <c r="J224">
        <v>653</v>
      </c>
      <c r="K224">
        <f t="shared" si="6"/>
        <v>5.6752588675919808</v>
      </c>
      <c r="L224">
        <v>114779</v>
      </c>
      <c r="M224">
        <v>451124</v>
      </c>
      <c r="N224">
        <f t="shared" si="7"/>
        <v>293.03705381646472</v>
      </c>
      <c r="O224">
        <v>45818</v>
      </c>
      <c r="P224">
        <v>45835</v>
      </c>
      <c r="Q224" t="s">
        <v>34</v>
      </c>
    </row>
    <row r="225" spans="1:17" x14ac:dyDescent="0.3">
      <c r="A225" t="s">
        <v>276</v>
      </c>
      <c r="B225" t="s">
        <v>36</v>
      </c>
      <c r="C225" t="s">
        <v>28</v>
      </c>
      <c r="D225" t="s">
        <v>51</v>
      </c>
      <c r="E225">
        <v>1860857</v>
      </c>
      <c r="F225">
        <v>1099312</v>
      </c>
      <c r="G225">
        <v>2541533</v>
      </c>
      <c r="H225">
        <v>44809</v>
      </c>
      <c r="I225">
        <v>6635</v>
      </c>
      <c r="J225">
        <v>4332</v>
      </c>
      <c r="K225">
        <f t="shared" si="6"/>
        <v>5.0737188350531968</v>
      </c>
      <c r="L225">
        <v>315473</v>
      </c>
      <c r="M225">
        <v>1389916</v>
      </c>
      <c r="N225">
        <f t="shared" si="7"/>
        <v>340.5816028630025</v>
      </c>
      <c r="O225">
        <v>45728</v>
      </c>
      <c r="P225">
        <v>45753</v>
      </c>
      <c r="Q225" t="s">
        <v>78</v>
      </c>
    </row>
    <row r="226" spans="1:17" x14ac:dyDescent="0.3">
      <c r="A226" t="s">
        <v>277</v>
      </c>
      <c r="B226" t="s">
        <v>103</v>
      </c>
      <c r="C226" t="s">
        <v>28</v>
      </c>
      <c r="D226" t="s">
        <v>51</v>
      </c>
      <c r="E226">
        <v>978946</v>
      </c>
      <c r="F226">
        <v>655596</v>
      </c>
      <c r="G226">
        <v>1530875</v>
      </c>
      <c r="H226">
        <v>84105</v>
      </c>
      <c r="I226">
        <v>3834</v>
      </c>
      <c r="J226">
        <v>6827</v>
      </c>
      <c r="K226">
        <f t="shared" si="6"/>
        <v>14.45493871225572</v>
      </c>
      <c r="L226">
        <v>392307</v>
      </c>
      <c r="M226">
        <v>1133683</v>
      </c>
      <c r="N226">
        <f t="shared" si="7"/>
        <v>188.97852956995413</v>
      </c>
      <c r="O226">
        <v>46077</v>
      </c>
      <c r="P226">
        <v>46093</v>
      </c>
      <c r="Q226" t="s">
        <v>25</v>
      </c>
    </row>
    <row r="227" spans="1:17" x14ac:dyDescent="0.3">
      <c r="A227" t="s">
        <v>278</v>
      </c>
      <c r="B227" t="s">
        <v>36</v>
      </c>
      <c r="C227" t="s">
        <v>33</v>
      </c>
      <c r="D227" t="s">
        <v>20</v>
      </c>
      <c r="E227">
        <v>51874</v>
      </c>
      <c r="F227">
        <v>43340</v>
      </c>
      <c r="G227">
        <v>55231</v>
      </c>
      <c r="H227">
        <v>5657</v>
      </c>
      <c r="I227">
        <v>358</v>
      </c>
      <c r="J227">
        <v>358</v>
      </c>
      <c r="K227">
        <f t="shared" si="6"/>
        <v>14.704660821412091</v>
      </c>
      <c r="L227">
        <v>395343</v>
      </c>
      <c r="M227">
        <v>1646847</v>
      </c>
      <c r="N227">
        <f t="shared" si="7"/>
        <v>316.56156805609305</v>
      </c>
      <c r="O227">
        <v>45923</v>
      </c>
      <c r="P227">
        <v>45932</v>
      </c>
      <c r="Q227" t="s">
        <v>78</v>
      </c>
    </row>
    <row r="228" spans="1:17" x14ac:dyDescent="0.3">
      <c r="A228" t="s">
        <v>279</v>
      </c>
      <c r="B228" t="s">
        <v>45</v>
      </c>
      <c r="C228" t="s">
        <v>19</v>
      </c>
      <c r="D228" t="s">
        <v>58</v>
      </c>
      <c r="E228">
        <v>778447</v>
      </c>
      <c r="F228">
        <v>352593</v>
      </c>
      <c r="G228">
        <v>419177</v>
      </c>
      <c r="H228">
        <v>22591</v>
      </c>
      <c r="I228">
        <v>1263</v>
      </c>
      <c r="J228">
        <v>1275</v>
      </c>
      <c r="K228">
        <f t="shared" si="6"/>
        <v>7.1269140340279025</v>
      </c>
      <c r="L228">
        <v>273558</v>
      </c>
      <c r="M228">
        <v>645123</v>
      </c>
      <c r="N228">
        <f t="shared" si="7"/>
        <v>135.82677165354332</v>
      </c>
      <c r="O228">
        <v>45792</v>
      </c>
      <c r="P228">
        <v>45801</v>
      </c>
      <c r="Q228" t="s">
        <v>21</v>
      </c>
    </row>
    <row r="229" spans="1:17" x14ac:dyDescent="0.3">
      <c r="A229" t="s">
        <v>280</v>
      </c>
      <c r="B229" t="s">
        <v>23</v>
      </c>
      <c r="C229" t="s">
        <v>19</v>
      </c>
      <c r="D229" t="s">
        <v>20</v>
      </c>
      <c r="E229">
        <v>898763</v>
      </c>
      <c r="F229">
        <v>246868</v>
      </c>
      <c r="G229">
        <v>343319</v>
      </c>
      <c r="H229">
        <v>28264</v>
      </c>
      <c r="I229">
        <v>1538</v>
      </c>
      <c r="J229">
        <v>2664</v>
      </c>
      <c r="K229">
        <f t="shared" si="6"/>
        <v>13.151157703712105</v>
      </c>
      <c r="L229">
        <v>98917</v>
      </c>
      <c r="M229">
        <v>145713</v>
      </c>
      <c r="N229">
        <f t="shared" si="7"/>
        <v>47.30834942426479</v>
      </c>
      <c r="O229">
        <v>45932</v>
      </c>
      <c r="P229">
        <v>45948</v>
      </c>
      <c r="Q229" t="s">
        <v>47</v>
      </c>
    </row>
    <row r="230" spans="1:17" x14ac:dyDescent="0.3">
      <c r="A230" t="s">
        <v>281</v>
      </c>
      <c r="B230" t="s">
        <v>32</v>
      </c>
      <c r="C230" t="s">
        <v>19</v>
      </c>
      <c r="D230" t="s">
        <v>46</v>
      </c>
      <c r="E230">
        <v>374999</v>
      </c>
      <c r="F230">
        <v>295893</v>
      </c>
      <c r="G230">
        <v>472467</v>
      </c>
      <c r="H230">
        <v>30401</v>
      </c>
      <c r="I230">
        <v>2551</v>
      </c>
      <c r="J230">
        <v>1704</v>
      </c>
      <c r="K230">
        <f t="shared" si="6"/>
        <v>11.712341961452282</v>
      </c>
      <c r="L230">
        <v>108465</v>
      </c>
      <c r="M230">
        <v>239846</v>
      </c>
      <c r="N230">
        <f t="shared" si="7"/>
        <v>121.12755266675886</v>
      </c>
      <c r="O230">
        <v>45790</v>
      </c>
      <c r="P230">
        <v>45814</v>
      </c>
      <c r="Q230" t="s">
        <v>47</v>
      </c>
    </row>
    <row r="231" spans="1:17" x14ac:dyDescent="0.3">
      <c r="A231" t="s">
        <v>282</v>
      </c>
      <c r="B231" t="s">
        <v>23</v>
      </c>
      <c r="C231" t="s">
        <v>43</v>
      </c>
      <c r="D231" t="s">
        <v>29</v>
      </c>
      <c r="E231">
        <v>83566</v>
      </c>
      <c r="F231">
        <v>64640</v>
      </c>
      <c r="G231">
        <v>73521</v>
      </c>
      <c r="H231">
        <v>4116</v>
      </c>
      <c r="I231">
        <v>261</v>
      </c>
      <c r="J231">
        <v>337</v>
      </c>
      <c r="K231">
        <f t="shared" si="6"/>
        <v>7.2926980198019802</v>
      </c>
      <c r="L231">
        <v>302413</v>
      </c>
      <c r="M231">
        <v>653369</v>
      </c>
      <c r="N231">
        <f t="shared" si="7"/>
        <v>116.05188930370056</v>
      </c>
      <c r="O231">
        <v>46124</v>
      </c>
      <c r="P231">
        <v>46143</v>
      </c>
      <c r="Q231" t="s">
        <v>21</v>
      </c>
    </row>
    <row r="232" spans="1:17" x14ac:dyDescent="0.3">
      <c r="A232" t="s">
        <v>283</v>
      </c>
      <c r="B232" t="s">
        <v>103</v>
      </c>
      <c r="C232" t="s">
        <v>37</v>
      </c>
      <c r="D232" t="s">
        <v>24</v>
      </c>
      <c r="E232">
        <v>1048430</v>
      </c>
      <c r="F232">
        <v>568140</v>
      </c>
      <c r="G232">
        <v>636849</v>
      </c>
      <c r="H232">
        <v>53712</v>
      </c>
      <c r="I232">
        <v>3038</v>
      </c>
      <c r="J232">
        <v>3919</v>
      </c>
      <c r="K232">
        <f t="shared" si="6"/>
        <v>10.678529939803569</v>
      </c>
      <c r="L232">
        <v>90063</v>
      </c>
      <c r="M232">
        <v>361299</v>
      </c>
      <c r="N232">
        <f t="shared" si="7"/>
        <v>301.16251956963458</v>
      </c>
      <c r="O232">
        <v>45886</v>
      </c>
      <c r="P232">
        <v>45914</v>
      </c>
      <c r="Q232" t="s">
        <v>21</v>
      </c>
    </row>
    <row r="233" spans="1:17" x14ac:dyDescent="0.3">
      <c r="A233" t="s">
        <v>284</v>
      </c>
      <c r="B233" t="s">
        <v>36</v>
      </c>
      <c r="C233" t="s">
        <v>33</v>
      </c>
      <c r="D233" t="s">
        <v>46</v>
      </c>
      <c r="E233">
        <v>1150577</v>
      </c>
      <c r="F233">
        <v>899442</v>
      </c>
      <c r="G233">
        <v>1273915</v>
      </c>
      <c r="H233">
        <v>114469</v>
      </c>
      <c r="I233">
        <v>5377</v>
      </c>
      <c r="J233">
        <v>4965</v>
      </c>
      <c r="K233">
        <f t="shared" si="6"/>
        <v>13.876492314123645</v>
      </c>
      <c r="L233">
        <v>18622</v>
      </c>
      <c r="M233">
        <v>80366</v>
      </c>
      <c r="N233">
        <f t="shared" si="7"/>
        <v>331.56481580925788</v>
      </c>
      <c r="O233">
        <v>45736</v>
      </c>
      <c r="P233">
        <v>45758</v>
      </c>
      <c r="Q233" t="s">
        <v>21</v>
      </c>
    </row>
    <row r="234" spans="1:17" x14ac:dyDescent="0.3">
      <c r="A234" t="s">
        <v>285</v>
      </c>
      <c r="B234" t="s">
        <v>57</v>
      </c>
      <c r="C234" t="s">
        <v>33</v>
      </c>
      <c r="D234" t="s">
        <v>51</v>
      </c>
      <c r="E234">
        <v>1967190</v>
      </c>
      <c r="F234">
        <v>560581</v>
      </c>
      <c r="G234">
        <v>1565205</v>
      </c>
      <c r="H234">
        <v>66393</v>
      </c>
      <c r="I234">
        <v>2442</v>
      </c>
      <c r="J234">
        <v>4196</v>
      </c>
      <c r="K234">
        <f t="shared" si="6"/>
        <v>13.027733726259004</v>
      </c>
      <c r="L234">
        <v>266129</v>
      </c>
      <c r="M234">
        <v>398789</v>
      </c>
      <c r="N234">
        <f t="shared" si="7"/>
        <v>49.848006042182554</v>
      </c>
      <c r="O234">
        <v>45687</v>
      </c>
      <c r="P234">
        <v>45708</v>
      </c>
      <c r="Q234" t="s">
        <v>34</v>
      </c>
    </row>
    <row r="235" spans="1:17" x14ac:dyDescent="0.3">
      <c r="A235" t="s">
        <v>286</v>
      </c>
      <c r="B235" t="s">
        <v>75</v>
      </c>
      <c r="C235" t="s">
        <v>37</v>
      </c>
      <c r="D235" t="s">
        <v>46</v>
      </c>
      <c r="E235">
        <v>596158</v>
      </c>
      <c r="F235">
        <v>333293</v>
      </c>
      <c r="G235">
        <v>855497</v>
      </c>
      <c r="H235">
        <v>47879</v>
      </c>
      <c r="I235">
        <v>4452</v>
      </c>
      <c r="J235">
        <v>3969</v>
      </c>
      <c r="K235">
        <f t="shared" si="6"/>
        <v>16.892043937316416</v>
      </c>
      <c r="L235">
        <v>393701</v>
      </c>
      <c r="M235">
        <v>967977</v>
      </c>
      <c r="N235">
        <f t="shared" si="7"/>
        <v>145.86602523234637</v>
      </c>
      <c r="O235">
        <v>45964</v>
      </c>
      <c r="P235">
        <v>45980</v>
      </c>
      <c r="Q235" t="s">
        <v>30</v>
      </c>
    </row>
    <row r="236" spans="1:17" x14ac:dyDescent="0.3">
      <c r="A236" t="s">
        <v>287</v>
      </c>
      <c r="B236" t="s">
        <v>75</v>
      </c>
      <c r="C236" t="s">
        <v>19</v>
      </c>
      <c r="D236" t="s">
        <v>72</v>
      </c>
      <c r="E236">
        <v>1427975</v>
      </c>
      <c r="F236">
        <v>814015</v>
      </c>
      <c r="G236">
        <v>2143848</v>
      </c>
      <c r="H236">
        <v>56745</v>
      </c>
      <c r="I236">
        <v>4849</v>
      </c>
      <c r="J236">
        <v>4960</v>
      </c>
      <c r="K236">
        <f t="shared" si="6"/>
        <v>8.176016412473972</v>
      </c>
      <c r="L236">
        <v>343328</v>
      </c>
      <c r="M236">
        <v>407034</v>
      </c>
      <c r="N236">
        <f t="shared" si="7"/>
        <v>18.55543387081741</v>
      </c>
      <c r="O236">
        <v>45945</v>
      </c>
      <c r="P236">
        <v>45970</v>
      </c>
      <c r="Q236" t="s">
        <v>21</v>
      </c>
    </row>
    <row r="237" spans="1:17" x14ac:dyDescent="0.3">
      <c r="A237" t="s">
        <v>288</v>
      </c>
      <c r="B237" t="s">
        <v>32</v>
      </c>
      <c r="C237" t="s">
        <v>28</v>
      </c>
      <c r="D237" t="s">
        <v>58</v>
      </c>
      <c r="E237">
        <v>743151</v>
      </c>
      <c r="F237">
        <v>611378</v>
      </c>
      <c r="G237">
        <v>952131</v>
      </c>
      <c r="H237">
        <v>13211</v>
      </c>
      <c r="I237">
        <v>1804</v>
      </c>
      <c r="J237">
        <v>443</v>
      </c>
      <c r="K237">
        <f t="shared" si="6"/>
        <v>2.5283866936657842</v>
      </c>
      <c r="L237">
        <v>36905</v>
      </c>
      <c r="M237">
        <v>152720</v>
      </c>
      <c r="N237">
        <f t="shared" si="7"/>
        <v>313.81926568215687</v>
      </c>
      <c r="O237">
        <v>45684</v>
      </c>
      <c r="P237">
        <v>45695</v>
      </c>
      <c r="Q237" t="s">
        <v>41</v>
      </c>
    </row>
    <row r="238" spans="1:17" x14ac:dyDescent="0.3">
      <c r="A238" t="s">
        <v>289</v>
      </c>
      <c r="B238" t="s">
        <v>39</v>
      </c>
      <c r="C238" t="s">
        <v>28</v>
      </c>
      <c r="D238" t="s">
        <v>58</v>
      </c>
      <c r="E238">
        <v>1598000</v>
      </c>
      <c r="F238">
        <v>752874</v>
      </c>
      <c r="G238">
        <v>987111</v>
      </c>
      <c r="H238">
        <v>73021</v>
      </c>
      <c r="I238">
        <v>5306</v>
      </c>
      <c r="J238">
        <v>1834</v>
      </c>
      <c r="K238">
        <f t="shared" si="6"/>
        <v>10.647332754219166</v>
      </c>
      <c r="L238">
        <v>29093</v>
      </c>
      <c r="M238">
        <v>139286</v>
      </c>
      <c r="N238">
        <f t="shared" si="7"/>
        <v>378.76121403774101</v>
      </c>
      <c r="O238">
        <v>45956</v>
      </c>
      <c r="P238">
        <v>45964</v>
      </c>
      <c r="Q238" t="s">
        <v>54</v>
      </c>
    </row>
    <row r="239" spans="1:17" x14ac:dyDescent="0.3">
      <c r="A239" t="s">
        <v>290</v>
      </c>
      <c r="B239" t="s">
        <v>23</v>
      </c>
      <c r="C239" t="s">
        <v>37</v>
      </c>
      <c r="D239" t="s">
        <v>51</v>
      </c>
      <c r="E239">
        <v>1305721</v>
      </c>
      <c r="F239">
        <v>472745</v>
      </c>
      <c r="G239">
        <v>718057</v>
      </c>
      <c r="H239">
        <v>70454</v>
      </c>
      <c r="I239">
        <v>4412</v>
      </c>
      <c r="J239">
        <v>2609</v>
      </c>
      <c r="K239">
        <f t="shared" si="6"/>
        <v>16.388327745401853</v>
      </c>
      <c r="L239">
        <v>426263</v>
      </c>
      <c r="M239">
        <v>1566815</v>
      </c>
      <c r="N239">
        <f t="shared" si="7"/>
        <v>267.57002132486281</v>
      </c>
      <c r="O239">
        <v>45799</v>
      </c>
      <c r="P239">
        <v>45822</v>
      </c>
      <c r="Q239" t="s">
        <v>34</v>
      </c>
    </row>
    <row r="240" spans="1:17" x14ac:dyDescent="0.3">
      <c r="A240" t="s">
        <v>291</v>
      </c>
      <c r="B240" t="s">
        <v>57</v>
      </c>
      <c r="C240" t="s">
        <v>43</v>
      </c>
      <c r="D240" t="s">
        <v>20</v>
      </c>
      <c r="E240">
        <v>1453369</v>
      </c>
      <c r="F240">
        <v>805492</v>
      </c>
      <c r="G240">
        <v>1266755</v>
      </c>
      <c r="H240">
        <v>111052</v>
      </c>
      <c r="I240">
        <v>7355</v>
      </c>
      <c r="J240">
        <v>10600</v>
      </c>
      <c r="K240">
        <f t="shared" si="6"/>
        <v>16.015925670273575</v>
      </c>
      <c r="L240">
        <v>160341</v>
      </c>
      <c r="M240">
        <v>298317</v>
      </c>
      <c r="N240">
        <f t="shared" si="7"/>
        <v>86.051602522124725</v>
      </c>
      <c r="O240">
        <v>45660</v>
      </c>
      <c r="P240">
        <v>45674</v>
      </c>
      <c r="Q240" t="s">
        <v>41</v>
      </c>
    </row>
    <row r="241" spans="1:17" x14ac:dyDescent="0.3">
      <c r="A241" t="s">
        <v>292</v>
      </c>
      <c r="B241" t="s">
        <v>63</v>
      </c>
      <c r="C241" t="s">
        <v>28</v>
      </c>
      <c r="D241" t="s">
        <v>29</v>
      </c>
      <c r="E241">
        <v>152289</v>
      </c>
      <c r="F241">
        <v>80098</v>
      </c>
      <c r="G241">
        <v>155421</v>
      </c>
      <c r="H241">
        <v>10295</v>
      </c>
      <c r="I241">
        <v>1087</v>
      </c>
      <c r="J241">
        <v>301</v>
      </c>
      <c r="K241">
        <f t="shared" si="6"/>
        <v>14.585882294189616</v>
      </c>
      <c r="L241">
        <v>292180</v>
      </c>
      <c r="M241">
        <v>906962</v>
      </c>
      <c r="N241">
        <f t="shared" si="7"/>
        <v>210.41207474844273</v>
      </c>
      <c r="O241">
        <v>45712</v>
      </c>
      <c r="P241">
        <v>45735</v>
      </c>
      <c r="Q241" t="s">
        <v>78</v>
      </c>
    </row>
    <row r="242" spans="1:17" x14ac:dyDescent="0.3">
      <c r="A242" t="s">
        <v>293</v>
      </c>
      <c r="B242" t="s">
        <v>27</v>
      </c>
      <c r="C242" t="s">
        <v>37</v>
      </c>
      <c r="D242" t="s">
        <v>20</v>
      </c>
      <c r="E242">
        <v>266847</v>
      </c>
      <c r="F242">
        <v>198550</v>
      </c>
      <c r="G242">
        <v>239109</v>
      </c>
      <c r="H242">
        <v>17550</v>
      </c>
      <c r="I242">
        <v>1734</v>
      </c>
      <c r="J242">
        <v>1175</v>
      </c>
      <c r="K242">
        <f t="shared" si="6"/>
        <v>10.304205489801058</v>
      </c>
      <c r="L242">
        <v>470483</v>
      </c>
      <c r="M242">
        <v>1563035</v>
      </c>
      <c r="N242">
        <f t="shared" si="7"/>
        <v>232.2192300253144</v>
      </c>
      <c r="O242">
        <v>45684</v>
      </c>
      <c r="P242">
        <v>45714</v>
      </c>
      <c r="Q242" t="s">
        <v>78</v>
      </c>
    </row>
    <row r="243" spans="1:17" x14ac:dyDescent="0.3">
      <c r="A243" t="s">
        <v>294</v>
      </c>
      <c r="B243" t="s">
        <v>80</v>
      </c>
      <c r="C243" t="s">
        <v>33</v>
      </c>
      <c r="D243" t="s">
        <v>46</v>
      </c>
      <c r="E243">
        <v>342242</v>
      </c>
      <c r="F243">
        <v>251020</v>
      </c>
      <c r="G243">
        <v>636495</v>
      </c>
      <c r="H243">
        <v>14212</v>
      </c>
      <c r="I243">
        <v>1741</v>
      </c>
      <c r="J243">
        <v>1053</v>
      </c>
      <c r="K243">
        <f t="shared" si="6"/>
        <v>6.7747589833479411</v>
      </c>
      <c r="L243">
        <v>272244</v>
      </c>
      <c r="M243">
        <v>383177</v>
      </c>
      <c r="N243">
        <f t="shared" si="7"/>
        <v>40.74763814813182</v>
      </c>
      <c r="O243">
        <v>45906</v>
      </c>
      <c r="P243">
        <v>45922</v>
      </c>
      <c r="Q243" t="s">
        <v>21</v>
      </c>
    </row>
    <row r="244" spans="1:17" x14ac:dyDescent="0.3">
      <c r="A244" t="s">
        <v>295</v>
      </c>
      <c r="B244" t="s">
        <v>18</v>
      </c>
      <c r="C244" t="s">
        <v>37</v>
      </c>
      <c r="D244" t="s">
        <v>20</v>
      </c>
      <c r="E244">
        <v>1540963</v>
      </c>
      <c r="F244">
        <v>1133212</v>
      </c>
      <c r="G244">
        <v>2646389</v>
      </c>
      <c r="H244">
        <v>72420</v>
      </c>
      <c r="I244">
        <v>5573</v>
      </c>
      <c r="J244">
        <v>5694</v>
      </c>
      <c r="K244">
        <f t="shared" si="6"/>
        <v>7.3849376815635557</v>
      </c>
      <c r="L244">
        <v>295184</v>
      </c>
      <c r="M244">
        <v>520268</v>
      </c>
      <c r="N244">
        <f t="shared" si="7"/>
        <v>76.252100384844709</v>
      </c>
      <c r="O244">
        <v>46021</v>
      </c>
      <c r="P244">
        <v>46039</v>
      </c>
      <c r="Q244" t="s">
        <v>54</v>
      </c>
    </row>
    <row r="245" spans="1:17" x14ac:dyDescent="0.3">
      <c r="A245" t="s">
        <v>296</v>
      </c>
      <c r="B245" t="s">
        <v>18</v>
      </c>
      <c r="C245" t="s">
        <v>37</v>
      </c>
      <c r="D245" t="s">
        <v>58</v>
      </c>
      <c r="E245">
        <v>411358</v>
      </c>
      <c r="F245">
        <v>154885</v>
      </c>
      <c r="G245">
        <v>406483</v>
      </c>
      <c r="H245">
        <v>20944</v>
      </c>
      <c r="I245">
        <v>1620</v>
      </c>
      <c r="J245">
        <v>896</v>
      </c>
      <c r="K245">
        <f t="shared" si="6"/>
        <v>15.146721761306775</v>
      </c>
      <c r="L245">
        <v>175107</v>
      </c>
      <c r="M245">
        <v>696878</v>
      </c>
      <c r="N245">
        <f t="shared" si="7"/>
        <v>297.9726681400515</v>
      </c>
      <c r="O245">
        <v>46138</v>
      </c>
      <c r="P245">
        <v>46146</v>
      </c>
      <c r="Q245" t="s">
        <v>78</v>
      </c>
    </row>
    <row r="246" spans="1:17" x14ac:dyDescent="0.3">
      <c r="A246" t="s">
        <v>297</v>
      </c>
      <c r="B246" t="s">
        <v>63</v>
      </c>
      <c r="C246" t="s">
        <v>43</v>
      </c>
      <c r="D246" t="s">
        <v>58</v>
      </c>
      <c r="E246">
        <v>427779</v>
      </c>
      <c r="F246">
        <v>267510</v>
      </c>
      <c r="G246">
        <v>486552</v>
      </c>
      <c r="H246">
        <v>9117</v>
      </c>
      <c r="I246">
        <v>336</v>
      </c>
      <c r="J246">
        <v>368</v>
      </c>
      <c r="K246">
        <f t="shared" si="6"/>
        <v>3.6712646256214718</v>
      </c>
      <c r="L246">
        <v>230947</v>
      </c>
      <c r="M246">
        <v>433173</v>
      </c>
      <c r="N246">
        <f t="shared" si="7"/>
        <v>87.563813342455205</v>
      </c>
      <c r="O246">
        <v>45659</v>
      </c>
      <c r="P246">
        <v>45671</v>
      </c>
      <c r="Q246" t="s">
        <v>78</v>
      </c>
    </row>
    <row r="247" spans="1:17" x14ac:dyDescent="0.3">
      <c r="A247" t="s">
        <v>298</v>
      </c>
      <c r="B247" t="s">
        <v>53</v>
      </c>
      <c r="C247" t="s">
        <v>37</v>
      </c>
      <c r="D247" t="s">
        <v>20</v>
      </c>
      <c r="E247">
        <v>908528</v>
      </c>
      <c r="F247">
        <v>269793</v>
      </c>
      <c r="G247">
        <v>685288</v>
      </c>
      <c r="H247">
        <v>14117</v>
      </c>
      <c r="I247">
        <v>906</v>
      </c>
      <c r="J247">
        <v>889</v>
      </c>
      <c r="K247">
        <f t="shared" si="6"/>
        <v>5.8978550221836743</v>
      </c>
      <c r="L247">
        <v>175004</v>
      </c>
      <c r="M247">
        <v>341524</v>
      </c>
      <c r="N247">
        <f t="shared" si="7"/>
        <v>95.152110808895799</v>
      </c>
      <c r="O247">
        <v>46009</v>
      </c>
      <c r="P247">
        <v>46026</v>
      </c>
      <c r="Q247" t="s">
        <v>25</v>
      </c>
    </row>
    <row r="248" spans="1:17" x14ac:dyDescent="0.3">
      <c r="A248" t="s">
        <v>299</v>
      </c>
      <c r="B248" t="s">
        <v>32</v>
      </c>
      <c r="C248" t="s">
        <v>43</v>
      </c>
      <c r="D248" t="s">
        <v>51</v>
      </c>
      <c r="E248">
        <v>1400359</v>
      </c>
      <c r="F248">
        <v>401850</v>
      </c>
      <c r="G248">
        <v>576861</v>
      </c>
      <c r="H248">
        <v>15651</v>
      </c>
      <c r="I248">
        <v>1739</v>
      </c>
      <c r="J248">
        <v>465</v>
      </c>
      <c r="K248">
        <f t="shared" si="6"/>
        <v>4.4432001990792589</v>
      </c>
      <c r="L248">
        <v>92533</v>
      </c>
      <c r="M248">
        <v>385314</v>
      </c>
      <c r="N248">
        <f t="shared" si="7"/>
        <v>316.40711962218882</v>
      </c>
      <c r="O248">
        <v>45998</v>
      </c>
      <c r="P248">
        <v>46022</v>
      </c>
      <c r="Q248" t="s">
        <v>21</v>
      </c>
    </row>
    <row r="249" spans="1:17" x14ac:dyDescent="0.3">
      <c r="A249" t="s">
        <v>300</v>
      </c>
      <c r="B249" t="s">
        <v>18</v>
      </c>
      <c r="C249" t="s">
        <v>19</v>
      </c>
      <c r="D249" t="s">
        <v>40</v>
      </c>
      <c r="E249">
        <v>139235</v>
      </c>
      <c r="F249">
        <v>118032</v>
      </c>
      <c r="G249">
        <v>252875</v>
      </c>
      <c r="H249">
        <v>16647</v>
      </c>
      <c r="I249">
        <v>2166</v>
      </c>
      <c r="J249">
        <v>1553</v>
      </c>
      <c r="K249">
        <f t="shared" si="6"/>
        <v>17.254642808729837</v>
      </c>
      <c r="L249">
        <v>483718</v>
      </c>
      <c r="M249">
        <v>1315237</v>
      </c>
      <c r="N249">
        <f t="shared" si="7"/>
        <v>171.90160382702317</v>
      </c>
      <c r="O249">
        <v>45802</v>
      </c>
      <c r="P249">
        <v>45828</v>
      </c>
      <c r="Q249" t="s">
        <v>30</v>
      </c>
    </row>
    <row r="250" spans="1:17" x14ac:dyDescent="0.3">
      <c r="A250" t="s">
        <v>301</v>
      </c>
      <c r="B250" t="s">
        <v>103</v>
      </c>
      <c r="C250" t="s">
        <v>19</v>
      </c>
      <c r="D250" t="s">
        <v>20</v>
      </c>
      <c r="E250">
        <v>1978307</v>
      </c>
      <c r="F250">
        <v>1753392</v>
      </c>
      <c r="G250">
        <v>3871518</v>
      </c>
      <c r="H250">
        <v>73563</v>
      </c>
      <c r="I250">
        <v>5743</v>
      </c>
      <c r="J250">
        <v>6578</v>
      </c>
      <c r="K250">
        <f t="shared" si="6"/>
        <v>4.898163103287799</v>
      </c>
      <c r="L250">
        <v>446646</v>
      </c>
      <c r="M250">
        <v>1266755</v>
      </c>
      <c r="N250">
        <f t="shared" si="7"/>
        <v>183.61498815616841</v>
      </c>
      <c r="O250">
        <v>45727</v>
      </c>
      <c r="P250">
        <v>45739</v>
      </c>
      <c r="Q250" t="s">
        <v>30</v>
      </c>
    </row>
    <row r="251" spans="1:17" x14ac:dyDescent="0.3">
      <c r="A251" t="s">
        <v>302</v>
      </c>
      <c r="B251" t="s">
        <v>103</v>
      </c>
      <c r="C251" t="s">
        <v>33</v>
      </c>
      <c r="D251" t="s">
        <v>58</v>
      </c>
      <c r="E251">
        <v>1526346</v>
      </c>
      <c r="F251">
        <v>1215329</v>
      </c>
      <c r="G251">
        <v>2582693</v>
      </c>
      <c r="H251">
        <v>76976</v>
      </c>
      <c r="I251">
        <v>9835</v>
      </c>
      <c r="J251">
        <v>6792</v>
      </c>
      <c r="K251">
        <f t="shared" si="6"/>
        <v>7.7018650916747644</v>
      </c>
      <c r="L251">
        <v>116215</v>
      </c>
      <c r="M251">
        <v>175191</v>
      </c>
      <c r="N251">
        <f t="shared" si="7"/>
        <v>50.747321774297639</v>
      </c>
      <c r="O251">
        <v>45949</v>
      </c>
      <c r="P251">
        <v>45978</v>
      </c>
      <c r="Q251" t="s">
        <v>41</v>
      </c>
    </row>
    <row r="252" spans="1:17" x14ac:dyDescent="0.3">
      <c r="A252" t="s">
        <v>303</v>
      </c>
      <c r="B252" t="s">
        <v>36</v>
      </c>
      <c r="C252" t="s">
        <v>19</v>
      </c>
      <c r="D252" t="s">
        <v>40</v>
      </c>
      <c r="E252">
        <v>678879</v>
      </c>
      <c r="F252">
        <v>584143</v>
      </c>
      <c r="G252">
        <v>1381940</v>
      </c>
      <c r="H252">
        <v>43317</v>
      </c>
      <c r="I252">
        <v>2497</v>
      </c>
      <c r="J252">
        <v>2090</v>
      </c>
      <c r="K252">
        <f t="shared" si="6"/>
        <v>8.2007316701561077</v>
      </c>
      <c r="L252">
        <v>434337</v>
      </c>
      <c r="M252">
        <v>1654349</v>
      </c>
      <c r="N252">
        <f t="shared" si="7"/>
        <v>280.89064482187791</v>
      </c>
      <c r="O252">
        <v>46136</v>
      </c>
      <c r="P252">
        <v>46160</v>
      </c>
      <c r="Q252" t="s">
        <v>78</v>
      </c>
    </row>
    <row r="253" spans="1:17" x14ac:dyDescent="0.3">
      <c r="A253" t="s">
        <v>304</v>
      </c>
      <c r="B253" t="s">
        <v>80</v>
      </c>
      <c r="C253" t="s">
        <v>37</v>
      </c>
      <c r="D253" t="s">
        <v>58</v>
      </c>
      <c r="E253">
        <v>746728</v>
      </c>
      <c r="F253">
        <v>460958</v>
      </c>
      <c r="G253">
        <v>929735</v>
      </c>
      <c r="H253">
        <v>16027</v>
      </c>
      <c r="I253">
        <v>1434</v>
      </c>
      <c r="J253">
        <v>363</v>
      </c>
      <c r="K253">
        <f t="shared" si="6"/>
        <v>3.8667297237492355</v>
      </c>
      <c r="L253">
        <v>485716</v>
      </c>
      <c r="M253">
        <v>1077092</v>
      </c>
      <c r="N253">
        <f t="shared" si="7"/>
        <v>121.75345263487304</v>
      </c>
      <c r="O253">
        <v>46046</v>
      </c>
      <c r="P253">
        <v>46072</v>
      </c>
      <c r="Q253" t="s">
        <v>34</v>
      </c>
    </row>
    <row r="254" spans="1:17" x14ac:dyDescent="0.3">
      <c r="A254" t="s">
        <v>305</v>
      </c>
      <c r="B254" t="s">
        <v>39</v>
      </c>
      <c r="C254" t="s">
        <v>28</v>
      </c>
      <c r="D254" t="s">
        <v>46</v>
      </c>
      <c r="E254">
        <v>1290553</v>
      </c>
      <c r="F254">
        <v>649036</v>
      </c>
      <c r="G254">
        <v>1827192</v>
      </c>
      <c r="H254">
        <v>22732</v>
      </c>
      <c r="I254">
        <v>1362</v>
      </c>
      <c r="J254">
        <v>1001</v>
      </c>
      <c r="K254">
        <f t="shared" si="6"/>
        <v>3.8665035529616234</v>
      </c>
      <c r="L254">
        <v>493180</v>
      </c>
      <c r="M254">
        <v>2013711</v>
      </c>
      <c r="N254">
        <f t="shared" si="7"/>
        <v>308.31156981223893</v>
      </c>
      <c r="O254">
        <v>45939</v>
      </c>
      <c r="P254">
        <v>45968</v>
      </c>
      <c r="Q254" t="s">
        <v>41</v>
      </c>
    </row>
    <row r="255" spans="1:17" x14ac:dyDescent="0.3">
      <c r="A255" t="s">
        <v>306</v>
      </c>
      <c r="B255" t="s">
        <v>57</v>
      </c>
      <c r="C255" t="s">
        <v>37</v>
      </c>
      <c r="D255" t="s">
        <v>20</v>
      </c>
      <c r="E255">
        <v>1607246</v>
      </c>
      <c r="F255">
        <v>556467</v>
      </c>
      <c r="G255">
        <v>899397</v>
      </c>
      <c r="H255">
        <v>14043</v>
      </c>
      <c r="I255">
        <v>1468</v>
      </c>
      <c r="J255">
        <v>808</v>
      </c>
      <c r="K255">
        <f t="shared" si="6"/>
        <v>2.9326087620649566</v>
      </c>
      <c r="L255">
        <v>136133</v>
      </c>
      <c r="M255">
        <v>239109</v>
      </c>
      <c r="N255">
        <f t="shared" si="7"/>
        <v>75.643671997237988</v>
      </c>
      <c r="O255">
        <v>45778</v>
      </c>
      <c r="P255">
        <v>45799</v>
      </c>
      <c r="Q255" t="s">
        <v>21</v>
      </c>
    </row>
    <row r="256" spans="1:17" x14ac:dyDescent="0.3">
      <c r="A256" t="s">
        <v>307</v>
      </c>
      <c r="B256" t="s">
        <v>61</v>
      </c>
      <c r="C256" t="s">
        <v>28</v>
      </c>
      <c r="D256" t="s">
        <v>72</v>
      </c>
      <c r="E256">
        <v>1296689</v>
      </c>
      <c r="F256">
        <v>888032</v>
      </c>
      <c r="G256">
        <v>2409037</v>
      </c>
      <c r="H256">
        <v>93888</v>
      </c>
      <c r="I256">
        <v>12354</v>
      </c>
      <c r="J256">
        <v>7280</v>
      </c>
      <c r="K256">
        <f t="shared" si="6"/>
        <v>12.783548340600341</v>
      </c>
      <c r="L256">
        <v>16044</v>
      </c>
      <c r="M256">
        <v>72102</v>
      </c>
      <c r="N256">
        <f t="shared" si="7"/>
        <v>349.4016454749439</v>
      </c>
      <c r="O256">
        <v>46040</v>
      </c>
      <c r="P256">
        <v>46049</v>
      </c>
      <c r="Q256" t="s">
        <v>25</v>
      </c>
    </row>
    <row r="257" spans="1:17" x14ac:dyDescent="0.3">
      <c r="A257" t="s">
        <v>308</v>
      </c>
      <c r="B257" t="s">
        <v>80</v>
      </c>
      <c r="C257" t="s">
        <v>43</v>
      </c>
      <c r="D257" t="s">
        <v>40</v>
      </c>
      <c r="E257">
        <v>1157958</v>
      </c>
      <c r="F257">
        <v>307322</v>
      </c>
      <c r="G257">
        <v>419083</v>
      </c>
      <c r="H257">
        <v>12284</v>
      </c>
      <c r="I257">
        <v>596</v>
      </c>
      <c r="J257">
        <v>777</v>
      </c>
      <c r="K257">
        <f t="shared" si="6"/>
        <v>4.4438732013978823</v>
      </c>
      <c r="L257">
        <v>124286</v>
      </c>
      <c r="M257">
        <v>213957</v>
      </c>
      <c r="N257">
        <f t="shared" si="7"/>
        <v>72.148914600196321</v>
      </c>
      <c r="O257">
        <v>45798</v>
      </c>
      <c r="P257">
        <v>45813</v>
      </c>
      <c r="Q257" t="s">
        <v>25</v>
      </c>
    </row>
    <row r="258" spans="1:17" x14ac:dyDescent="0.3">
      <c r="A258" t="s">
        <v>309</v>
      </c>
      <c r="B258" t="s">
        <v>27</v>
      </c>
      <c r="C258" t="s">
        <v>33</v>
      </c>
      <c r="D258" t="s">
        <v>51</v>
      </c>
      <c r="E258">
        <v>1613412</v>
      </c>
      <c r="F258">
        <v>968579</v>
      </c>
      <c r="G258">
        <v>1852079</v>
      </c>
      <c r="H258">
        <v>136740</v>
      </c>
      <c r="I258">
        <v>4202</v>
      </c>
      <c r="J258">
        <v>10774</v>
      </c>
      <c r="K258">
        <f t="shared" ref="K258:K321" si="8">((H258+I258+J258)/F258)*100</f>
        <v>15.663771359899398</v>
      </c>
      <c r="L258">
        <v>358911</v>
      </c>
      <c r="M258">
        <v>1296253</v>
      </c>
      <c r="N258">
        <f t="shared" ref="N258:N321" si="9">((M258-L258)/L258)*100</f>
        <v>261.16279523335868</v>
      </c>
      <c r="O258">
        <v>46137</v>
      </c>
      <c r="P258">
        <v>46145</v>
      </c>
      <c r="Q258" t="s">
        <v>54</v>
      </c>
    </row>
    <row r="259" spans="1:17" x14ac:dyDescent="0.3">
      <c r="A259" t="s">
        <v>310</v>
      </c>
      <c r="B259" t="s">
        <v>103</v>
      </c>
      <c r="C259" t="s">
        <v>28</v>
      </c>
      <c r="D259" t="s">
        <v>51</v>
      </c>
      <c r="E259">
        <v>462073</v>
      </c>
      <c r="F259">
        <v>373233</v>
      </c>
      <c r="G259">
        <v>1025664</v>
      </c>
      <c r="H259">
        <v>43745</v>
      </c>
      <c r="I259">
        <v>1930</v>
      </c>
      <c r="J259">
        <v>3996</v>
      </c>
      <c r="K259">
        <f t="shared" si="8"/>
        <v>13.30830875083393</v>
      </c>
      <c r="L259">
        <v>72666</v>
      </c>
      <c r="M259">
        <v>108777</v>
      </c>
      <c r="N259">
        <f t="shared" si="9"/>
        <v>49.694492610023943</v>
      </c>
      <c r="O259">
        <v>46104</v>
      </c>
      <c r="P259">
        <v>46116</v>
      </c>
      <c r="Q259" t="s">
        <v>47</v>
      </c>
    </row>
    <row r="260" spans="1:17" x14ac:dyDescent="0.3">
      <c r="A260" t="s">
        <v>311</v>
      </c>
      <c r="B260" t="s">
        <v>53</v>
      </c>
      <c r="C260" t="s">
        <v>33</v>
      </c>
      <c r="D260" t="s">
        <v>24</v>
      </c>
      <c r="E260">
        <v>1884301</v>
      </c>
      <c r="F260">
        <v>958163</v>
      </c>
      <c r="G260">
        <v>2414029</v>
      </c>
      <c r="H260">
        <v>20430</v>
      </c>
      <c r="I260">
        <v>2071</v>
      </c>
      <c r="J260">
        <v>1376</v>
      </c>
      <c r="K260">
        <f t="shared" si="8"/>
        <v>2.491955961563951</v>
      </c>
      <c r="L260">
        <v>211005</v>
      </c>
      <c r="M260">
        <v>421847</v>
      </c>
      <c r="N260">
        <f t="shared" si="9"/>
        <v>99.92275064571929</v>
      </c>
      <c r="O260">
        <v>45823</v>
      </c>
      <c r="P260">
        <v>45842</v>
      </c>
      <c r="Q260" t="s">
        <v>30</v>
      </c>
    </row>
    <row r="261" spans="1:17" x14ac:dyDescent="0.3">
      <c r="A261" t="s">
        <v>312</v>
      </c>
      <c r="B261" t="s">
        <v>18</v>
      </c>
      <c r="C261" t="s">
        <v>33</v>
      </c>
      <c r="D261" t="s">
        <v>72</v>
      </c>
      <c r="E261">
        <v>256590</v>
      </c>
      <c r="F261">
        <v>161818</v>
      </c>
      <c r="G261">
        <v>268237</v>
      </c>
      <c r="H261">
        <v>20678</v>
      </c>
      <c r="I261">
        <v>1917</v>
      </c>
      <c r="J261">
        <v>1803</v>
      </c>
      <c r="K261">
        <f t="shared" si="8"/>
        <v>15.077432671272664</v>
      </c>
      <c r="L261">
        <v>419915</v>
      </c>
      <c r="M261">
        <v>1251226</v>
      </c>
      <c r="N261">
        <f t="shared" si="9"/>
        <v>197.97125608754155</v>
      </c>
      <c r="O261">
        <v>46066</v>
      </c>
      <c r="P261">
        <v>46093</v>
      </c>
      <c r="Q261" t="s">
        <v>34</v>
      </c>
    </row>
    <row r="262" spans="1:17" x14ac:dyDescent="0.3">
      <c r="A262" t="s">
        <v>313</v>
      </c>
      <c r="B262" t="s">
        <v>36</v>
      </c>
      <c r="C262" t="s">
        <v>28</v>
      </c>
      <c r="D262" t="s">
        <v>40</v>
      </c>
      <c r="E262">
        <v>1213092</v>
      </c>
      <c r="F262">
        <v>581083</v>
      </c>
      <c r="G262">
        <v>1362986</v>
      </c>
      <c r="H262">
        <v>69757</v>
      </c>
      <c r="I262">
        <v>6307</v>
      </c>
      <c r="J262">
        <v>1406</v>
      </c>
      <c r="K262">
        <f t="shared" si="8"/>
        <v>13.33200248501505</v>
      </c>
      <c r="L262">
        <v>465086</v>
      </c>
      <c r="M262">
        <v>2169741</v>
      </c>
      <c r="N262">
        <f t="shared" si="9"/>
        <v>366.52468575704279</v>
      </c>
      <c r="O262">
        <v>46084</v>
      </c>
      <c r="P262">
        <v>46100</v>
      </c>
      <c r="Q262" t="s">
        <v>30</v>
      </c>
    </row>
    <row r="263" spans="1:17" x14ac:dyDescent="0.3">
      <c r="A263" t="s">
        <v>314</v>
      </c>
      <c r="B263" t="s">
        <v>49</v>
      </c>
      <c r="C263" t="s">
        <v>19</v>
      </c>
      <c r="D263" t="s">
        <v>20</v>
      </c>
      <c r="E263">
        <v>909210</v>
      </c>
      <c r="F263">
        <v>780177</v>
      </c>
      <c r="G263">
        <v>1194095</v>
      </c>
      <c r="H263">
        <v>85100</v>
      </c>
      <c r="I263">
        <v>3561</v>
      </c>
      <c r="J263">
        <v>4257</v>
      </c>
      <c r="K263">
        <f t="shared" si="8"/>
        <v>11.909861480151299</v>
      </c>
      <c r="L263">
        <v>318596</v>
      </c>
      <c r="M263">
        <v>481891</v>
      </c>
      <c r="N263">
        <f t="shared" si="9"/>
        <v>51.254566912327839</v>
      </c>
      <c r="O263">
        <v>46148</v>
      </c>
      <c r="P263">
        <v>46167</v>
      </c>
      <c r="Q263" t="s">
        <v>41</v>
      </c>
    </row>
    <row r="264" spans="1:17" x14ac:dyDescent="0.3">
      <c r="A264" t="s">
        <v>315</v>
      </c>
      <c r="B264" t="s">
        <v>61</v>
      </c>
      <c r="C264" t="s">
        <v>33</v>
      </c>
      <c r="D264" t="s">
        <v>46</v>
      </c>
      <c r="E264">
        <v>524425</v>
      </c>
      <c r="F264">
        <v>312108</v>
      </c>
      <c r="G264">
        <v>820107</v>
      </c>
      <c r="H264">
        <v>39658</v>
      </c>
      <c r="I264">
        <v>5869</v>
      </c>
      <c r="J264">
        <v>1399</v>
      </c>
      <c r="K264">
        <f t="shared" si="8"/>
        <v>15.035180129955016</v>
      </c>
      <c r="L264">
        <v>54664</v>
      </c>
      <c r="M264">
        <v>206239</v>
      </c>
      <c r="N264">
        <f t="shared" si="9"/>
        <v>277.28486755451485</v>
      </c>
      <c r="O264">
        <v>45692</v>
      </c>
      <c r="P264">
        <v>45715</v>
      </c>
      <c r="Q264" t="s">
        <v>47</v>
      </c>
    </row>
    <row r="265" spans="1:17" x14ac:dyDescent="0.3">
      <c r="A265" t="s">
        <v>316</v>
      </c>
      <c r="B265" t="s">
        <v>39</v>
      </c>
      <c r="C265" t="s">
        <v>37</v>
      </c>
      <c r="D265" t="s">
        <v>20</v>
      </c>
      <c r="E265">
        <v>1779263</v>
      </c>
      <c r="F265">
        <v>1019071</v>
      </c>
      <c r="G265">
        <v>2746274</v>
      </c>
      <c r="H265">
        <v>50656</v>
      </c>
      <c r="I265">
        <v>3137</v>
      </c>
      <c r="J265">
        <v>3547</v>
      </c>
      <c r="K265">
        <f t="shared" si="8"/>
        <v>5.6266933314754315</v>
      </c>
      <c r="L265">
        <v>409128</v>
      </c>
      <c r="M265">
        <v>1645146</v>
      </c>
      <c r="N265">
        <f t="shared" si="9"/>
        <v>302.11034199565904</v>
      </c>
      <c r="O265">
        <v>45706</v>
      </c>
      <c r="P265">
        <v>45736</v>
      </c>
      <c r="Q265" t="s">
        <v>34</v>
      </c>
    </row>
    <row r="266" spans="1:17" x14ac:dyDescent="0.3">
      <c r="A266" t="s">
        <v>317</v>
      </c>
      <c r="B266" t="s">
        <v>27</v>
      </c>
      <c r="C266" t="s">
        <v>19</v>
      </c>
      <c r="D266" t="s">
        <v>46</v>
      </c>
      <c r="E266">
        <v>855428</v>
      </c>
      <c r="F266">
        <v>279586</v>
      </c>
      <c r="G266">
        <v>485539</v>
      </c>
      <c r="H266">
        <v>15534</v>
      </c>
      <c r="I266">
        <v>2107</v>
      </c>
      <c r="J266">
        <v>921</v>
      </c>
      <c r="K266">
        <f t="shared" si="8"/>
        <v>6.6391021009635676</v>
      </c>
      <c r="L266">
        <v>370378</v>
      </c>
      <c r="M266">
        <v>1618571</v>
      </c>
      <c r="N266">
        <f t="shared" si="9"/>
        <v>337.0051676935455</v>
      </c>
      <c r="O266">
        <v>45908</v>
      </c>
      <c r="P266">
        <v>45934</v>
      </c>
      <c r="Q266" t="s">
        <v>54</v>
      </c>
    </row>
    <row r="267" spans="1:17" x14ac:dyDescent="0.3">
      <c r="A267" t="s">
        <v>318</v>
      </c>
      <c r="B267" t="s">
        <v>27</v>
      </c>
      <c r="C267" t="s">
        <v>28</v>
      </c>
      <c r="D267" t="s">
        <v>46</v>
      </c>
      <c r="E267">
        <v>859246</v>
      </c>
      <c r="F267">
        <v>565927</v>
      </c>
      <c r="G267">
        <v>1564132</v>
      </c>
      <c r="H267">
        <v>28152</v>
      </c>
      <c r="I267">
        <v>3284</v>
      </c>
      <c r="J267">
        <v>2215</v>
      </c>
      <c r="K267">
        <f t="shared" si="8"/>
        <v>5.9461732696973284</v>
      </c>
      <c r="L267">
        <v>338617</v>
      </c>
      <c r="M267">
        <v>1429288</v>
      </c>
      <c r="N267">
        <f t="shared" si="9"/>
        <v>322.09576010655104</v>
      </c>
      <c r="O267">
        <v>45689</v>
      </c>
      <c r="P267">
        <v>45716</v>
      </c>
      <c r="Q267" t="s">
        <v>54</v>
      </c>
    </row>
    <row r="268" spans="1:17" x14ac:dyDescent="0.3">
      <c r="A268" t="s">
        <v>319</v>
      </c>
      <c r="B268" t="s">
        <v>103</v>
      </c>
      <c r="C268" t="s">
        <v>43</v>
      </c>
      <c r="D268" t="s">
        <v>20</v>
      </c>
      <c r="E268">
        <v>685701</v>
      </c>
      <c r="F268">
        <v>330125</v>
      </c>
      <c r="G268">
        <v>726346</v>
      </c>
      <c r="H268">
        <v>30736</v>
      </c>
      <c r="I268">
        <v>3682</v>
      </c>
      <c r="J268">
        <v>2388</v>
      </c>
      <c r="K268">
        <f t="shared" si="8"/>
        <v>11.149110185535783</v>
      </c>
      <c r="L268">
        <v>71052</v>
      </c>
      <c r="M268">
        <v>186782</v>
      </c>
      <c r="N268">
        <f t="shared" si="9"/>
        <v>162.88070708776669</v>
      </c>
      <c r="O268">
        <v>46057</v>
      </c>
      <c r="P268">
        <v>46081</v>
      </c>
      <c r="Q268" t="s">
        <v>54</v>
      </c>
    </row>
    <row r="269" spans="1:17" x14ac:dyDescent="0.3">
      <c r="A269" t="s">
        <v>320</v>
      </c>
      <c r="B269" t="s">
        <v>45</v>
      </c>
      <c r="C269" t="s">
        <v>33</v>
      </c>
      <c r="D269" t="s">
        <v>72</v>
      </c>
      <c r="E269">
        <v>1518140</v>
      </c>
      <c r="F269">
        <v>1295846</v>
      </c>
      <c r="G269">
        <v>1960851</v>
      </c>
      <c r="H269">
        <v>68910</v>
      </c>
      <c r="I269">
        <v>7762</v>
      </c>
      <c r="J269">
        <v>4544</v>
      </c>
      <c r="K269">
        <f t="shared" si="8"/>
        <v>6.2674114053676133</v>
      </c>
      <c r="L269">
        <v>341725</v>
      </c>
      <c r="M269">
        <v>995692</v>
      </c>
      <c r="N269">
        <f t="shared" si="9"/>
        <v>191.37230228985297</v>
      </c>
      <c r="O269">
        <v>45780</v>
      </c>
      <c r="P269">
        <v>45810</v>
      </c>
      <c r="Q269" t="s">
        <v>47</v>
      </c>
    </row>
    <row r="270" spans="1:17" x14ac:dyDescent="0.3">
      <c r="A270" t="s">
        <v>321</v>
      </c>
      <c r="B270" t="s">
        <v>75</v>
      </c>
      <c r="C270" t="s">
        <v>28</v>
      </c>
      <c r="D270" t="s">
        <v>20</v>
      </c>
      <c r="E270">
        <v>482334</v>
      </c>
      <c r="F270">
        <v>278428</v>
      </c>
      <c r="G270">
        <v>368297</v>
      </c>
      <c r="H270">
        <v>6012</v>
      </c>
      <c r="I270">
        <v>543</v>
      </c>
      <c r="J270">
        <v>461</v>
      </c>
      <c r="K270">
        <f t="shared" si="8"/>
        <v>2.5198615081816484</v>
      </c>
      <c r="L270">
        <v>219058</v>
      </c>
      <c r="M270">
        <v>647552</v>
      </c>
      <c r="N270">
        <f t="shared" si="9"/>
        <v>195.60755598973788</v>
      </c>
      <c r="O270">
        <v>45785</v>
      </c>
      <c r="P270">
        <v>45811</v>
      </c>
      <c r="Q270" t="s">
        <v>21</v>
      </c>
    </row>
    <row r="271" spans="1:17" x14ac:dyDescent="0.3">
      <c r="A271" t="s">
        <v>322</v>
      </c>
      <c r="B271" t="s">
        <v>103</v>
      </c>
      <c r="C271" t="s">
        <v>28</v>
      </c>
      <c r="D271" t="s">
        <v>58</v>
      </c>
      <c r="E271">
        <v>1318302</v>
      </c>
      <c r="F271">
        <v>1029488</v>
      </c>
      <c r="G271">
        <v>1666169</v>
      </c>
      <c r="H271">
        <v>57897</v>
      </c>
      <c r="I271">
        <v>7291</v>
      </c>
      <c r="J271">
        <v>4525</v>
      </c>
      <c r="K271">
        <f t="shared" si="8"/>
        <v>6.7716185132803881</v>
      </c>
      <c r="L271">
        <v>329900</v>
      </c>
      <c r="M271">
        <v>1547963</v>
      </c>
      <c r="N271">
        <f t="shared" si="9"/>
        <v>369.22188541982422</v>
      </c>
      <c r="O271">
        <v>45983</v>
      </c>
      <c r="P271">
        <v>45998</v>
      </c>
      <c r="Q271" t="s">
        <v>25</v>
      </c>
    </row>
    <row r="272" spans="1:17" x14ac:dyDescent="0.3">
      <c r="A272" t="s">
        <v>323</v>
      </c>
      <c r="B272" t="s">
        <v>103</v>
      </c>
      <c r="C272" t="s">
        <v>19</v>
      </c>
      <c r="D272" t="s">
        <v>40</v>
      </c>
      <c r="E272">
        <v>1766927</v>
      </c>
      <c r="F272">
        <v>1421520</v>
      </c>
      <c r="G272">
        <v>4049078</v>
      </c>
      <c r="H272">
        <v>140997</v>
      </c>
      <c r="I272">
        <v>8553</v>
      </c>
      <c r="J272">
        <v>9345</v>
      </c>
      <c r="K272">
        <f t="shared" si="8"/>
        <v>11.177823737970623</v>
      </c>
      <c r="L272">
        <v>260533</v>
      </c>
      <c r="M272">
        <v>303488</v>
      </c>
      <c r="N272">
        <f t="shared" si="9"/>
        <v>16.487354768877648</v>
      </c>
      <c r="O272">
        <v>45988</v>
      </c>
      <c r="P272">
        <v>46004</v>
      </c>
      <c r="Q272" t="s">
        <v>47</v>
      </c>
    </row>
    <row r="273" spans="1:17" x14ac:dyDescent="0.3">
      <c r="A273" t="s">
        <v>324</v>
      </c>
      <c r="B273" t="s">
        <v>49</v>
      </c>
      <c r="C273" t="s">
        <v>43</v>
      </c>
      <c r="D273" t="s">
        <v>24</v>
      </c>
      <c r="E273">
        <v>895840</v>
      </c>
      <c r="F273">
        <v>259313</v>
      </c>
      <c r="G273">
        <v>692175</v>
      </c>
      <c r="H273">
        <v>21030</v>
      </c>
      <c r="I273">
        <v>1532</v>
      </c>
      <c r="J273">
        <v>1583</v>
      </c>
      <c r="K273">
        <f t="shared" si="8"/>
        <v>9.3111413619833954</v>
      </c>
      <c r="L273">
        <v>120413</v>
      </c>
      <c r="M273">
        <v>346374</v>
      </c>
      <c r="N273">
        <f t="shared" si="9"/>
        <v>187.65498741830203</v>
      </c>
      <c r="O273">
        <v>46088</v>
      </c>
      <c r="P273">
        <v>46100</v>
      </c>
      <c r="Q273" t="s">
        <v>30</v>
      </c>
    </row>
    <row r="274" spans="1:17" x14ac:dyDescent="0.3">
      <c r="A274" t="s">
        <v>325</v>
      </c>
      <c r="B274" t="s">
        <v>45</v>
      </c>
      <c r="C274" t="s">
        <v>43</v>
      </c>
      <c r="D274" t="s">
        <v>40</v>
      </c>
      <c r="E274">
        <v>715760</v>
      </c>
      <c r="F274">
        <v>307142</v>
      </c>
      <c r="G274">
        <v>433421</v>
      </c>
      <c r="H274">
        <v>9867</v>
      </c>
      <c r="I274">
        <v>526</v>
      </c>
      <c r="J274">
        <v>247</v>
      </c>
      <c r="K274">
        <f t="shared" si="8"/>
        <v>3.4641957140345507</v>
      </c>
      <c r="L274">
        <v>84900</v>
      </c>
      <c r="M274">
        <v>142287</v>
      </c>
      <c r="N274">
        <f t="shared" si="9"/>
        <v>67.593639575971736</v>
      </c>
      <c r="O274">
        <v>46047</v>
      </c>
      <c r="P274">
        <v>46055</v>
      </c>
      <c r="Q274" t="s">
        <v>21</v>
      </c>
    </row>
    <row r="275" spans="1:17" x14ac:dyDescent="0.3">
      <c r="A275" t="s">
        <v>326</v>
      </c>
      <c r="B275" t="s">
        <v>53</v>
      </c>
      <c r="C275" t="s">
        <v>37</v>
      </c>
      <c r="D275" t="s">
        <v>20</v>
      </c>
      <c r="E275">
        <v>1720813</v>
      </c>
      <c r="F275">
        <v>1104019</v>
      </c>
      <c r="G275">
        <v>2240544</v>
      </c>
      <c r="H275">
        <v>42452</v>
      </c>
      <c r="I275">
        <v>3606</v>
      </c>
      <c r="J275">
        <v>2028</v>
      </c>
      <c r="K275">
        <f t="shared" si="8"/>
        <v>4.3555409825374385</v>
      </c>
      <c r="L275">
        <v>448049</v>
      </c>
      <c r="M275">
        <v>1248693</v>
      </c>
      <c r="N275">
        <f t="shared" si="9"/>
        <v>178.69563373648865</v>
      </c>
      <c r="O275">
        <v>45879</v>
      </c>
      <c r="P275">
        <v>45887</v>
      </c>
      <c r="Q275" t="s">
        <v>21</v>
      </c>
    </row>
    <row r="276" spans="1:17" x14ac:dyDescent="0.3">
      <c r="A276" t="s">
        <v>327</v>
      </c>
      <c r="B276" t="s">
        <v>45</v>
      </c>
      <c r="C276" t="s">
        <v>19</v>
      </c>
      <c r="D276" t="s">
        <v>20</v>
      </c>
      <c r="E276">
        <v>142461</v>
      </c>
      <c r="F276">
        <v>126649</v>
      </c>
      <c r="G276">
        <v>311066</v>
      </c>
      <c r="H276">
        <v>5431</v>
      </c>
      <c r="I276">
        <v>529</v>
      </c>
      <c r="J276">
        <v>430</v>
      </c>
      <c r="K276">
        <f t="shared" si="8"/>
        <v>5.0454405482869982</v>
      </c>
      <c r="L276">
        <v>498366</v>
      </c>
      <c r="M276">
        <v>1075609</v>
      </c>
      <c r="N276">
        <f t="shared" si="9"/>
        <v>115.82712303808846</v>
      </c>
      <c r="O276">
        <v>45846</v>
      </c>
      <c r="P276">
        <v>45868</v>
      </c>
      <c r="Q276" t="s">
        <v>54</v>
      </c>
    </row>
    <row r="277" spans="1:17" x14ac:dyDescent="0.3">
      <c r="A277" t="s">
        <v>328</v>
      </c>
      <c r="B277" t="s">
        <v>45</v>
      </c>
      <c r="C277" t="s">
        <v>19</v>
      </c>
      <c r="D277" t="s">
        <v>24</v>
      </c>
      <c r="E277">
        <v>616332</v>
      </c>
      <c r="F277">
        <v>268023</v>
      </c>
      <c r="G277">
        <v>312067</v>
      </c>
      <c r="H277">
        <v>27430</v>
      </c>
      <c r="I277">
        <v>1357</v>
      </c>
      <c r="J277">
        <v>2325</v>
      </c>
      <c r="K277">
        <f t="shared" si="8"/>
        <v>11.607959018442447</v>
      </c>
      <c r="L277">
        <v>57179</v>
      </c>
      <c r="M277">
        <v>233990</v>
      </c>
      <c r="N277">
        <f t="shared" si="9"/>
        <v>309.22366603123527</v>
      </c>
      <c r="O277">
        <v>45937</v>
      </c>
      <c r="P277">
        <v>45966</v>
      </c>
      <c r="Q277" t="s">
        <v>41</v>
      </c>
    </row>
    <row r="278" spans="1:17" x14ac:dyDescent="0.3">
      <c r="A278" t="s">
        <v>329</v>
      </c>
      <c r="B278" t="s">
        <v>61</v>
      </c>
      <c r="C278" t="s">
        <v>43</v>
      </c>
      <c r="D278" t="s">
        <v>29</v>
      </c>
      <c r="E278">
        <v>605640</v>
      </c>
      <c r="F278">
        <v>417434</v>
      </c>
      <c r="G278">
        <v>1000177</v>
      </c>
      <c r="H278">
        <v>24764</v>
      </c>
      <c r="I278">
        <v>3407</v>
      </c>
      <c r="J278">
        <v>1815</v>
      </c>
      <c r="K278">
        <f t="shared" si="8"/>
        <v>7.1834110302466971</v>
      </c>
      <c r="L278">
        <v>175956</v>
      </c>
      <c r="M278">
        <v>606696</v>
      </c>
      <c r="N278">
        <f t="shared" si="9"/>
        <v>244.79983632271703</v>
      </c>
      <c r="O278">
        <v>45721</v>
      </c>
      <c r="P278">
        <v>45729</v>
      </c>
      <c r="Q278" t="s">
        <v>21</v>
      </c>
    </row>
    <row r="279" spans="1:17" x14ac:dyDescent="0.3">
      <c r="A279" t="s">
        <v>330</v>
      </c>
      <c r="B279" t="s">
        <v>80</v>
      </c>
      <c r="C279" t="s">
        <v>33</v>
      </c>
      <c r="D279" t="s">
        <v>46</v>
      </c>
      <c r="E279">
        <v>546833</v>
      </c>
      <c r="F279">
        <v>310460</v>
      </c>
      <c r="G279">
        <v>572488</v>
      </c>
      <c r="H279">
        <v>22587</v>
      </c>
      <c r="I279">
        <v>1420</v>
      </c>
      <c r="J279">
        <v>1431</v>
      </c>
      <c r="K279">
        <f t="shared" si="8"/>
        <v>8.1936481350254464</v>
      </c>
      <c r="L279">
        <v>352943</v>
      </c>
      <c r="M279">
        <v>636717</v>
      </c>
      <c r="N279">
        <f t="shared" si="9"/>
        <v>80.402217921874069</v>
      </c>
      <c r="O279">
        <v>46081</v>
      </c>
      <c r="P279">
        <v>46089</v>
      </c>
      <c r="Q279" t="s">
        <v>47</v>
      </c>
    </row>
    <row r="280" spans="1:17" x14ac:dyDescent="0.3">
      <c r="A280" t="s">
        <v>331</v>
      </c>
      <c r="B280" t="s">
        <v>32</v>
      </c>
      <c r="C280" t="s">
        <v>28</v>
      </c>
      <c r="D280" t="s">
        <v>46</v>
      </c>
      <c r="E280">
        <v>1695113</v>
      </c>
      <c r="F280">
        <v>1154813</v>
      </c>
      <c r="G280">
        <v>2860102</v>
      </c>
      <c r="H280">
        <v>132533</v>
      </c>
      <c r="I280">
        <v>7106</v>
      </c>
      <c r="J280">
        <v>8050</v>
      </c>
      <c r="K280">
        <f t="shared" si="8"/>
        <v>12.788997006441734</v>
      </c>
      <c r="L280">
        <v>351920</v>
      </c>
      <c r="M280">
        <v>1613412</v>
      </c>
      <c r="N280">
        <f t="shared" si="9"/>
        <v>358.45987724482836</v>
      </c>
      <c r="O280">
        <v>45783</v>
      </c>
      <c r="P280">
        <v>45809</v>
      </c>
      <c r="Q280" t="s">
        <v>41</v>
      </c>
    </row>
    <row r="281" spans="1:17" x14ac:dyDescent="0.3">
      <c r="A281" t="s">
        <v>332</v>
      </c>
      <c r="B281" t="s">
        <v>18</v>
      </c>
      <c r="C281" t="s">
        <v>33</v>
      </c>
      <c r="D281" t="s">
        <v>40</v>
      </c>
      <c r="E281">
        <v>1261302</v>
      </c>
      <c r="F281">
        <v>728514</v>
      </c>
      <c r="G281">
        <v>2173175</v>
      </c>
      <c r="H281">
        <v>59468</v>
      </c>
      <c r="I281">
        <v>7220</v>
      </c>
      <c r="J281">
        <v>5880</v>
      </c>
      <c r="K281">
        <f t="shared" si="8"/>
        <v>9.9610988944618768</v>
      </c>
      <c r="L281">
        <v>458267</v>
      </c>
      <c r="M281">
        <v>2180897</v>
      </c>
      <c r="N281">
        <f t="shared" si="9"/>
        <v>375.90094857364812</v>
      </c>
      <c r="O281">
        <v>46008</v>
      </c>
      <c r="P281">
        <v>46030</v>
      </c>
      <c r="Q281" t="s">
        <v>21</v>
      </c>
    </row>
    <row r="282" spans="1:17" x14ac:dyDescent="0.3">
      <c r="A282" t="s">
        <v>333</v>
      </c>
      <c r="B282" t="s">
        <v>45</v>
      </c>
      <c r="C282" t="s">
        <v>19</v>
      </c>
      <c r="D282" t="s">
        <v>20</v>
      </c>
      <c r="E282">
        <v>265102</v>
      </c>
      <c r="F282">
        <v>205728</v>
      </c>
      <c r="G282">
        <v>399116</v>
      </c>
      <c r="H282">
        <v>17831</v>
      </c>
      <c r="I282">
        <v>1819</v>
      </c>
      <c r="J282">
        <v>1467</v>
      </c>
      <c r="K282">
        <f t="shared" si="8"/>
        <v>10.264524031731218</v>
      </c>
      <c r="L282">
        <v>228752</v>
      </c>
      <c r="M282">
        <v>434784</v>
      </c>
      <c r="N282">
        <f t="shared" si="9"/>
        <v>90.067846401342948</v>
      </c>
      <c r="O282">
        <v>45889</v>
      </c>
      <c r="P282">
        <v>45913</v>
      </c>
      <c r="Q282" t="s">
        <v>34</v>
      </c>
    </row>
    <row r="283" spans="1:17" x14ac:dyDescent="0.3">
      <c r="A283" t="s">
        <v>334</v>
      </c>
      <c r="B283" t="s">
        <v>80</v>
      </c>
      <c r="C283" t="s">
        <v>33</v>
      </c>
      <c r="D283" t="s">
        <v>29</v>
      </c>
      <c r="E283">
        <v>1066284</v>
      </c>
      <c r="F283">
        <v>279535</v>
      </c>
      <c r="G283">
        <v>701368</v>
      </c>
      <c r="H283">
        <v>11628</v>
      </c>
      <c r="I283">
        <v>939</v>
      </c>
      <c r="J283">
        <v>336</v>
      </c>
      <c r="K283">
        <f t="shared" si="8"/>
        <v>4.6158799434775615</v>
      </c>
      <c r="L283">
        <v>134085</v>
      </c>
      <c r="M283">
        <v>502898</v>
      </c>
      <c r="N283">
        <f t="shared" si="9"/>
        <v>275.05910429951149</v>
      </c>
      <c r="O283">
        <v>45931</v>
      </c>
      <c r="P283">
        <v>45944</v>
      </c>
      <c r="Q283" t="s">
        <v>41</v>
      </c>
    </row>
    <row r="284" spans="1:17" x14ac:dyDescent="0.3">
      <c r="A284" t="s">
        <v>335</v>
      </c>
      <c r="B284" t="s">
        <v>61</v>
      </c>
      <c r="C284" t="s">
        <v>43</v>
      </c>
      <c r="D284" t="s">
        <v>51</v>
      </c>
      <c r="E284">
        <v>720138</v>
      </c>
      <c r="F284">
        <v>334862</v>
      </c>
      <c r="G284">
        <v>891394</v>
      </c>
      <c r="H284">
        <v>21546</v>
      </c>
      <c r="I284">
        <v>1502</v>
      </c>
      <c r="J284">
        <v>1067</v>
      </c>
      <c r="K284">
        <f t="shared" si="8"/>
        <v>7.2014740400523207</v>
      </c>
      <c r="L284">
        <v>371678</v>
      </c>
      <c r="M284">
        <v>1366949</v>
      </c>
      <c r="N284">
        <f t="shared" si="9"/>
        <v>267.77775386221407</v>
      </c>
      <c r="O284">
        <v>45867</v>
      </c>
      <c r="P284">
        <v>45889</v>
      </c>
      <c r="Q284" t="s">
        <v>21</v>
      </c>
    </row>
    <row r="285" spans="1:17" x14ac:dyDescent="0.3">
      <c r="A285" t="s">
        <v>336</v>
      </c>
      <c r="B285" t="s">
        <v>49</v>
      </c>
      <c r="C285" t="s">
        <v>43</v>
      </c>
      <c r="D285" t="s">
        <v>24</v>
      </c>
      <c r="E285">
        <v>1364101</v>
      </c>
      <c r="F285">
        <v>1047931</v>
      </c>
      <c r="G285">
        <v>2500684</v>
      </c>
      <c r="H285">
        <v>118218</v>
      </c>
      <c r="I285">
        <v>4198</v>
      </c>
      <c r="J285">
        <v>8265</v>
      </c>
      <c r="K285">
        <f t="shared" si="8"/>
        <v>12.470382114852981</v>
      </c>
      <c r="L285">
        <v>179242</v>
      </c>
      <c r="M285">
        <v>390576</v>
      </c>
      <c r="N285">
        <f t="shared" si="9"/>
        <v>117.90428582586669</v>
      </c>
      <c r="O285">
        <v>46113</v>
      </c>
      <c r="P285">
        <v>46131</v>
      </c>
      <c r="Q285" t="s">
        <v>34</v>
      </c>
    </row>
    <row r="286" spans="1:17" x14ac:dyDescent="0.3">
      <c r="A286" t="s">
        <v>337</v>
      </c>
      <c r="B286" t="s">
        <v>53</v>
      </c>
      <c r="C286" t="s">
        <v>37</v>
      </c>
      <c r="D286" t="s">
        <v>58</v>
      </c>
      <c r="E286">
        <v>1385607</v>
      </c>
      <c r="F286">
        <v>682239</v>
      </c>
      <c r="G286">
        <v>1237943</v>
      </c>
      <c r="H286">
        <v>20977</v>
      </c>
      <c r="I286">
        <v>1933</v>
      </c>
      <c r="J286">
        <v>1201</v>
      </c>
      <c r="K286">
        <f t="shared" si="8"/>
        <v>3.5340987542488773</v>
      </c>
      <c r="L286">
        <v>405457</v>
      </c>
      <c r="M286">
        <v>638939</v>
      </c>
      <c r="N286">
        <f t="shared" si="9"/>
        <v>57.584898028644218</v>
      </c>
      <c r="O286">
        <v>45778</v>
      </c>
      <c r="P286">
        <v>45791</v>
      </c>
      <c r="Q286" t="s">
        <v>54</v>
      </c>
    </row>
    <row r="287" spans="1:17" x14ac:dyDescent="0.3">
      <c r="A287" t="s">
        <v>338</v>
      </c>
      <c r="B287" t="s">
        <v>32</v>
      </c>
      <c r="C287" t="s">
        <v>33</v>
      </c>
      <c r="D287" t="s">
        <v>58</v>
      </c>
      <c r="E287">
        <v>829507</v>
      </c>
      <c r="F287">
        <v>562959</v>
      </c>
      <c r="G287">
        <v>684300</v>
      </c>
      <c r="H287">
        <v>82498</v>
      </c>
      <c r="I287">
        <v>8503</v>
      </c>
      <c r="J287">
        <v>2634</v>
      </c>
      <c r="K287">
        <f t="shared" si="8"/>
        <v>16.632649979838675</v>
      </c>
      <c r="L287">
        <v>316834</v>
      </c>
      <c r="M287">
        <v>1405827</v>
      </c>
      <c r="N287">
        <f t="shared" si="9"/>
        <v>343.71090223902735</v>
      </c>
      <c r="O287">
        <v>46074</v>
      </c>
      <c r="P287">
        <v>46087</v>
      </c>
      <c r="Q287" t="s">
        <v>41</v>
      </c>
    </row>
    <row r="288" spans="1:17" x14ac:dyDescent="0.3">
      <c r="A288" t="s">
        <v>339</v>
      </c>
      <c r="B288" t="s">
        <v>57</v>
      </c>
      <c r="C288" t="s">
        <v>37</v>
      </c>
      <c r="D288" t="s">
        <v>20</v>
      </c>
      <c r="E288">
        <v>487343</v>
      </c>
      <c r="F288">
        <v>344680</v>
      </c>
      <c r="G288">
        <v>600393</v>
      </c>
      <c r="H288">
        <v>17555</v>
      </c>
      <c r="I288">
        <v>1986</v>
      </c>
      <c r="J288">
        <v>1701</v>
      </c>
      <c r="K288">
        <f t="shared" si="8"/>
        <v>6.1628176859695953</v>
      </c>
      <c r="L288">
        <v>61348</v>
      </c>
      <c r="M288">
        <v>250298</v>
      </c>
      <c r="N288">
        <f t="shared" si="9"/>
        <v>307.99700071721981</v>
      </c>
      <c r="O288">
        <v>45827</v>
      </c>
      <c r="P288">
        <v>45849</v>
      </c>
      <c r="Q288" t="s">
        <v>25</v>
      </c>
    </row>
    <row r="289" spans="1:17" x14ac:dyDescent="0.3">
      <c r="A289" t="s">
        <v>340</v>
      </c>
      <c r="B289" t="s">
        <v>18</v>
      </c>
      <c r="C289" t="s">
        <v>33</v>
      </c>
      <c r="D289" t="s">
        <v>29</v>
      </c>
      <c r="E289">
        <v>536995</v>
      </c>
      <c r="F289">
        <v>294529</v>
      </c>
      <c r="G289">
        <v>798540</v>
      </c>
      <c r="H289">
        <v>30421</v>
      </c>
      <c r="I289">
        <v>3426</v>
      </c>
      <c r="J289">
        <v>1194</v>
      </c>
      <c r="K289">
        <f t="shared" si="8"/>
        <v>11.897300435610756</v>
      </c>
      <c r="L289">
        <v>55353</v>
      </c>
      <c r="M289">
        <v>129418</v>
      </c>
      <c r="N289">
        <f t="shared" si="9"/>
        <v>133.80485249218651</v>
      </c>
      <c r="O289">
        <v>45882</v>
      </c>
      <c r="P289">
        <v>45900</v>
      </c>
      <c r="Q289" t="s">
        <v>78</v>
      </c>
    </row>
    <row r="290" spans="1:17" x14ac:dyDescent="0.3">
      <c r="A290" t="s">
        <v>341</v>
      </c>
      <c r="B290" t="s">
        <v>36</v>
      </c>
      <c r="C290" t="s">
        <v>19</v>
      </c>
      <c r="D290" t="s">
        <v>29</v>
      </c>
      <c r="E290">
        <v>1480293</v>
      </c>
      <c r="F290">
        <v>1221336</v>
      </c>
      <c r="G290">
        <v>2729978</v>
      </c>
      <c r="H290">
        <v>103253</v>
      </c>
      <c r="I290">
        <v>5742</v>
      </c>
      <c r="J290">
        <v>9245</v>
      </c>
      <c r="K290">
        <f t="shared" si="8"/>
        <v>9.6812015694288878</v>
      </c>
      <c r="L290">
        <v>12531</v>
      </c>
      <c r="M290">
        <v>45347</v>
      </c>
      <c r="N290">
        <f t="shared" si="9"/>
        <v>261.87854121777991</v>
      </c>
      <c r="O290">
        <v>46075</v>
      </c>
      <c r="P290">
        <v>46090</v>
      </c>
      <c r="Q290" t="s">
        <v>47</v>
      </c>
    </row>
    <row r="291" spans="1:17" x14ac:dyDescent="0.3">
      <c r="A291" t="s">
        <v>342</v>
      </c>
      <c r="B291" t="s">
        <v>27</v>
      </c>
      <c r="C291" t="s">
        <v>37</v>
      </c>
      <c r="D291" t="s">
        <v>51</v>
      </c>
      <c r="E291">
        <v>1574368</v>
      </c>
      <c r="F291">
        <v>1193124</v>
      </c>
      <c r="G291">
        <v>2768635</v>
      </c>
      <c r="H291">
        <v>103577</v>
      </c>
      <c r="I291">
        <v>9320</v>
      </c>
      <c r="J291">
        <v>5057</v>
      </c>
      <c r="K291">
        <f t="shared" si="8"/>
        <v>9.8861476258963865</v>
      </c>
      <c r="L291">
        <v>66174</v>
      </c>
      <c r="M291">
        <v>289446</v>
      </c>
      <c r="N291">
        <f t="shared" si="9"/>
        <v>337.40139631879589</v>
      </c>
      <c r="O291">
        <v>45689</v>
      </c>
      <c r="P291">
        <v>45719</v>
      </c>
      <c r="Q291" t="s">
        <v>21</v>
      </c>
    </row>
    <row r="292" spans="1:17" x14ac:dyDescent="0.3">
      <c r="A292" t="s">
        <v>343</v>
      </c>
      <c r="B292" t="s">
        <v>63</v>
      </c>
      <c r="C292" t="s">
        <v>19</v>
      </c>
      <c r="D292" t="s">
        <v>20</v>
      </c>
      <c r="E292">
        <v>158601</v>
      </c>
      <c r="F292">
        <v>58542</v>
      </c>
      <c r="G292">
        <v>134759</v>
      </c>
      <c r="H292">
        <v>3529</v>
      </c>
      <c r="I292">
        <v>106</v>
      </c>
      <c r="J292">
        <v>224</v>
      </c>
      <c r="K292">
        <f t="shared" si="8"/>
        <v>6.5918485873390038</v>
      </c>
      <c r="L292">
        <v>236564</v>
      </c>
      <c r="M292">
        <v>507338</v>
      </c>
      <c r="N292">
        <f t="shared" si="9"/>
        <v>114.4612028880134</v>
      </c>
      <c r="O292">
        <v>45911</v>
      </c>
      <c r="P292">
        <v>45938</v>
      </c>
      <c r="Q292" t="s">
        <v>34</v>
      </c>
    </row>
    <row r="293" spans="1:17" x14ac:dyDescent="0.3">
      <c r="A293" t="s">
        <v>344</v>
      </c>
      <c r="B293" t="s">
        <v>45</v>
      </c>
      <c r="C293" t="s">
        <v>33</v>
      </c>
      <c r="D293" t="s">
        <v>29</v>
      </c>
      <c r="E293">
        <v>1344243</v>
      </c>
      <c r="F293">
        <v>982473</v>
      </c>
      <c r="G293">
        <v>2052386</v>
      </c>
      <c r="H293">
        <v>106103</v>
      </c>
      <c r="I293">
        <v>6556</v>
      </c>
      <c r="J293">
        <v>4108</v>
      </c>
      <c r="K293">
        <f t="shared" si="8"/>
        <v>11.88500854476408</v>
      </c>
      <c r="L293">
        <v>298093</v>
      </c>
      <c r="M293">
        <v>506611</v>
      </c>
      <c r="N293">
        <f t="shared" si="9"/>
        <v>69.950652984135814</v>
      </c>
      <c r="O293">
        <v>46068</v>
      </c>
      <c r="P293">
        <v>46097</v>
      </c>
      <c r="Q293" t="s">
        <v>47</v>
      </c>
    </row>
    <row r="294" spans="1:17" x14ac:dyDescent="0.3">
      <c r="A294" t="s">
        <v>345</v>
      </c>
      <c r="B294" t="s">
        <v>63</v>
      </c>
      <c r="C294" t="s">
        <v>33</v>
      </c>
      <c r="D294" t="s">
        <v>72</v>
      </c>
      <c r="E294">
        <v>375287</v>
      </c>
      <c r="F294">
        <v>288922</v>
      </c>
      <c r="G294">
        <v>546794</v>
      </c>
      <c r="H294">
        <v>42247</v>
      </c>
      <c r="I294">
        <v>3576</v>
      </c>
      <c r="J294">
        <v>2544</v>
      </c>
      <c r="K294">
        <f t="shared" si="8"/>
        <v>16.740504357577475</v>
      </c>
      <c r="L294">
        <v>50879</v>
      </c>
      <c r="M294">
        <v>191167</v>
      </c>
      <c r="N294">
        <f t="shared" si="9"/>
        <v>275.72868963619567</v>
      </c>
      <c r="O294">
        <v>45710</v>
      </c>
      <c r="P294">
        <v>45718</v>
      </c>
      <c r="Q294" t="s">
        <v>54</v>
      </c>
    </row>
    <row r="295" spans="1:17" x14ac:dyDescent="0.3">
      <c r="A295" t="s">
        <v>346</v>
      </c>
      <c r="B295" t="s">
        <v>49</v>
      </c>
      <c r="C295" t="s">
        <v>28</v>
      </c>
      <c r="D295" t="s">
        <v>72</v>
      </c>
      <c r="E295">
        <v>971975</v>
      </c>
      <c r="F295">
        <v>363868</v>
      </c>
      <c r="G295">
        <v>401820</v>
      </c>
      <c r="H295">
        <v>15796</v>
      </c>
      <c r="I295">
        <v>2148</v>
      </c>
      <c r="J295">
        <v>491</v>
      </c>
      <c r="K295">
        <f t="shared" si="8"/>
        <v>5.0663977046621307</v>
      </c>
      <c r="L295">
        <v>330645</v>
      </c>
      <c r="M295">
        <v>518344</v>
      </c>
      <c r="N295">
        <f t="shared" si="9"/>
        <v>56.767530130502507</v>
      </c>
      <c r="O295">
        <v>45999</v>
      </c>
      <c r="P295">
        <v>46015</v>
      </c>
      <c r="Q295" t="s">
        <v>25</v>
      </c>
    </row>
    <row r="296" spans="1:17" x14ac:dyDescent="0.3">
      <c r="A296" t="s">
        <v>347</v>
      </c>
      <c r="B296" t="s">
        <v>49</v>
      </c>
      <c r="C296" t="s">
        <v>19</v>
      </c>
      <c r="D296" t="s">
        <v>40</v>
      </c>
      <c r="E296">
        <v>1634818</v>
      </c>
      <c r="F296">
        <v>1129946</v>
      </c>
      <c r="G296">
        <v>1362515</v>
      </c>
      <c r="H296">
        <v>122574</v>
      </c>
      <c r="I296">
        <v>9241</v>
      </c>
      <c r="J296">
        <v>11038</v>
      </c>
      <c r="K296">
        <f t="shared" si="8"/>
        <v>12.642462560157741</v>
      </c>
      <c r="L296">
        <v>117168</v>
      </c>
      <c r="M296">
        <v>529151</v>
      </c>
      <c r="N296">
        <f t="shared" si="9"/>
        <v>351.61733579134238</v>
      </c>
      <c r="O296">
        <v>45823</v>
      </c>
      <c r="P296">
        <v>45839</v>
      </c>
      <c r="Q296" t="s">
        <v>41</v>
      </c>
    </row>
    <row r="297" spans="1:17" x14ac:dyDescent="0.3">
      <c r="A297" t="s">
        <v>348</v>
      </c>
      <c r="B297" t="s">
        <v>75</v>
      </c>
      <c r="C297" t="s">
        <v>37</v>
      </c>
      <c r="D297" t="s">
        <v>58</v>
      </c>
      <c r="E297">
        <v>863789</v>
      </c>
      <c r="F297">
        <v>482383</v>
      </c>
      <c r="G297">
        <v>1194343</v>
      </c>
      <c r="H297">
        <v>71064</v>
      </c>
      <c r="I297">
        <v>7041</v>
      </c>
      <c r="J297">
        <v>1463</v>
      </c>
      <c r="K297">
        <f t="shared" si="8"/>
        <v>16.494776971825292</v>
      </c>
      <c r="L297">
        <v>289230</v>
      </c>
      <c r="M297">
        <v>324038</v>
      </c>
      <c r="N297">
        <f t="shared" si="9"/>
        <v>12.034712858278878</v>
      </c>
      <c r="O297">
        <v>45725</v>
      </c>
      <c r="P297">
        <v>45741</v>
      </c>
      <c r="Q297" t="s">
        <v>47</v>
      </c>
    </row>
    <row r="298" spans="1:17" x14ac:dyDescent="0.3">
      <c r="A298" t="s">
        <v>349</v>
      </c>
      <c r="B298" t="s">
        <v>36</v>
      </c>
      <c r="C298" t="s">
        <v>28</v>
      </c>
      <c r="D298" t="s">
        <v>58</v>
      </c>
      <c r="E298">
        <v>1713272</v>
      </c>
      <c r="F298">
        <v>625918</v>
      </c>
      <c r="G298">
        <v>851510</v>
      </c>
      <c r="H298">
        <v>79992</v>
      </c>
      <c r="I298">
        <v>4259</v>
      </c>
      <c r="J298">
        <v>4058</v>
      </c>
      <c r="K298">
        <f t="shared" si="8"/>
        <v>14.10871711629958</v>
      </c>
      <c r="L298">
        <v>138886</v>
      </c>
      <c r="M298">
        <v>306027</v>
      </c>
      <c r="N298">
        <f t="shared" si="9"/>
        <v>120.34402315568164</v>
      </c>
      <c r="O298">
        <v>46033</v>
      </c>
      <c r="P298">
        <v>46057</v>
      </c>
      <c r="Q298" t="s">
        <v>47</v>
      </c>
    </row>
    <row r="299" spans="1:17" x14ac:dyDescent="0.3">
      <c r="A299" t="s">
        <v>350</v>
      </c>
      <c r="B299" t="s">
        <v>32</v>
      </c>
      <c r="C299" t="s">
        <v>33</v>
      </c>
      <c r="D299" t="s">
        <v>46</v>
      </c>
      <c r="E299">
        <v>1413954</v>
      </c>
      <c r="F299">
        <v>1139362</v>
      </c>
      <c r="G299">
        <v>1261498</v>
      </c>
      <c r="H299">
        <v>24229</v>
      </c>
      <c r="I299">
        <v>3108</v>
      </c>
      <c r="J299">
        <v>688</v>
      </c>
      <c r="K299">
        <f t="shared" si="8"/>
        <v>2.4597099078256077</v>
      </c>
      <c r="L299">
        <v>273602</v>
      </c>
      <c r="M299">
        <v>323908</v>
      </c>
      <c r="N299">
        <f t="shared" si="9"/>
        <v>18.386561501743408</v>
      </c>
      <c r="O299">
        <v>45855</v>
      </c>
      <c r="P299">
        <v>45873</v>
      </c>
      <c r="Q299" t="s">
        <v>21</v>
      </c>
    </row>
    <row r="300" spans="1:17" x14ac:dyDescent="0.3">
      <c r="A300" t="s">
        <v>351</v>
      </c>
      <c r="B300" t="s">
        <v>103</v>
      </c>
      <c r="C300" t="s">
        <v>28</v>
      </c>
      <c r="D300" t="s">
        <v>46</v>
      </c>
      <c r="E300">
        <v>1137138</v>
      </c>
      <c r="F300">
        <v>806614</v>
      </c>
      <c r="G300">
        <v>1608370</v>
      </c>
      <c r="H300">
        <v>37524</v>
      </c>
      <c r="I300">
        <v>2378</v>
      </c>
      <c r="J300">
        <v>2665</v>
      </c>
      <c r="K300">
        <f t="shared" si="8"/>
        <v>5.2772453738715166</v>
      </c>
      <c r="L300">
        <v>281760</v>
      </c>
      <c r="M300">
        <v>1205946</v>
      </c>
      <c r="N300">
        <f t="shared" si="9"/>
        <v>328.00468483816013</v>
      </c>
      <c r="O300">
        <v>45923</v>
      </c>
      <c r="P300">
        <v>45945</v>
      </c>
      <c r="Q300" t="s">
        <v>25</v>
      </c>
    </row>
    <row r="301" spans="1:17" x14ac:dyDescent="0.3">
      <c r="A301" t="s">
        <v>352</v>
      </c>
      <c r="B301" t="s">
        <v>27</v>
      </c>
      <c r="C301" t="s">
        <v>43</v>
      </c>
      <c r="D301" t="s">
        <v>40</v>
      </c>
      <c r="E301">
        <v>662869</v>
      </c>
      <c r="F301">
        <v>183525</v>
      </c>
      <c r="G301">
        <v>529454</v>
      </c>
      <c r="H301">
        <v>18590</v>
      </c>
      <c r="I301">
        <v>1756</v>
      </c>
      <c r="J301">
        <v>585</v>
      </c>
      <c r="K301">
        <f t="shared" si="8"/>
        <v>11.404985696771556</v>
      </c>
      <c r="L301">
        <v>489181</v>
      </c>
      <c r="M301">
        <v>1910238</v>
      </c>
      <c r="N301">
        <f t="shared" si="9"/>
        <v>290.49717793618311</v>
      </c>
      <c r="O301">
        <v>45839</v>
      </c>
      <c r="P301">
        <v>45852</v>
      </c>
      <c r="Q301" t="s">
        <v>78</v>
      </c>
    </row>
    <row r="302" spans="1:17" x14ac:dyDescent="0.3">
      <c r="A302" t="s">
        <v>353</v>
      </c>
      <c r="B302" t="s">
        <v>61</v>
      </c>
      <c r="C302" t="s">
        <v>28</v>
      </c>
      <c r="D302" t="s">
        <v>20</v>
      </c>
      <c r="E302">
        <v>1167847</v>
      </c>
      <c r="F302">
        <v>1017010</v>
      </c>
      <c r="G302">
        <v>2783673</v>
      </c>
      <c r="H302">
        <v>49837</v>
      </c>
      <c r="I302">
        <v>7376</v>
      </c>
      <c r="J302">
        <v>4596</v>
      </c>
      <c r="K302">
        <f t="shared" si="8"/>
        <v>6.0775213616385289</v>
      </c>
      <c r="L302">
        <v>283930</v>
      </c>
      <c r="M302">
        <v>1323111</v>
      </c>
      <c r="N302">
        <f t="shared" si="9"/>
        <v>365.99901384143976</v>
      </c>
      <c r="O302">
        <v>45690</v>
      </c>
      <c r="P302">
        <v>45719</v>
      </c>
      <c r="Q302" t="s">
        <v>78</v>
      </c>
    </row>
    <row r="303" spans="1:17" x14ac:dyDescent="0.3">
      <c r="A303" t="s">
        <v>354</v>
      </c>
      <c r="B303" t="s">
        <v>39</v>
      </c>
      <c r="C303" t="s">
        <v>37</v>
      </c>
      <c r="D303" t="s">
        <v>40</v>
      </c>
      <c r="E303">
        <v>403175</v>
      </c>
      <c r="F303">
        <v>144241</v>
      </c>
      <c r="G303">
        <v>387089</v>
      </c>
      <c r="H303">
        <v>11885</v>
      </c>
      <c r="I303">
        <v>1763</v>
      </c>
      <c r="J303">
        <v>1154</v>
      </c>
      <c r="K303">
        <f t="shared" si="8"/>
        <v>10.261992082694935</v>
      </c>
      <c r="L303">
        <v>367128</v>
      </c>
      <c r="M303">
        <v>883328</v>
      </c>
      <c r="N303">
        <f t="shared" si="9"/>
        <v>140.60491163844762</v>
      </c>
      <c r="O303">
        <v>45851</v>
      </c>
      <c r="P303">
        <v>45878</v>
      </c>
      <c r="Q303" t="s">
        <v>30</v>
      </c>
    </row>
    <row r="304" spans="1:17" x14ac:dyDescent="0.3">
      <c r="A304" t="s">
        <v>355</v>
      </c>
      <c r="B304" t="s">
        <v>80</v>
      </c>
      <c r="C304" t="s">
        <v>28</v>
      </c>
      <c r="D304" t="s">
        <v>40</v>
      </c>
      <c r="E304">
        <v>1381461</v>
      </c>
      <c r="F304">
        <v>831085</v>
      </c>
      <c r="G304">
        <v>1702347</v>
      </c>
      <c r="H304">
        <v>59211</v>
      </c>
      <c r="I304">
        <v>7946</v>
      </c>
      <c r="J304">
        <v>1849</v>
      </c>
      <c r="K304">
        <f t="shared" si="8"/>
        <v>8.3031218226775838</v>
      </c>
      <c r="L304">
        <v>179929</v>
      </c>
      <c r="M304">
        <v>264264</v>
      </c>
      <c r="N304">
        <f t="shared" si="9"/>
        <v>46.871265888211461</v>
      </c>
      <c r="O304">
        <v>45892</v>
      </c>
      <c r="P304">
        <v>45910</v>
      </c>
      <c r="Q304" t="s">
        <v>34</v>
      </c>
    </row>
    <row r="305" spans="1:17" x14ac:dyDescent="0.3">
      <c r="A305" t="s">
        <v>356</v>
      </c>
      <c r="B305" t="s">
        <v>39</v>
      </c>
      <c r="C305" t="s">
        <v>19</v>
      </c>
      <c r="D305" t="s">
        <v>72</v>
      </c>
      <c r="E305">
        <v>1817955</v>
      </c>
      <c r="F305">
        <v>769943</v>
      </c>
      <c r="G305">
        <v>1219653</v>
      </c>
      <c r="H305">
        <v>99147</v>
      </c>
      <c r="I305">
        <v>11065</v>
      </c>
      <c r="J305">
        <v>7709</v>
      </c>
      <c r="K305">
        <f t="shared" si="8"/>
        <v>15.315549332872694</v>
      </c>
      <c r="L305">
        <v>276781</v>
      </c>
      <c r="M305">
        <v>739033</v>
      </c>
      <c r="N305">
        <f t="shared" si="9"/>
        <v>167.01001875128711</v>
      </c>
      <c r="O305">
        <v>45716</v>
      </c>
      <c r="P305">
        <v>45724</v>
      </c>
      <c r="Q305" t="s">
        <v>47</v>
      </c>
    </row>
    <row r="306" spans="1:17" x14ac:dyDescent="0.3">
      <c r="A306" t="s">
        <v>357</v>
      </c>
      <c r="B306" t="s">
        <v>63</v>
      </c>
      <c r="C306" t="s">
        <v>37</v>
      </c>
      <c r="D306" t="s">
        <v>29</v>
      </c>
      <c r="E306">
        <v>993027</v>
      </c>
      <c r="F306">
        <v>401220</v>
      </c>
      <c r="G306">
        <v>562119</v>
      </c>
      <c r="H306">
        <v>26917</v>
      </c>
      <c r="I306">
        <v>2957</v>
      </c>
      <c r="J306">
        <v>955</v>
      </c>
      <c r="K306">
        <f t="shared" si="8"/>
        <v>7.6838143661831424</v>
      </c>
      <c r="L306">
        <v>426436</v>
      </c>
      <c r="M306">
        <v>1223931</v>
      </c>
      <c r="N306">
        <f t="shared" si="9"/>
        <v>187.0139950660826</v>
      </c>
      <c r="O306">
        <v>46080</v>
      </c>
      <c r="P306">
        <v>46103</v>
      </c>
      <c r="Q306" t="s">
        <v>30</v>
      </c>
    </row>
    <row r="307" spans="1:17" x14ac:dyDescent="0.3">
      <c r="A307" t="s">
        <v>358</v>
      </c>
      <c r="B307" t="s">
        <v>23</v>
      </c>
      <c r="C307" t="s">
        <v>19</v>
      </c>
      <c r="D307" t="s">
        <v>40</v>
      </c>
      <c r="E307">
        <v>138130</v>
      </c>
      <c r="F307">
        <v>65073</v>
      </c>
      <c r="G307">
        <v>113221</v>
      </c>
      <c r="H307">
        <v>6756</v>
      </c>
      <c r="I307">
        <v>596</v>
      </c>
      <c r="J307">
        <v>584</v>
      </c>
      <c r="K307">
        <f t="shared" si="8"/>
        <v>12.195534246154319</v>
      </c>
      <c r="L307">
        <v>385679</v>
      </c>
      <c r="M307">
        <v>672414</v>
      </c>
      <c r="N307">
        <f t="shared" si="9"/>
        <v>74.34550494063717</v>
      </c>
      <c r="O307">
        <v>46017</v>
      </c>
      <c r="P307">
        <v>46034</v>
      </c>
      <c r="Q307" t="s">
        <v>78</v>
      </c>
    </row>
    <row r="308" spans="1:17" x14ac:dyDescent="0.3">
      <c r="A308" t="s">
        <v>359</v>
      </c>
      <c r="B308" t="s">
        <v>32</v>
      </c>
      <c r="C308" t="s">
        <v>19</v>
      </c>
      <c r="D308" t="s">
        <v>51</v>
      </c>
      <c r="E308">
        <v>681307</v>
      </c>
      <c r="F308">
        <v>539083</v>
      </c>
      <c r="G308">
        <v>1503698</v>
      </c>
      <c r="H308">
        <v>70750</v>
      </c>
      <c r="I308">
        <v>7825</v>
      </c>
      <c r="J308">
        <v>3955</v>
      </c>
      <c r="K308">
        <f t="shared" si="8"/>
        <v>15.309330845157424</v>
      </c>
      <c r="L308">
        <v>253738</v>
      </c>
      <c r="M308">
        <v>481665</v>
      </c>
      <c r="N308">
        <f t="shared" si="9"/>
        <v>89.827696285144526</v>
      </c>
      <c r="O308">
        <v>46103</v>
      </c>
      <c r="P308">
        <v>46123</v>
      </c>
      <c r="Q308" t="s">
        <v>30</v>
      </c>
    </row>
    <row r="309" spans="1:17" x14ac:dyDescent="0.3">
      <c r="A309" t="s">
        <v>360</v>
      </c>
      <c r="B309" t="s">
        <v>49</v>
      </c>
      <c r="C309" t="s">
        <v>28</v>
      </c>
      <c r="D309" t="s">
        <v>20</v>
      </c>
      <c r="E309">
        <v>864679</v>
      </c>
      <c r="F309">
        <v>244509</v>
      </c>
      <c r="G309">
        <v>435403</v>
      </c>
      <c r="H309">
        <v>6014</v>
      </c>
      <c r="I309">
        <v>843</v>
      </c>
      <c r="J309">
        <v>322</v>
      </c>
      <c r="K309">
        <f t="shared" si="8"/>
        <v>2.9360882421505958</v>
      </c>
      <c r="L309">
        <v>335125</v>
      </c>
      <c r="M309">
        <v>1630475</v>
      </c>
      <c r="N309">
        <f t="shared" si="9"/>
        <v>386.52741514360309</v>
      </c>
      <c r="O309">
        <v>45723</v>
      </c>
      <c r="P309">
        <v>45751</v>
      </c>
      <c r="Q309" t="s">
        <v>78</v>
      </c>
    </row>
    <row r="310" spans="1:17" x14ac:dyDescent="0.3">
      <c r="A310" t="s">
        <v>361</v>
      </c>
      <c r="B310" t="s">
        <v>80</v>
      </c>
      <c r="C310" t="s">
        <v>43</v>
      </c>
      <c r="D310" t="s">
        <v>20</v>
      </c>
      <c r="E310">
        <v>1912401</v>
      </c>
      <c r="F310">
        <v>1645503</v>
      </c>
      <c r="G310">
        <v>3683317</v>
      </c>
      <c r="H310">
        <v>197100</v>
      </c>
      <c r="I310">
        <v>21364</v>
      </c>
      <c r="J310">
        <v>16715</v>
      </c>
      <c r="K310">
        <f t="shared" si="8"/>
        <v>14.292225538330833</v>
      </c>
      <c r="L310">
        <v>425922</v>
      </c>
      <c r="M310">
        <v>1483433</v>
      </c>
      <c r="N310">
        <f t="shared" si="9"/>
        <v>248.28747986720572</v>
      </c>
      <c r="O310">
        <v>45801</v>
      </c>
      <c r="P310">
        <v>45813</v>
      </c>
      <c r="Q310" t="s">
        <v>78</v>
      </c>
    </row>
    <row r="311" spans="1:17" x14ac:dyDescent="0.3">
      <c r="A311" t="s">
        <v>362</v>
      </c>
      <c r="B311" t="s">
        <v>23</v>
      </c>
      <c r="C311" t="s">
        <v>28</v>
      </c>
      <c r="D311" t="s">
        <v>51</v>
      </c>
      <c r="E311">
        <v>1192106</v>
      </c>
      <c r="F311">
        <v>999985</v>
      </c>
      <c r="G311">
        <v>2991568</v>
      </c>
      <c r="H311">
        <v>83679</v>
      </c>
      <c r="I311">
        <v>5447</v>
      </c>
      <c r="J311">
        <v>3143</v>
      </c>
      <c r="K311">
        <f t="shared" si="8"/>
        <v>9.2270384055760832</v>
      </c>
      <c r="L311">
        <v>469838</v>
      </c>
      <c r="M311">
        <v>1630922</v>
      </c>
      <c r="N311">
        <f t="shared" si="9"/>
        <v>247.12432795984998</v>
      </c>
      <c r="O311">
        <v>45954</v>
      </c>
      <c r="P311">
        <v>45978</v>
      </c>
      <c r="Q311" t="s">
        <v>34</v>
      </c>
    </row>
    <row r="312" spans="1:17" x14ac:dyDescent="0.3">
      <c r="A312" t="s">
        <v>363</v>
      </c>
      <c r="B312" t="s">
        <v>32</v>
      </c>
      <c r="C312" t="s">
        <v>37</v>
      </c>
      <c r="D312" t="s">
        <v>51</v>
      </c>
      <c r="E312">
        <v>1849089</v>
      </c>
      <c r="F312">
        <v>990494</v>
      </c>
      <c r="G312">
        <v>2967942</v>
      </c>
      <c r="H312">
        <v>59380</v>
      </c>
      <c r="I312">
        <v>6485</v>
      </c>
      <c r="J312">
        <v>5552</v>
      </c>
      <c r="K312">
        <f t="shared" si="8"/>
        <v>7.2102405466363244</v>
      </c>
      <c r="L312">
        <v>305171</v>
      </c>
      <c r="M312">
        <v>504671</v>
      </c>
      <c r="N312">
        <f t="shared" si="9"/>
        <v>65.373184214751731</v>
      </c>
      <c r="O312">
        <v>45783</v>
      </c>
      <c r="P312">
        <v>45807</v>
      </c>
      <c r="Q312" t="s">
        <v>21</v>
      </c>
    </row>
    <row r="313" spans="1:17" x14ac:dyDescent="0.3">
      <c r="A313" t="s">
        <v>364</v>
      </c>
      <c r="B313" t="s">
        <v>80</v>
      </c>
      <c r="C313" t="s">
        <v>28</v>
      </c>
      <c r="D313" t="s">
        <v>46</v>
      </c>
      <c r="E313">
        <v>477438</v>
      </c>
      <c r="F313">
        <v>244137</v>
      </c>
      <c r="G313">
        <v>518217</v>
      </c>
      <c r="H313">
        <v>19040</v>
      </c>
      <c r="I313">
        <v>1527</v>
      </c>
      <c r="J313">
        <v>1333</v>
      </c>
      <c r="K313">
        <f t="shared" si="8"/>
        <v>8.9703731921011567</v>
      </c>
      <c r="L313">
        <v>407405</v>
      </c>
      <c r="M313">
        <v>1741932</v>
      </c>
      <c r="N313">
        <f t="shared" si="9"/>
        <v>327.56765380886344</v>
      </c>
      <c r="O313">
        <v>45693</v>
      </c>
      <c r="P313">
        <v>45713</v>
      </c>
      <c r="Q313" t="s">
        <v>25</v>
      </c>
    </row>
    <row r="314" spans="1:17" x14ac:dyDescent="0.3">
      <c r="A314" t="s">
        <v>365</v>
      </c>
      <c r="B314" t="s">
        <v>57</v>
      </c>
      <c r="C314" t="s">
        <v>33</v>
      </c>
      <c r="D314" t="s">
        <v>29</v>
      </c>
      <c r="E314">
        <v>1996966</v>
      </c>
      <c r="F314">
        <v>1269064</v>
      </c>
      <c r="G314">
        <v>3341548</v>
      </c>
      <c r="H314">
        <v>97362</v>
      </c>
      <c r="I314">
        <v>12172</v>
      </c>
      <c r="J314">
        <v>5486</v>
      </c>
      <c r="K314">
        <f t="shared" si="8"/>
        <v>9.0633726904238081</v>
      </c>
      <c r="L314">
        <v>488728</v>
      </c>
      <c r="M314">
        <v>692992</v>
      </c>
      <c r="N314">
        <f t="shared" si="9"/>
        <v>41.795027090733491</v>
      </c>
      <c r="O314">
        <v>46029</v>
      </c>
      <c r="P314">
        <v>46049</v>
      </c>
      <c r="Q314" t="s">
        <v>34</v>
      </c>
    </row>
    <row r="315" spans="1:17" x14ac:dyDescent="0.3">
      <c r="A315" t="s">
        <v>366</v>
      </c>
      <c r="B315" t="s">
        <v>39</v>
      </c>
      <c r="C315" t="s">
        <v>33</v>
      </c>
      <c r="D315" t="s">
        <v>51</v>
      </c>
      <c r="E315">
        <v>507615</v>
      </c>
      <c r="F315">
        <v>308861</v>
      </c>
      <c r="G315">
        <v>467143</v>
      </c>
      <c r="H315">
        <v>15320</v>
      </c>
      <c r="I315">
        <v>1636</v>
      </c>
      <c r="J315">
        <v>426</v>
      </c>
      <c r="K315">
        <f t="shared" si="8"/>
        <v>5.627774306241319</v>
      </c>
      <c r="L315">
        <v>41659</v>
      </c>
      <c r="M315">
        <v>201445</v>
      </c>
      <c r="N315">
        <f t="shared" si="9"/>
        <v>383.55697448330494</v>
      </c>
      <c r="O315">
        <v>45755</v>
      </c>
      <c r="P315">
        <v>45782</v>
      </c>
      <c r="Q315" t="s">
        <v>47</v>
      </c>
    </row>
    <row r="316" spans="1:17" x14ac:dyDescent="0.3">
      <c r="A316" t="s">
        <v>367</v>
      </c>
      <c r="B316" t="s">
        <v>49</v>
      </c>
      <c r="C316" t="s">
        <v>33</v>
      </c>
      <c r="D316" t="s">
        <v>72</v>
      </c>
      <c r="E316">
        <v>1745540</v>
      </c>
      <c r="F316">
        <v>842812</v>
      </c>
      <c r="G316">
        <v>1799921</v>
      </c>
      <c r="H316">
        <v>35403</v>
      </c>
      <c r="I316">
        <v>5230</v>
      </c>
      <c r="J316">
        <v>2954</v>
      </c>
      <c r="K316">
        <f t="shared" si="8"/>
        <v>5.1716159712960899</v>
      </c>
      <c r="L316">
        <v>154266</v>
      </c>
      <c r="M316">
        <v>312516</v>
      </c>
      <c r="N316">
        <f t="shared" si="9"/>
        <v>102.58255221500525</v>
      </c>
      <c r="O316">
        <v>45939</v>
      </c>
      <c r="P316">
        <v>45969</v>
      </c>
      <c r="Q316" t="s">
        <v>54</v>
      </c>
    </row>
    <row r="317" spans="1:17" x14ac:dyDescent="0.3">
      <c r="A317" t="s">
        <v>368</v>
      </c>
      <c r="B317" t="s">
        <v>39</v>
      </c>
      <c r="C317" t="s">
        <v>37</v>
      </c>
      <c r="D317" t="s">
        <v>24</v>
      </c>
      <c r="E317">
        <v>100618</v>
      </c>
      <c r="F317">
        <v>35574</v>
      </c>
      <c r="G317">
        <v>98429</v>
      </c>
      <c r="H317">
        <v>1962</v>
      </c>
      <c r="I317">
        <v>271</v>
      </c>
      <c r="J317">
        <v>129</v>
      </c>
      <c r="K317">
        <f t="shared" si="8"/>
        <v>6.6396806656546916</v>
      </c>
      <c r="L317">
        <v>30366</v>
      </c>
      <c r="M317">
        <v>47360</v>
      </c>
      <c r="N317">
        <f t="shared" si="9"/>
        <v>55.9639070012514</v>
      </c>
      <c r="O317">
        <v>45793</v>
      </c>
      <c r="P317">
        <v>45818</v>
      </c>
      <c r="Q317" t="s">
        <v>41</v>
      </c>
    </row>
    <row r="318" spans="1:17" x14ac:dyDescent="0.3">
      <c r="A318" t="s">
        <v>369</v>
      </c>
      <c r="B318" t="s">
        <v>36</v>
      </c>
      <c r="C318" t="s">
        <v>19</v>
      </c>
      <c r="D318" t="s">
        <v>24</v>
      </c>
      <c r="E318">
        <v>1939718</v>
      </c>
      <c r="F318">
        <v>571153</v>
      </c>
      <c r="G318">
        <v>653560</v>
      </c>
      <c r="H318">
        <v>80559</v>
      </c>
      <c r="I318">
        <v>9162</v>
      </c>
      <c r="J318">
        <v>2486</v>
      </c>
      <c r="K318">
        <f t="shared" si="8"/>
        <v>16.144010449039047</v>
      </c>
      <c r="L318">
        <v>200256</v>
      </c>
      <c r="M318">
        <v>234411</v>
      </c>
      <c r="N318">
        <f t="shared" si="9"/>
        <v>17.055668744007672</v>
      </c>
      <c r="O318">
        <v>45687</v>
      </c>
      <c r="P318">
        <v>45717</v>
      </c>
      <c r="Q318" t="s">
        <v>21</v>
      </c>
    </row>
    <row r="319" spans="1:17" x14ac:dyDescent="0.3">
      <c r="A319" t="s">
        <v>370</v>
      </c>
      <c r="B319" t="s">
        <v>61</v>
      </c>
      <c r="C319" t="s">
        <v>28</v>
      </c>
      <c r="D319" t="s">
        <v>40</v>
      </c>
      <c r="E319">
        <v>1961155</v>
      </c>
      <c r="F319">
        <v>724578</v>
      </c>
      <c r="G319">
        <v>1847501</v>
      </c>
      <c r="H319">
        <v>21647</v>
      </c>
      <c r="I319">
        <v>2308</v>
      </c>
      <c r="J319">
        <v>869</v>
      </c>
      <c r="K319">
        <f t="shared" si="8"/>
        <v>3.4259941648794192</v>
      </c>
      <c r="L319">
        <v>317983</v>
      </c>
      <c r="M319">
        <v>931564</v>
      </c>
      <c r="N319">
        <f t="shared" si="9"/>
        <v>192.96031548856385</v>
      </c>
      <c r="O319">
        <v>45797</v>
      </c>
      <c r="P319">
        <v>45823</v>
      </c>
      <c r="Q319" t="s">
        <v>78</v>
      </c>
    </row>
    <row r="320" spans="1:17" x14ac:dyDescent="0.3">
      <c r="A320" t="s">
        <v>371</v>
      </c>
      <c r="B320" t="s">
        <v>45</v>
      </c>
      <c r="C320" t="s">
        <v>43</v>
      </c>
      <c r="D320" t="s">
        <v>58</v>
      </c>
      <c r="E320">
        <v>386165</v>
      </c>
      <c r="F320">
        <v>98487</v>
      </c>
      <c r="G320">
        <v>132942</v>
      </c>
      <c r="H320">
        <v>8585</v>
      </c>
      <c r="I320">
        <v>1177</v>
      </c>
      <c r="J320">
        <v>529</v>
      </c>
      <c r="K320">
        <f t="shared" si="8"/>
        <v>10.449094804390427</v>
      </c>
      <c r="L320">
        <v>74478</v>
      </c>
      <c r="M320">
        <v>144864</v>
      </c>
      <c r="N320">
        <f t="shared" si="9"/>
        <v>94.50576009022798</v>
      </c>
      <c r="O320">
        <v>45673</v>
      </c>
      <c r="P320">
        <v>45695</v>
      </c>
      <c r="Q320" t="s">
        <v>78</v>
      </c>
    </row>
    <row r="321" spans="1:17" x14ac:dyDescent="0.3">
      <c r="A321" t="s">
        <v>372</v>
      </c>
      <c r="B321" t="s">
        <v>49</v>
      </c>
      <c r="C321" t="s">
        <v>43</v>
      </c>
      <c r="D321" t="s">
        <v>58</v>
      </c>
      <c r="E321">
        <v>1011855</v>
      </c>
      <c r="F321">
        <v>585873</v>
      </c>
      <c r="G321">
        <v>1506048</v>
      </c>
      <c r="H321">
        <v>87815</v>
      </c>
      <c r="I321">
        <v>3317</v>
      </c>
      <c r="J321">
        <v>8197</v>
      </c>
      <c r="K321">
        <f t="shared" si="8"/>
        <v>16.954015631374034</v>
      </c>
      <c r="L321">
        <v>362603</v>
      </c>
      <c r="M321">
        <v>1550865</v>
      </c>
      <c r="N321">
        <f t="shared" si="9"/>
        <v>327.70330085520527</v>
      </c>
      <c r="O321">
        <v>46133</v>
      </c>
      <c r="P321">
        <v>46154</v>
      </c>
      <c r="Q321" t="s">
        <v>21</v>
      </c>
    </row>
    <row r="322" spans="1:17" x14ac:dyDescent="0.3">
      <c r="A322" t="s">
        <v>373</v>
      </c>
      <c r="B322" t="s">
        <v>45</v>
      </c>
      <c r="C322" t="s">
        <v>33</v>
      </c>
      <c r="D322" t="s">
        <v>72</v>
      </c>
      <c r="E322">
        <v>550121</v>
      </c>
      <c r="F322">
        <v>143878</v>
      </c>
      <c r="G322">
        <v>406857</v>
      </c>
      <c r="H322">
        <v>13305</v>
      </c>
      <c r="I322">
        <v>588</v>
      </c>
      <c r="J322">
        <v>471</v>
      </c>
      <c r="K322">
        <f t="shared" ref="K322:K385" si="10">((H322+I322+J322)/F322)*100</f>
        <v>9.9834582076481464</v>
      </c>
      <c r="L322">
        <v>201847</v>
      </c>
      <c r="M322">
        <v>286824</v>
      </c>
      <c r="N322">
        <f t="shared" ref="N322:N385" si="11">((M322-L322)/L322)*100</f>
        <v>42.099709185670335</v>
      </c>
      <c r="O322">
        <v>45935</v>
      </c>
      <c r="P322">
        <v>45949</v>
      </c>
      <c r="Q322" t="s">
        <v>25</v>
      </c>
    </row>
    <row r="323" spans="1:17" x14ac:dyDescent="0.3">
      <c r="A323" t="s">
        <v>374</v>
      </c>
      <c r="B323" t="s">
        <v>103</v>
      </c>
      <c r="C323" t="s">
        <v>28</v>
      </c>
      <c r="D323" t="s">
        <v>40</v>
      </c>
      <c r="E323">
        <v>1510444</v>
      </c>
      <c r="F323">
        <v>972560</v>
      </c>
      <c r="G323">
        <v>2584817</v>
      </c>
      <c r="H323">
        <v>76970</v>
      </c>
      <c r="I323">
        <v>7835</v>
      </c>
      <c r="J323">
        <v>2047</v>
      </c>
      <c r="K323">
        <f t="shared" si="10"/>
        <v>8.9302459488360615</v>
      </c>
      <c r="L323">
        <v>469228</v>
      </c>
      <c r="M323">
        <v>967717</v>
      </c>
      <c r="N323">
        <f t="shared" si="11"/>
        <v>106.23598762222204</v>
      </c>
      <c r="O323">
        <v>45688</v>
      </c>
      <c r="P323">
        <v>45703</v>
      </c>
      <c r="Q323" t="s">
        <v>34</v>
      </c>
    </row>
    <row r="324" spans="1:17" x14ac:dyDescent="0.3">
      <c r="A324" t="s">
        <v>375</v>
      </c>
      <c r="B324" t="s">
        <v>61</v>
      </c>
      <c r="C324" t="s">
        <v>37</v>
      </c>
      <c r="D324" t="s">
        <v>29</v>
      </c>
      <c r="E324">
        <v>1141526</v>
      </c>
      <c r="F324">
        <v>734662</v>
      </c>
      <c r="G324">
        <v>1458119</v>
      </c>
      <c r="H324">
        <v>27687</v>
      </c>
      <c r="I324">
        <v>861</v>
      </c>
      <c r="J324">
        <v>1264</v>
      </c>
      <c r="K324">
        <f t="shared" si="10"/>
        <v>4.0579205131067075</v>
      </c>
      <c r="L324">
        <v>88337</v>
      </c>
      <c r="M324">
        <v>152571</v>
      </c>
      <c r="N324">
        <f t="shared" si="11"/>
        <v>72.714717502292359</v>
      </c>
      <c r="O324">
        <v>45932</v>
      </c>
      <c r="P324">
        <v>45943</v>
      </c>
      <c r="Q324" t="s">
        <v>78</v>
      </c>
    </row>
    <row r="325" spans="1:17" x14ac:dyDescent="0.3">
      <c r="A325" t="s">
        <v>376</v>
      </c>
      <c r="B325" t="s">
        <v>80</v>
      </c>
      <c r="C325" t="s">
        <v>33</v>
      </c>
      <c r="D325" t="s">
        <v>20</v>
      </c>
      <c r="E325">
        <v>1029293</v>
      </c>
      <c r="F325">
        <v>455010</v>
      </c>
      <c r="G325">
        <v>1027381</v>
      </c>
      <c r="H325">
        <v>33843</v>
      </c>
      <c r="I325">
        <v>4743</v>
      </c>
      <c r="J325">
        <v>869</v>
      </c>
      <c r="K325">
        <f t="shared" si="10"/>
        <v>8.6712379947693456</v>
      </c>
      <c r="L325">
        <v>207965</v>
      </c>
      <c r="M325">
        <v>755934</v>
      </c>
      <c r="N325">
        <f t="shared" si="11"/>
        <v>263.49097203856417</v>
      </c>
      <c r="O325">
        <v>45904</v>
      </c>
      <c r="P325">
        <v>45927</v>
      </c>
      <c r="Q325" t="s">
        <v>21</v>
      </c>
    </row>
    <row r="326" spans="1:17" x14ac:dyDescent="0.3">
      <c r="A326" t="s">
        <v>377</v>
      </c>
      <c r="B326" t="s">
        <v>103</v>
      </c>
      <c r="C326" t="s">
        <v>28</v>
      </c>
      <c r="D326" t="s">
        <v>24</v>
      </c>
      <c r="E326">
        <v>1676533</v>
      </c>
      <c r="F326">
        <v>1066667</v>
      </c>
      <c r="G326">
        <v>3167641</v>
      </c>
      <c r="H326">
        <v>71023</v>
      </c>
      <c r="I326">
        <v>9529</v>
      </c>
      <c r="J326">
        <v>1875</v>
      </c>
      <c r="K326">
        <f t="shared" si="10"/>
        <v>7.7275288351472389</v>
      </c>
      <c r="L326">
        <v>422467</v>
      </c>
      <c r="M326">
        <v>1295513</v>
      </c>
      <c r="N326">
        <f t="shared" si="11"/>
        <v>206.65424755069628</v>
      </c>
      <c r="O326">
        <v>45920</v>
      </c>
      <c r="P326">
        <v>45934</v>
      </c>
      <c r="Q326" t="s">
        <v>41</v>
      </c>
    </row>
    <row r="327" spans="1:17" x14ac:dyDescent="0.3">
      <c r="A327" t="s">
        <v>378</v>
      </c>
      <c r="B327" t="s">
        <v>32</v>
      </c>
      <c r="C327" t="s">
        <v>28</v>
      </c>
      <c r="D327" t="s">
        <v>40</v>
      </c>
      <c r="E327">
        <v>1655164</v>
      </c>
      <c r="F327">
        <v>920422</v>
      </c>
      <c r="G327">
        <v>1064222</v>
      </c>
      <c r="H327">
        <v>110889</v>
      </c>
      <c r="I327">
        <v>6405</v>
      </c>
      <c r="J327">
        <v>2682</v>
      </c>
      <c r="K327">
        <f t="shared" si="10"/>
        <v>13.034890517610402</v>
      </c>
      <c r="L327">
        <v>193017</v>
      </c>
      <c r="M327">
        <v>652151</v>
      </c>
      <c r="N327">
        <f t="shared" si="11"/>
        <v>237.87231176528491</v>
      </c>
      <c r="O327">
        <v>46138</v>
      </c>
      <c r="P327">
        <v>46159</v>
      </c>
      <c r="Q327" t="s">
        <v>41</v>
      </c>
    </row>
    <row r="328" spans="1:17" x14ac:dyDescent="0.3">
      <c r="A328" t="s">
        <v>379</v>
      </c>
      <c r="B328" t="s">
        <v>32</v>
      </c>
      <c r="C328" t="s">
        <v>19</v>
      </c>
      <c r="D328" t="s">
        <v>46</v>
      </c>
      <c r="E328">
        <v>1806048</v>
      </c>
      <c r="F328">
        <v>1338940</v>
      </c>
      <c r="G328">
        <v>2947185</v>
      </c>
      <c r="H328">
        <v>50575</v>
      </c>
      <c r="I328">
        <v>3299</v>
      </c>
      <c r="J328">
        <v>4127</v>
      </c>
      <c r="K328">
        <f t="shared" si="10"/>
        <v>4.3318595306735181</v>
      </c>
      <c r="L328">
        <v>128807</v>
      </c>
      <c r="M328">
        <v>620044</v>
      </c>
      <c r="N328">
        <f t="shared" si="11"/>
        <v>381.37445946260686</v>
      </c>
      <c r="O328">
        <v>45839</v>
      </c>
      <c r="P328">
        <v>45855</v>
      </c>
      <c r="Q328" t="s">
        <v>54</v>
      </c>
    </row>
    <row r="329" spans="1:17" x14ac:dyDescent="0.3">
      <c r="A329" t="s">
        <v>380</v>
      </c>
      <c r="B329" t="s">
        <v>103</v>
      </c>
      <c r="C329" t="s">
        <v>43</v>
      </c>
      <c r="D329" t="s">
        <v>58</v>
      </c>
      <c r="E329">
        <v>1204957</v>
      </c>
      <c r="F329">
        <v>639061</v>
      </c>
      <c r="G329">
        <v>1784304</v>
      </c>
      <c r="H329">
        <v>51455</v>
      </c>
      <c r="I329">
        <v>6638</v>
      </c>
      <c r="J329">
        <v>4567</v>
      </c>
      <c r="K329">
        <f t="shared" si="10"/>
        <v>9.8050107892673779</v>
      </c>
      <c r="L329">
        <v>459603</v>
      </c>
      <c r="M329">
        <v>533087</v>
      </c>
      <c r="N329">
        <f t="shared" si="11"/>
        <v>15.988581449642409</v>
      </c>
      <c r="O329">
        <v>45856</v>
      </c>
      <c r="P329">
        <v>45873</v>
      </c>
      <c r="Q329" t="s">
        <v>78</v>
      </c>
    </row>
    <row r="330" spans="1:17" x14ac:dyDescent="0.3">
      <c r="A330" t="s">
        <v>381</v>
      </c>
      <c r="B330" t="s">
        <v>36</v>
      </c>
      <c r="C330" t="s">
        <v>43</v>
      </c>
      <c r="D330" t="s">
        <v>51</v>
      </c>
      <c r="E330">
        <v>1123364</v>
      </c>
      <c r="F330">
        <v>724500</v>
      </c>
      <c r="G330">
        <v>921325</v>
      </c>
      <c r="H330">
        <v>32096</v>
      </c>
      <c r="I330">
        <v>2408</v>
      </c>
      <c r="J330">
        <v>1453</v>
      </c>
      <c r="K330">
        <f t="shared" si="10"/>
        <v>4.9630089717046237</v>
      </c>
      <c r="L330">
        <v>483058</v>
      </c>
      <c r="M330">
        <v>2221746</v>
      </c>
      <c r="N330">
        <f t="shared" si="11"/>
        <v>359.93358975526746</v>
      </c>
      <c r="O330">
        <v>45921</v>
      </c>
      <c r="P330">
        <v>45932</v>
      </c>
      <c r="Q330" t="s">
        <v>47</v>
      </c>
    </row>
    <row r="331" spans="1:17" x14ac:dyDescent="0.3">
      <c r="A331" t="s">
        <v>382</v>
      </c>
      <c r="B331" t="s">
        <v>45</v>
      </c>
      <c r="C331" t="s">
        <v>37</v>
      </c>
      <c r="D331" t="s">
        <v>24</v>
      </c>
      <c r="E331">
        <v>1021687</v>
      </c>
      <c r="F331">
        <v>429854</v>
      </c>
      <c r="G331">
        <v>1108232</v>
      </c>
      <c r="H331">
        <v>44694</v>
      </c>
      <c r="I331">
        <v>3227</v>
      </c>
      <c r="J331">
        <v>3662</v>
      </c>
      <c r="K331">
        <f t="shared" si="10"/>
        <v>12.000120971306536</v>
      </c>
      <c r="L331">
        <v>325123</v>
      </c>
      <c r="M331">
        <v>412585</v>
      </c>
      <c r="N331">
        <f t="shared" si="11"/>
        <v>26.901203544504693</v>
      </c>
      <c r="O331">
        <v>46021</v>
      </c>
      <c r="P331">
        <v>46050</v>
      </c>
      <c r="Q331" t="s">
        <v>47</v>
      </c>
    </row>
    <row r="332" spans="1:17" x14ac:dyDescent="0.3">
      <c r="A332" t="s">
        <v>383</v>
      </c>
      <c r="B332" t="s">
        <v>27</v>
      </c>
      <c r="C332" t="s">
        <v>33</v>
      </c>
      <c r="D332" t="s">
        <v>29</v>
      </c>
      <c r="E332">
        <v>799729</v>
      </c>
      <c r="F332">
        <v>641047</v>
      </c>
      <c r="G332">
        <v>1410799</v>
      </c>
      <c r="H332">
        <v>30298</v>
      </c>
      <c r="I332">
        <v>1936</v>
      </c>
      <c r="J332">
        <v>2517</v>
      </c>
      <c r="K332">
        <f t="shared" si="10"/>
        <v>5.4209753731005685</v>
      </c>
      <c r="L332">
        <v>31080</v>
      </c>
      <c r="M332">
        <v>86956</v>
      </c>
      <c r="N332">
        <f t="shared" si="11"/>
        <v>179.78120978120978</v>
      </c>
      <c r="O332">
        <v>45807</v>
      </c>
      <c r="P332">
        <v>45816</v>
      </c>
      <c r="Q332" t="s">
        <v>54</v>
      </c>
    </row>
    <row r="333" spans="1:17" x14ac:dyDescent="0.3">
      <c r="A333" t="s">
        <v>384</v>
      </c>
      <c r="B333" t="s">
        <v>63</v>
      </c>
      <c r="C333" t="s">
        <v>43</v>
      </c>
      <c r="D333" t="s">
        <v>29</v>
      </c>
      <c r="E333">
        <v>1154091</v>
      </c>
      <c r="F333">
        <v>420650</v>
      </c>
      <c r="G333">
        <v>806312</v>
      </c>
      <c r="H333">
        <v>59563</v>
      </c>
      <c r="I333">
        <v>2362</v>
      </c>
      <c r="J333">
        <v>5271</v>
      </c>
      <c r="K333">
        <f t="shared" si="10"/>
        <v>15.97432544871033</v>
      </c>
      <c r="L333">
        <v>433188</v>
      </c>
      <c r="M333">
        <v>1188162</v>
      </c>
      <c r="N333">
        <f t="shared" si="11"/>
        <v>174.28322114185988</v>
      </c>
      <c r="O333">
        <v>45799</v>
      </c>
      <c r="P333">
        <v>45828</v>
      </c>
      <c r="Q333" t="s">
        <v>21</v>
      </c>
    </row>
    <row r="334" spans="1:17" x14ac:dyDescent="0.3">
      <c r="A334" t="s">
        <v>385</v>
      </c>
      <c r="B334" t="s">
        <v>53</v>
      </c>
      <c r="C334" t="s">
        <v>43</v>
      </c>
      <c r="D334" t="s">
        <v>20</v>
      </c>
      <c r="E334">
        <v>812533</v>
      </c>
      <c r="F334">
        <v>381139</v>
      </c>
      <c r="G334">
        <v>1053171</v>
      </c>
      <c r="H334">
        <v>47076</v>
      </c>
      <c r="I334">
        <v>5911</v>
      </c>
      <c r="J334">
        <v>4588</v>
      </c>
      <c r="K334">
        <f t="shared" si="10"/>
        <v>15.106037429914021</v>
      </c>
      <c r="L334">
        <v>18472</v>
      </c>
      <c r="M334">
        <v>63928</v>
      </c>
      <c r="N334">
        <f t="shared" si="11"/>
        <v>246.08055435253357</v>
      </c>
      <c r="O334">
        <v>45902</v>
      </c>
      <c r="P334">
        <v>45919</v>
      </c>
      <c r="Q334" t="s">
        <v>34</v>
      </c>
    </row>
    <row r="335" spans="1:17" x14ac:dyDescent="0.3">
      <c r="A335" t="s">
        <v>386</v>
      </c>
      <c r="B335" t="s">
        <v>63</v>
      </c>
      <c r="C335" t="s">
        <v>43</v>
      </c>
      <c r="D335" t="s">
        <v>29</v>
      </c>
      <c r="E335">
        <v>1060411</v>
      </c>
      <c r="F335">
        <v>792856</v>
      </c>
      <c r="G335">
        <v>2104764</v>
      </c>
      <c r="H335">
        <v>77292</v>
      </c>
      <c r="I335">
        <v>7301</v>
      </c>
      <c r="J335">
        <v>6884</v>
      </c>
      <c r="K335">
        <f t="shared" si="10"/>
        <v>11.537656270495525</v>
      </c>
      <c r="L335">
        <v>461469</v>
      </c>
      <c r="M335">
        <v>876805</v>
      </c>
      <c r="N335">
        <f t="shared" si="11"/>
        <v>90.003012119990728</v>
      </c>
      <c r="O335">
        <v>45823</v>
      </c>
      <c r="P335">
        <v>45839</v>
      </c>
      <c r="Q335" t="s">
        <v>41</v>
      </c>
    </row>
    <row r="336" spans="1:17" x14ac:dyDescent="0.3">
      <c r="A336" t="s">
        <v>387</v>
      </c>
      <c r="B336" t="s">
        <v>49</v>
      </c>
      <c r="C336" t="s">
        <v>19</v>
      </c>
      <c r="D336" t="s">
        <v>58</v>
      </c>
      <c r="E336">
        <v>1335309</v>
      </c>
      <c r="F336">
        <v>1097717</v>
      </c>
      <c r="G336">
        <v>1574100</v>
      </c>
      <c r="H336">
        <v>87982</v>
      </c>
      <c r="I336">
        <v>6988</v>
      </c>
      <c r="J336">
        <v>3771</v>
      </c>
      <c r="K336">
        <f t="shared" si="10"/>
        <v>8.9951235154415947</v>
      </c>
      <c r="L336">
        <v>119058</v>
      </c>
      <c r="M336">
        <v>264638</v>
      </c>
      <c r="N336">
        <f t="shared" si="11"/>
        <v>122.27653748593124</v>
      </c>
      <c r="O336">
        <v>45983</v>
      </c>
      <c r="P336">
        <v>45995</v>
      </c>
      <c r="Q336" t="s">
        <v>25</v>
      </c>
    </row>
    <row r="337" spans="1:17" x14ac:dyDescent="0.3">
      <c r="A337" t="s">
        <v>388</v>
      </c>
      <c r="B337" t="s">
        <v>45</v>
      </c>
      <c r="C337" t="s">
        <v>33</v>
      </c>
      <c r="D337" t="s">
        <v>29</v>
      </c>
      <c r="E337">
        <v>1794710</v>
      </c>
      <c r="F337">
        <v>1063930</v>
      </c>
      <c r="G337">
        <v>1240002</v>
      </c>
      <c r="H337">
        <v>46582</v>
      </c>
      <c r="I337">
        <v>5365</v>
      </c>
      <c r="J337">
        <v>1489</v>
      </c>
      <c r="K337">
        <f t="shared" si="10"/>
        <v>5.0225108794751536</v>
      </c>
      <c r="L337">
        <v>343015</v>
      </c>
      <c r="M337">
        <v>513821</v>
      </c>
      <c r="N337">
        <f t="shared" si="11"/>
        <v>49.79548999314899</v>
      </c>
      <c r="O337">
        <v>46042</v>
      </c>
      <c r="P337">
        <v>46052</v>
      </c>
      <c r="Q337" t="s">
        <v>41</v>
      </c>
    </row>
    <row r="338" spans="1:17" x14ac:dyDescent="0.3">
      <c r="A338" t="s">
        <v>389</v>
      </c>
      <c r="B338" t="s">
        <v>49</v>
      </c>
      <c r="C338" t="s">
        <v>43</v>
      </c>
      <c r="D338" t="s">
        <v>20</v>
      </c>
      <c r="E338">
        <v>1681698</v>
      </c>
      <c r="F338">
        <v>1211826</v>
      </c>
      <c r="G338">
        <v>2239123</v>
      </c>
      <c r="H338">
        <v>92226</v>
      </c>
      <c r="I338">
        <v>11044</v>
      </c>
      <c r="J338">
        <v>7161</v>
      </c>
      <c r="K338">
        <f t="shared" si="10"/>
        <v>9.1127769168180919</v>
      </c>
      <c r="L338">
        <v>271117</v>
      </c>
      <c r="M338">
        <v>816297</v>
      </c>
      <c r="N338">
        <f t="shared" si="11"/>
        <v>201.08661574154331</v>
      </c>
      <c r="O338">
        <v>45979</v>
      </c>
      <c r="P338">
        <v>45996</v>
      </c>
      <c r="Q338" t="s">
        <v>54</v>
      </c>
    </row>
    <row r="339" spans="1:17" x14ac:dyDescent="0.3">
      <c r="A339" t="s">
        <v>390</v>
      </c>
      <c r="B339" t="s">
        <v>103</v>
      </c>
      <c r="C339" t="s">
        <v>28</v>
      </c>
      <c r="D339" t="s">
        <v>58</v>
      </c>
      <c r="E339">
        <v>763748</v>
      </c>
      <c r="F339">
        <v>367175</v>
      </c>
      <c r="G339">
        <v>631450</v>
      </c>
      <c r="H339">
        <v>15654</v>
      </c>
      <c r="I339">
        <v>1583</v>
      </c>
      <c r="J339">
        <v>928</v>
      </c>
      <c r="K339">
        <f t="shared" si="10"/>
        <v>4.947232246204126</v>
      </c>
      <c r="L339">
        <v>274625</v>
      </c>
      <c r="M339">
        <v>1240227</v>
      </c>
      <c r="N339">
        <f t="shared" si="11"/>
        <v>351.60746472462449</v>
      </c>
      <c r="O339">
        <v>45728</v>
      </c>
      <c r="P339">
        <v>45736</v>
      </c>
      <c r="Q339" t="s">
        <v>21</v>
      </c>
    </row>
    <row r="340" spans="1:17" x14ac:dyDescent="0.3">
      <c r="A340" t="s">
        <v>391</v>
      </c>
      <c r="B340" t="s">
        <v>39</v>
      </c>
      <c r="C340" t="s">
        <v>37</v>
      </c>
      <c r="D340" t="s">
        <v>20</v>
      </c>
      <c r="E340">
        <v>1464526</v>
      </c>
      <c r="F340">
        <v>633673</v>
      </c>
      <c r="G340">
        <v>803159</v>
      </c>
      <c r="H340">
        <v>76377</v>
      </c>
      <c r="I340">
        <v>3873</v>
      </c>
      <c r="J340">
        <v>6491</v>
      </c>
      <c r="K340">
        <f t="shared" si="10"/>
        <v>13.688605952912622</v>
      </c>
      <c r="L340">
        <v>437006</v>
      </c>
      <c r="M340">
        <v>1246604</v>
      </c>
      <c r="N340">
        <f t="shared" si="11"/>
        <v>185.26015661112206</v>
      </c>
      <c r="O340">
        <v>45720</v>
      </c>
      <c r="P340">
        <v>45731</v>
      </c>
      <c r="Q340" t="s">
        <v>21</v>
      </c>
    </row>
    <row r="341" spans="1:17" x14ac:dyDescent="0.3">
      <c r="A341" t="s">
        <v>392</v>
      </c>
      <c r="B341" t="s">
        <v>57</v>
      </c>
      <c r="C341" t="s">
        <v>43</v>
      </c>
      <c r="D341" t="s">
        <v>72</v>
      </c>
      <c r="E341">
        <v>1365161</v>
      </c>
      <c r="F341">
        <v>955239</v>
      </c>
      <c r="G341">
        <v>2545533</v>
      </c>
      <c r="H341">
        <v>121489</v>
      </c>
      <c r="I341">
        <v>11302</v>
      </c>
      <c r="J341">
        <v>9035</v>
      </c>
      <c r="K341">
        <f t="shared" si="10"/>
        <v>14.847174372068142</v>
      </c>
      <c r="L341">
        <v>217593</v>
      </c>
      <c r="M341">
        <v>310401</v>
      </c>
      <c r="N341">
        <f t="shared" si="11"/>
        <v>42.652107374777678</v>
      </c>
      <c r="O341">
        <v>45992</v>
      </c>
      <c r="P341">
        <v>46013</v>
      </c>
      <c r="Q341" t="s">
        <v>30</v>
      </c>
    </row>
    <row r="342" spans="1:17" x14ac:dyDescent="0.3">
      <c r="A342" t="s">
        <v>393</v>
      </c>
      <c r="B342" t="s">
        <v>18</v>
      </c>
      <c r="C342" t="s">
        <v>19</v>
      </c>
      <c r="D342" t="s">
        <v>24</v>
      </c>
      <c r="E342">
        <v>1228328</v>
      </c>
      <c r="F342">
        <v>581424</v>
      </c>
      <c r="G342">
        <v>1731730</v>
      </c>
      <c r="H342">
        <v>73757</v>
      </c>
      <c r="I342">
        <v>6229</v>
      </c>
      <c r="J342">
        <v>2010</v>
      </c>
      <c r="K342">
        <f t="shared" si="10"/>
        <v>14.102617023033105</v>
      </c>
      <c r="L342">
        <v>483325</v>
      </c>
      <c r="M342">
        <v>1448061</v>
      </c>
      <c r="N342">
        <f t="shared" si="11"/>
        <v>199.60399317229607</v>
      </c>
      <c r="O342">
        <v>45904</v>
      </c>
      <c r="P342">
        <v>45916</v>
      </c>
      <c r="Q342" t="s">
        <v>30</v>
      </c>
    </row>
    <row r="343" spans="1:17" x14ac:dyDescent="0.3">
      <c r="A343" t="s">
        <v>394</v>
      </c>
      <c r="B343" t="s">
        <v>75</v>
      </c>
      <c r="C343" t="s">
        <v>33</v>
      </c>
      <c r="D343" t="s">
        <v>24</v>
      </c>
      <c r="E343">
        <v>360849</v>
      </c>
      <c r="F343">
        <v>230377</v>
      </c>
      <c r="G343">
        <v>590420</v>
      </c>
      <c r="H343">
        <v>19954</v>
      </c>
      <c r="I343">
        <v>1631</v>
      </c>
      <c r="J343">
        <v>593</v>
      </c>
      <c r="K343">
        <f t="shared" si="10"/>
        <v>9.6268290671377788</v>
      </c>
      <c r="L343">
        <v>374732</v>
      </c>
      <c r="M343">
        <v>982200</v>
      </c>
      <c r="N343">
        <f t="shared" si="11"/>
        <v>162.10731936423898</v>
      </c>
      <c r="O343">
        <v>45689</v>
      </c>
      <c r="P343">
        <v>45701</v>
      </c>
      <c r="Q343" t="s">
        <v>47</v>
      </c>
    </row>
    <row r="344" spans="1:17" x14ac:dyDescent="0.3">
      <c r="A344" t="s">
        <v>395</v>
      </c>
      <c r="B344" t="s">
        <v>61</v>
      </c>
      <c r="C344" t="s">
        <v>33</v>
      </c>
      <c r="D344" t="s">
        <v>51</v>
      </c>
      <c r="E344">
        <v>350447</v>
      </c>
      <c r="F344">
        <v>149360</v>
      </c>
      <c r="G344">
        <v>317534</v>
      </c>
      <c r="H344">
        <v>12603</v>
      </c>
      <c r="I344">
        <v>688</v>
      </c>
      <c r="J344">
        <v>1001</v>
      </c>
      <c r="K344">
        <f t="shared" si="10"/>
        <v>9.5688269951794318</v>
      </c>
      <c r="L344">
        <v>340907</v>
      </c>
      <c r="M344">
        <v>1524490</v>
      </c>
      <c r="N344">
        <f t="shared" si="11"/>
        <v>347.18647607705327</v>
      </c>
      <c r="O344">
        <v>45746</v>
      </c>
      <c r="P344">
        <v>45768</v>
      </c>
      <c r="Q344" t="s">
        <v>41</v>
      </c>
    </row>
    <row r="345" spans="1:17" x14ac:dyDescent="0.3">
      <c r="A345" t="s">
        <v>396</v>
      </c>
      <c r="B345" t="s">
        <v>36</v>
      </c>
      <c r="C345" t="s">
        <v>33</v>
      </c>
      <c r="D345" t="s">
        <v>58</v>
      </c>
      <c r="E345">
        <v>1039887</v>
      </c>
      <c r="F345">
        <v>525301</v>
      </c>
      <c r="G345">
        <v>637232</v>
      </c>
      <c r="H345">
        <v>43921</v>
      </c>
      <c r="I345">
        <v>5407</v>
      </c>
      <c r="J345">
        <v>1566</v>
      </c>
      <c r="K345">
        <f t="shared" si="10"/>
        <v>9.6885404748896349</v>
      </c>
      <c r="L345">
        <v>326743</v>
      </c>
      <c r="M345">
        <v>1020925</v>
      </c>
      <c r="N345">
        <f t="shared" si="11"/>
        <v>212.45504876921621</v>
      </c>
      <c r="O345">
        <v>45777</v>
      </c>
      <c r="P345">
        <v>45807</v>
      </c>
      <c r="Q345" t="s">
        <v>25</v>
      </c>
    </row>
    <row r="346" spans="1:17" x14ac:dyDescent="0.3">
      <c r="A346" t="s">
        <v>397</v>
      </c>
      <c r="B346" t="s">
        <v>32</v>
      </c>
      <c r="C346" t="s">
        <v>37</v>
      </c>
      <c r="D346" t="s">
        <v>72</v>
      </c>
      <c r="E346">
        <v>550461</v>
      </c>
      <c r="F346">
        <v>388388</v>
      </c>
      <c r="G346">
        <v>1078597</v>
      </c>
      <c r="H346">
        <v>39380</v>
      </c>
      <c r="I346">
        <v>3046</v>
      </c>
      <c r="J346">
        <v>2992</v>
      </c>
      <c r="K346">
        <f t="shared" si="10"/>
        <v>11.693976126965817</v>
      </c>
      <c r="L346">
        <v>479588</v>
      </c>
      <c r="M346">
        <v>1179620</v>
      </c>
      <c r="N346">
        <f t="shared" si="11"/>
        <v>145.96528687123114</v>
      </c>
      <c r="O346">
        <v>46140</v>
      </c>
      <c r="P346">
        <v>46148</v>
      </c>
      <c r="Q346" t="s">
        <v>34</v>
      </c>
    </row>
    <row r="347" spans="1:17" x14ac:dyDescent="0.3">
      <c r="A347" t="s">
        <v>398</v>
      </c>
      <c r="B347" t="s">
        <v>75</v>
      </c>
      <c r="C347" t="s">
        <v>43</v>
      </c>
      <c r="D347" t="s">
        <v>72</v>
      </c>
      <c r="E347">
        <v>1615219</v>
      </c>
      <c r="F347">
        <v>1077554</v>
      </c>
      <c r="G347">
        <v>2832778</v>
      </c>
      <c r="H347">
        <v>30256</v>
      </c>
      <c r="I347">
        <v>4279</v>
      </c>
      <c r="J347">
        <v>1173</v>
      </c>
      <c r="K347">
        <f t="shared" si="10"/>
        <v>3.3138014428975251</v>
      </c>
      <c r="L347">
        <v>491273</v>
      </c>
      <c r="M347">
        <v>1862306</v>
      </c>
      <c r="N347">
        <f t="shared" si="11"/>
        <v>279.07762079332673</v>
      </c>
      <c r="O347">
        <v>46127</v>
      </c>
      <c r="P347">
        <v>46138</v>
      </c>
      <c r="Q347" t="s">
        <v>30</v>
      </c>
    </row>
    <row r="348" spans="1:17" x14ac:dyDescent="0.3">
      <c r="A348" t="s">
        <v>399</v>
      </c>
      <c r="B348" t="s">
        <v>36</v>
      </c>
      <c r="C348" t="s">
        <v>37</v>
      </c>
      <c r="D348" t="s">
        <v>20</v>
      </c>
      <c r="E348">
        <v>1749034</v>
      </c>
      <c r="F348">
        <v>686064</v>
      </c>
      <c r="G348">
        <v>1733310</v>
      </c>
      <c r="H348">
        <v>26473</v>
      </c>
      <c r="I348">
        <v>3707</v>
      </c>
      <c r="J348">
        <v>2298</v>
      </c>
      <c r="K348">
        <f t="shared" si="10"/>
        <v>4.7339606800531726</v>
      </c>
      <c r="L348">
        <v>192059</v>
      </c>
      <c r="M348">
        <v>929600</v>
      </c>
      <c r="N348">
        <f t="shared" si="11"/>
        <v>384.01793198964901</v>
      </c>
      <c r="O348">
        <v>45951</v>
      </c>
      <c r="P348">
        <v>45970</v>
      </c>
      <c r="Q348" t="s">
        <v>34</v>
      </c>
    </row>
    <row r="349" spans="1:17" x14ac:dyDescent="0.3">
      <c r="A349" t="s">
        <v>400</v>
      </c>
      <c r="B349" t="s">
        <v>61</v>
      </c>
      <c r="C349" t="s">
        <v>37</v>
      </c>
      <c r="D349" t="s">
        <v>46</v>
      </c>
      <c r="E349">
        <v>74338</v>
      </c>
      <c r="F349">
        <v>53154</v>
      </c>
      <c r="G349">
        <v>72525</v>
      </c>
      <c r="H349">
        <v>4798</v>
      </c>
      <c r="I349">
        <v>667</v>
      </c>
      <c r="J349">
        <v>164</v>
      </c>
      <c r="K349">
        <f t="shared" si="10"/>
        <v>10.589983820596757</v>
      </c>
      <c r="L349">
        <v>301001</v>
      </c>
      <c r="M349">
        <v>880018</v>
      </c>
      <c r="N349">
        <f t="shared" si="11"/>
        <v>192.36381274480817</v>
      </c>
      <c r="O349">
        <v>45941</v>
      </c>
      <c r="P349">
        <v>45964</v>
      </c>
      <c r="Q349" t="s">
        <v>41</v>
      </c>
    </row>
    <row r="350" spans="1:17" x14ac:dyDescent="0.3">
      <c r="A350" t="s">
        <v>401</v>
      </c>
      <c r="B350" t="s">
        <v>36</v>
      </c>
      <c r="C350" t="s">
        <v>43</v>
      </c>
      <c r="D350" t="s">
        <v>72</v>
      </c>
      <c r="E350">
        <v>988558</v>
      </c>
      <c r="F350">
        <v>846820</v>
      </c>
      <c r="G350">
        <v>1699247</v>
      </c>
      <c r="H350">
        <v>45584</v>
      </c>
      <c r="I350">
        <v>1739</v>
      </c>
      <c r="J350">
        <v>1528</v>
      </c>
      <c r="K350">
        <f t="shared" si="10"/>
        <v>5.7687584138305663</v>
      </c>
      <c r="L350">
        <v>385603</v>
      </c>
      <c r="M350">
        <v>859542</v>
      </c>
      <c r="N350">
        <f t="shared" si="11"/>
        <v>122.90853546263905</v>
      </c>
      <c r="O350">
        <v>45821</v>
      </c>
      <c r="P350">
        <v>45830</v>
      </c>
      <c r="Q350" t="s">
        <v>25</v>
      </c>
    </row>
    <row r="351" spans="1:17" x14ac:dyDescent="0.3">
      <c r="A351" t="s">
        <v>402</v>
      </c>
      <c r="B351" t="s">
        <v>18</v>
      </c>
      <c r="C351" t="s">
        <v>28</v>
      </c>
      <c r="D351" t="s">
        <v>29</v>
      </c>
      <c r="E351">
        <v>1916524</v>
      </c>
      <c r="F351">
        <v>1073444</v>
      </c>
      <c r="G351">
        <v>1337384</v>
      </c>
      <c r="H351">
        <v>158880</v>
      </c>
      <c r="I351">
        <v>10748</v>
      </c>
      <c r="J351">
        <v>9212</v>
      </c>
      <c r="K351">
        <f t="shared" si="10"/>
        <v>16.660394021485985</v>
      </c>
      <c r="L351">
        <v>73260</v>
      </c>
      <c r="M351">
        <v>335547</v>
      </c>
      <c r="N351">
        <f t="shared" si="11"/>
        <v>358.02211302211305</v>
      </c>
      <c r="O351">
        <v>46027</v>
      </c>
      <c r="P351">
        <v>46035</v>
      </c>
      <c r="Q351" t="s">
        <v>30</v>
      </c>
    </row>
    <row r="352" spans="1:17" x14ac:dyDescent="0.3">
      <c r="A352" t="s">
        <v>403</v>
      </c>
      <c r="B352" t="s">
        <v>32</v>
      </c>
      <c r="C352" t="s">
        <v>19</v>
      </c>
      <c r="D352" t="s">
        <v>29</v>
      </c>
      <c r="E352">
        <v>567845</v>
      </c>
      <c r="F352">
        <v>399439</v>
      </c>
      <c r="G352">
        <v>513704</v>
      </c>
      <c r="H352">
        <v>27496</v>
      </c>
      <c r="I352">
        <v>1821</v>
      </c>
      <c r="J352">
        <v>1041</v>
      </c>
      <c r="K352">
        <f t="shared" si="10"/>
        <v>7.6001592233106932</v>
      </c>
      <c r="L352">
        <v>411604</v>
      </c>
      <c r="M352">
        <v>693853</v>
      </c>
      <c r="N352">
        <f t="shared" si="11"/>
        <v>68.572948756571847</v>
      </c>
      <c r="O352">
        <v>45942</v>
      </c>
      <c r="P352">
        <v>45967</v>
      </c>
      <c r="Q352" t="s">
        <v>78</v>
      </c>
    </row>
    <row r="353" spans="1:17" x14ac:dyDescent="0.3">
      <c r="A353" t="s">
        <v>404</v>
      </c>
      <c r="B353" t="s">
        <v>18</v>
      </c>
      <c r="C353" t="s">
        <v>19</v>
      </c>
      <c r="D353" t="s">
        <v>51</v>
      </c>
      <c r="E353">
        <v>1299458</v>
      </c>
      <c r="F353">
        <v>335286</v>
      </c>
      <c r="G353">
        <v>373992</v>
      </c>
      <c r="H353">
        <v>27285</v>
      </c>
      <c r="I353">
        <v>1683</v>
      </c>
      <c r="J353">
        <v>1933</v>
      </c>
      <c r="K353">
        <f t="shared" si="10"/>
        <v>9.2163108510346401</v>
      </c>
      <c r="L353">
        <v>144022</v>
      </c>
      <c r="M353">
        <v>655997</v>
      </c>
      <c r="N353">
        <f t="shared" si="11"/>
        <v>355.48388440654901</v>
      </c>
      <c r="O353">
        <v>45903</v>
      </c>
      <c r="P353">
        <v>45913</v>
      </c>
      <c r="Q353" t="s">
        <v>54</v>
      </c>
    </row>
    <row r="354" spans="1:17" x14ac:dyDescent="0.3">
      <c r="A354" t="s">
        <v>405</v>
      </c>
      <c r="B354" t="s">
        <v>36</v>
      </c>
      <c r="C354" t="s">
        <v>33</v>
      </c>
      <c r="D354" t="s">
        <v>46</v>
      </c>
      <c r="E354">
        <v>1287983</v>
      </c>
      <c r="F354">
        <v>750186</v>
      </c>
      <c r="G354">
        <v>985462</v>
      </c>
      <c r="H354">
        <v>56284</v>
      </c>
      <c r="I354">
        <v>5776</v>
      </c>
      <c r="J354">
        <v>1182</v>
      </c>
      <c r="K354">
        <f t="shared" si="10"/>
        <v>8.4301759830228757</v>
      </c>
      <c r="L354">
        <v>78138</v>
      </c>
      <c r="M354">
        <v>177997</v>
      </c>
      <c r="N354">
        <f t="shared" si="11"/>
        <v>127.79825437047276</v>
      </c>
      <c r="O354">
        <v>45750</v>
      </c>
      <c r="P354">
        <v>45780</v>
      </c>
      <c r="Q354" t="s">
        <v>30</v>
      </c>
    </row>
    <row r="355" spans="1:17" x14ac:dyDescent="0.3">
      <c r="A355" t="s">
        <v>406</v>
      </c>
      <c r="B355" t="s">
        <v>63</v>
      </c>
      <c r="C355" t="s">
        <v>19</v>
      </c>
      <c r="D355" t="s">
        <v>24</v>
      </c>
      <c r="E355">
        <v>505724</v>
      </c>
      <c r="F355">
        <v>240077</v>
      </c>
      <c r="G355">
        <v>594168</v>
      </c>
      <c r="H355">
        <v>24293</v>
      </c>
      <c r="I355">
        <v>2966</v>
      </c>
      <c r="J355">
        <v>1499</v>
      </c>
      <c r="K355">
        <f t="shared" si="10"/>
        <v>11.978656847594731</v>
      </c>
      <c r="L355">
        <v>346470</v>
      </c>
      <c r="M355">
        <v>1593190</v>
      </c>
      <c r="N355">
        <f t="shared" si="11"/>
        <v>359.83490634109734</v>
      </c>
      <c r="O355">
        <v>45831</v>
      </c>
      <c r="P355">
        <v>45844</v>
      </c>
      <c r="Q355" t="s">
        <v>54</v>
      </c>
    </row>
    <row r="356" spans="1:17" x14ac:dyDescent="0.3">
      <c r="A356" t="s">
        <v>407</v>
      </c>
      <c r="B356" t="s">
        <v>63</v>
      </c>
      <c r="C356" t="s">
        <v>43</v>
      </c>
      <c r="D356" t="s">
        <v>72</v>
      </c>
      <c r="E356">
        <v>817246</v>
      </c>
      <c r="F356">
        <v>548913</v>
      </c>
      <c r="G356">
        <v>1350796</v>
      </c>
      <c r="H356">
        <v>29549</v>
      </c>
      <c r="I356">
        <v>2045</v>
      </c>
      <c r="J356">
        <v>1526</v>
      </c>
      <c r="K356">
        <f t="shared" si="10"/>
        <v>6.0337430521776678</v>
      </c>
      <c r="L356">
        <v>476562</v>
      </c>
      <c r="M356">
        <v>1661415</v>
      </c>
      <c r="N356">
        <f t="shared" si="11"/>
        <v>248.62515265589789</v>
      </c>
      <c r="O356">
        <v>45923</v>
      </c>
      <c r="P356">
        <v>45934</v>
      </c>
      <c r="Q356" t="s">
        <v>41</v>
      </c>
    </row>
    <row r="357" spans="1:17" x14ac:dyDescent="0.3">
      <c r="A357" t="s">
        <v>408</v>
      </c>
      <c r="B357" t="s">
        <v>80</v>
      </c>
      <c r="C357" t="s">
        <v>28</v>
      </c>
      <c r="D357" t="s">
        <v>20</v>
      </c>
      <c r="E357">
        <v>307779</v>
      </c>
      <c r="F357">
        <v>258502</v>
      </c>
      <c r="G357">
        <v>335162</v>
      </c>
      <c r="H357">
        <v>17228</v>
      </c>
      <c r="I357">
        <v>2329</v>
      </c>
      <c r="J357">
        <v>1502</v>
      </c>
      <c r="K357">
        <f t="shared" si="10"/>
        <v>8.1465520576243122</v>
      </c>
      <c r="L357">
        <v>17635</v>
      </c>
      <c r="M357">
        <v>57573</v>
      </c>
      <c r="N357">
        <f t="shared" si="11"/>
        <v>226.47008789339381</v>
      </c>
      <c r="O357">
        <v>45702</v>
      </c>
      <c r="P357">
        <v>45711</v>
      </c>
      <c r="Q357" t="s">
        <v>54</v>
      </c>
    </row>
    <row r="358" spans="1:17" x14ac:dyDescent="0.3">
      <c r="A358" t="s">
        <v>409</v>
      </c>
      <c r="B358" t="s">
        <v>23</v>
      </c>
      <c r="C358" t="s">
        <v>28</v>
      </c>
      <c r="D358" t="s">
        <v>29</v>
      </c>
      <c r="E358">
        <v>777978</v>
      </c>
      <c r="F358">
        <v>241529</v>
      </c>
      <c r="G358">
        <v>602523</v>
      </c>
      <c r="H358">
        <v>27969</v>
      </c>
      <c r="I358">
        <v>1829</v>
      </c>
      <c r="J358">
        <v>2174</v>
      </c>
      <c r="K358">
        <f t="shared" si="10"/>
        <v>13.23733381912731</v>
      </c>
      <c r="L358">
        <v>106874</v>
      </c>
      <c r="M358">
        <v>431677</v>
      </c>
      <c r="N358">
        <f t="shared" si="11"/>
        <v>303.91208338791478</v>
      </c>
      <c r="O358">
        <v>46018</v>
      </c>
      <c r="P358">
        <v>46028</v>
      </c>
      <c r="Q358" t="s">
        <v>25</v>
      </c>
    </row>
    <row r="359" spans="1:17" x14ac:dyDescent="0.3">
      <c r="A359" t="s">
        <v>410</v>
      </c>
      <c r="B359" t="s">
        <v>45</v>
      </c>
      <c r="C359" t="s">
        <v>28</v>
      </c>
      <c r="D359" t="s">
        <v>20</v>
      </c>
      <c r="E359">
        <v>518096</v>
      </c>
      <c r="F359">
        <v>308458</v>
      </c>
      <c r="G359">
        <v>747421</v>
      </c>
      <c r="H359">
        <v>17829</v>
      </c>
      <c r="I359">
        <v>1329</v>
      </c>
      <c r="J359">
        <v>1527</v>
      </c>
      <c r="K359">
        <f t="shared" si="10"/>
        <v>6.7059372750909372</v>
      </c>
      <c r="L359">
        <v>55622</v>
      </c>
      <c r="M359">
        <v>104108</v>
      </c>
      <c r="N359">
        <f t="shared" si="11"/>
        <v>87.170544029340917</v>
      </c>
      <c r="O359">
        <v>45973</v>
      </c>
      <c r="P359">
        <v>46003</v>
      </c>
      <c r="Q359" t="s">
        <v>21</v>
      </c>
    </row>
    <row r="360" spans="1:17" x14ac:dyDescent="0.3">
      <c r="A360" t="s">
        <v>411</v>
      </c>
      <c r="B360" t="s">
        <v>39</v>
      </c>
      <c r="C360" t="s">
        <v>37</v>
      </c>
      <c r="D360" t="s">
        <v>20</v>
      </c>
      <c r="E360">
        <v>1981334</v>
      </c>
      <c r="F360">
        <v>1059763</v>
      </c>
      <c r="G360">
        <v>1826442</v>
      </c>
      <c r="H360">
        <v>153442</v>
      </c>
      <c r="I360">
        <v>18276</v>
      </c>
      <c r="J360">
        <v>13156</v>
      </c>
      <c r="K360">
        <f t="shared" si="10"/>
        <v>17.444843799981694</v>
      </c>
      <c r="L360">
        <v>390352</v>
      </c>
      <c r="M360">
        <v>1461621</v>
      </c>
      <c r="N360">
        <f t="shared" si="11"/>
        <v>274.43666229454442</v>
      </c>
      <c r="O360">
        <v>45899</v>
      </c>
      <c r="P360">
        <v>45918</v>
      </c>
      <c r="Q360" t="s">
        <v>30</v>
      </c>
    </row>
    <row r="361" spans="1:17" x14ac:dyDescent="0.3">
      <c r="A361" t="s">
        <v>412</v>
      </c>
      <c r="B361" t="s">
        <v>36</v>
      </c>
      <c r="C361" t="s">
        <v>19</v>
      </c>
      <c r="D361" t="s">
        <v>46</v>
      </c>
      <c r="E361">
        <v>962198</v>
      </c>
      <c r="F361">
        <v>306743</v>
      </c>
      <c r="G361">
        <v>451991</v>
      </c>
      <c r="H361">
        <v>42318</v>
      </c>
      <c r="I361">
        <v>1809</v>
      </c>
      <c r="J361">
        <v>1679</v>
      </c>
      <c r="K361">
        <f t="shared" si="10"/>
        <v>14.933022106453937</v>
      </c>
      <c r="L361">
        <v>442595</v>
      </c>
      <c r="M361">
        <v>1389710</v>
      </c>
      <c r="N361">
        <f t="shared" si="11"/>
        <v>213.99134649058396</v>
      </c>
      <c r="O361">
        <v>45695</v>
      </c>
      <c r="P361">
        <v>45709</v>
      </c>
      <c r="Q361" t="s">
        <v>54</v>
      </c>
    </row>
    <row r="362" spans="1:17" x14ac:dyDescent="0.3">
      <c r="A362" t="s">
        <v>413</v>
      </c>
      <c r="B362" t="s">
        <v>49</v>
      </c>
      <c r="C362" t="s">
        <v>37</v>
      </c>
      <c r="D362" t="s">
        <v>58</v>
      </c>
      <c r="E362">
        <v>771754</v>
      </c>
      <c r="F362">
        <v>504968</v>
      </c>
      <c r="G362">
        <v>818858</v>
      </c>
      <c r="H362">
        <v>66425</v>
      </c>
      <c r="I362">
        <v>7108</v>
      </c>
      <c r="J362">
        <v>6305</v>
      </c>
      <c r="K362">
        <f t="shared" si="10"/>
        <v>15.810506804391567</v>
      </c>
      <c r="L362">
        <v>211643</v>
      </c>
      <c r="M362">
        <v>384772</v>
      </c>
      <c r="N362">
        <f t="shared" si="11"/>
        <v>81.802374753712613</v>
      </c>
      <c r="O362">
        <v>45797</v>
      </c>
      <c r="P362">
        <v>45825</v>
      </c>
      <c r="Q362" t="s">
        <v>21</v>
      </c>
    </row>
    <row r="363" spans="1:17" x14ac:dyDescent="0.3">
      <c r="A363" t="s">
        <v>414</v>
      </c>
      <c r="B363" t="s">
        <v>23</v>
      </c>
      <c r="C363" t="s">
        <v>33</v>
      </c>
      <c r="D363" t="s">
        <v>72</v>
      </c>
      <c r="E363">
        <v>554830</v>
      </c>
      <c r="F363">
        <v>219423</v>
      </c>
      <c r="G363">
        <v>441855</v>
      </c>
      <c r="H363">
        <v>31532</v>
      </c>
      <c r="I363">
        <v>3730</v>
      </c>
      <c r="J363">
        <v>2283</v>
      </c>
      <c r="K363">
        <f t="shared" si="10"/>
        <v>17.11078601605119</v>
      </c>
      <c r="L363">
        <v>256337</v>
      </c>
      <c r="M363">
        <v>1096399</v>
      </c>
      <c r="N363">
        <f t="shared" si="11"/>
        <v>327.717808978025</v>
      </c>
      <c r="O363">
        <v>46113</v>
      </c>
      <c r="P363">
        <v>46126</v>
      </c>
      <c r="Q363" t="s">
        <v>41</v>
      </c>
    </row>
    <row r="364" spans="1:17" x14ac:dyDescent="0.3">
      <c r="A364" t="s">
        <v>415</v>
      </c>
      <c r="B364" t="s">
        <v>23</v>
      </c>
      <c r="C364" t="s">
        <v>33</v>
      </c>
      <c r="D364" t="s">
        <v>40</v>
      </c>
      <c r="E364">
        <v>1120619</v>
      </c>
      <c r="F364">
        <v>919847</v>
      </c>
      <c r="G364">
        <v>2055616</v>
      </c>
      <c r="H364">
        <v>49918</v>
      </c>
      <c r="I364">
        <v>2110</v>
      </c>
      <c r="J364">
        <v>1766</v>
      </c>
      <c r="K364">
        <f t="shared" si="10"/>
        <v>5.8481464852306955</v>
      </c>
      <c r="L364">
        <v>392151</v>
      </c>
      <c r="M364">
        <v>1802051</v>
      </c>
      <c r="N364">
        <f t="shared" si="11"/>
        <v>359.52987497163082</v>
      </c>
      <c r="O364">
        <v>46091</v>
      </c>
      <c r="P364">
        <v>46099</v>
      </c>
      <c r="Q364" t="s">
        <v>30</v>
      </c>
    </row>
    <row r="365" spans="1:17" x14ac:dyDescent="0.3">
      <c r="A365" t="s">
        <v>416</v>
      </c>
      <c r="B365" t="s">
        <v>80</v>
      </c>
      <c r="C365" t="s">
        <v>43</v>
      </c>
      <c r="D365" t="s">
        <v>20</v>
      </c>
      <c r="E365">
        <v>1396868</v>
      </c>
      <c r="F365">
        <v>480807</v>
      </c>
      <c r="G365">
        <v>1100782</v>
      </c>
      <c r="H365">
        <v>11547</v>
      </c>
      <c r="I365">
        <v>591</v>
      </c>
      <c r="J365">
        <v>454</v>
      </c>
      <c r="K365">
        <f t="shared" si="10"/>
        <v>2.6189302568390227</v>
      </c>
      <c r="L365">
        <v>335097</v>
      </c>
      <c r="M365">
        <v>548623</v>
      </c>
      <c r="N365">
        <f t="shared" si="11"/>
        <v>63.720654019582391</v>
      </c>
      <c r="O365">
        <v>46056</v>
      </c>
      <c r="P365">
        <v>46074</v>
      </c>
      <c r="Q365" t="s">
        <v>21</v>
      </c>
    </row>
    <row r="366" spans="1:17" x14ac:dyDescent="0.3">
      <c r="A366" t="s">
        <v>417</v>
      </c>
      <c r="B366" t="s">
        <v>63</v>
      </c>
      <c r="C366" t="s">
        <v>37</v>
      </c>
      <c r="D366" t="s">
        <v>46</v>
      </c>
      <c r="E366">
        <v>1803518</v>
      </c>
      <c r="F366">
        <v>1177571</v>
      </c>
      <c r="G366">
        <v>2093732</v>
      </c>
      <c r="H366">
        <v>144772</v>
      </c>
      <c r="I366">
        <v>17682</v>
      </c>
      <c r="J366">
        <v>11168</v>
      </c>
      <c r="K366">
        <f t="shared" si="10"/>
        <v>14.744079125589879</v>
      </c>
      <c r="L366">
        <v>41160</v>
      </c>
      <c r="M366">
        <v>106159</v>
      </c>
      <c r="N366">
        <f t="shared" si="11"/>
        <v>157.91788143828961</v>
      </c>
      <c r="O366">
        <v>45857</v>
      </c>
      <c r="P366">
        <v>45885</v>
      </c>
      <c r="Q366" t="s">
        <v>78</v>
      </c>
    </row>
    <row r="367" spans="1:17" x14ac:dyDescent="0.3">
      <c r="A367" t="s">
        <v>418</v>
      </c>
      <c r="B367" t="s">
        <v>45</v>
      </c>
      <c r="C367" t="s">
        <v>28</v>
      </c>
      <c r="D367" t="s">
        <v>58</v>
      </c>
      <c r="E367">
        <v>217345</v>
      </c>
      <c r="F367">
        <v>132957</v>
      </c>
      <c r="G367">
        <v>394488</v>
      </c>
      <c r="H367">
        <v>10258</v>
      </c>
      <c r="I367">
        <v>469</v>
      </c>
      <c r="J367">
        <v>219</v>
      </c>
      <c r="K367">
        <f t="shared" si="10"/>
        <v>8.232736899899967</v>
      </c>
      <c r="L367">
        <v>227099</v>
      </c>
      <c r="M367">
        <v>942091</v>
      </c>
      <c r="N367">
        <f t="shared" si="11"/>
        <v>314.83714151097098</v>
      </c>
      <c r="O367">
        <v>46042</v>
      </c>
      <c r="P367">
        <v>46061</v>
      </c>
      <c r="Q367" t="s">
        <v>41</v>
      </c>
    </row>
    <row r="368" spans="1:17" x14ac:dyDescent="0.3">
      <c r="A368" t="s">
        <v>419</v>
      </c>
      <c r="B368" t="s">
        <v>49</v>
      </c>
      <c r="C368" t="s">
        <v>28</v>
      </c>
      <c r="D368" t="s">
        <v>40</v>
      </c>
      <c r="E368">
        <v>814242</v>
      </c>
      <c r="F368">
        <v>687849</v>
      </c>
      <c r="G368">
        <v>1687987</v>
      </c>
      <c r="H368">
        <v>65562</v>
      </c>
      <c r="I368">
        <v>7582</v>
      </c>
      <c r="J368">
        <v>5350</v>
      </c>
      <c r="K368">
        <f t="shared" si="10"/>
        <v>11.411516190326656</v>
      </c>
      <c r="L368">
        <v>451131</v>
      </c>
      <c r="M368">
        <v>1606935</v>
      </c>
      <c r="N368">
        <f t="shared" si="11"/>
        <v>256.20141378003285</v>
      </c>
      <c r="O368">
        <v>45700</v>
      </c>
      <c r="P368">
        <v>45710</v>
      </c>
      <c r="Q368" t="s">
        <v>34</v>
      </c>
    </row>
    <row r="369" spans="1:17" x14ac:dyDescent="0.3">
      <c r="A369" t="s">
        <v>420</v>
      </c>
      <c r="B369" t="s">
        <v>39</v>
      </c>
      <c r="C369" t="s">
        <v>33</v>
      </c>
      <c r="D369" t="s">
        <v>20</v>
      </c>
      <c r="E369">
        <v>671836</v>
      </c>
      <c r="F369">
        <v>327529</v>
      </c>
      <c r="G369">
        <v>551467</v>
      </c>
      <c r="H369">
        <v>39985</v>
      </c>
      <c r="I369">
        <v>4840</v>
      </c>
      <c r="J369">
        <v>2612</v>
      </c>
      <c r="K369">
        <f t="shared" si="10"/>
        <v>14.483297662191744</v>
      </c>
      <c r="L369">
        <v>128372</v>
      </c>
      <c r="M369">
        <v>244008</v>
      </c>
      <c r="N369">
        <f t="shared" si="11"/>
        <v>90.078833390458982</v>
      </c>
      <c r="O369">
        <v>45725</v>
      </c>
      <c r="P369">
        <v>45750</v>
      </c>
      <c r="Q369" t="s">
        <v>21</v>
      </c>
    </row>
    <row r="370" spans="1:17" x14ac:dyDescent="0.3">
      <c r="A370" t="s">
        <v>421</v>
      </c>
      <c r="B370" t="s">
        <v>18</v>
      </c>
      <c r="C370" t="s">
        <v>28</v>
      </c>
      <c r="D370" t="s">
        <v>20</v>
      </c>
      <c r="E370">
        <v>950400</v>
      </c>
      <c r="F370">
        <v>322616</v>
      </c>
      <c r="G370">
        <v>718365</v>
      </c>
      <c r="H370">
        <v>20028</v>
      </c>
      <c r="I370">
        <v>631</v>
      </c>
      <c r="J370">
        <v>564</v>
      </c>
      <c r="K370">
        <f t="shared" si="10"/>
        <v>6.578409006372901</v>
      </c>
      <c r="L370">
        <v>128988</v>
      </c>
      <c r="M370">
        <v>574555</v>
      </c>
      <c r="N370">
        <f t="shared" si="11"/>
        <v>345.43290848761126</v>
      </c>
      <c r="O370">
        <v>46146</v>
      </c>
      <c r="P370">
        <v>46159</v>
      </c>
      <c r="Q370" t="s">
        <v>25</v>
      </c>
    </row>
    <row r="371" spans="1:17" x14ac:dyDescent="0.3">
      <c r="A371" t="s">
        <v>422</v>
      </c>
      <c r="B371" t="s">
        <v>49</v>
      </c>
      <c r="C371" t="s">
        <v>37</v>
      </c>
      <c r="D371" t="s">
        <v>40</v>
      </c>
      <c r="E371">
        <v>808415</v>
      </c>
      <c r="F371">
        <v>474220</v>
      </c>
      <c r="G371">
        <v>1065416</v>
      </c>
      <c r="H371">
        <v>22296</v>
      </c>
      <c r="I371">
        <v>3034</v>
      </c>
      <c r="J371">
        <v>467</v>
      </c>
      <c r="K371">
        <f t="shared" si="10"/>
        <v>5.4398802243684363</v>
      </c>
      <c r="L371">
        <v>114697</v>
      </c>
      <c r="M371">
        <v>133689</v>
      </c>
      <c r="N371">
        <f t="shared" si="11"/>
        <v>16.558410420499229</v>
      </c>
      <c r="O371">
        <v>46119</v>
      </c>
      <c r="P371">
        <v>46143</v>
      </c>
      <c r="Q371" t="s">
        <v>25</v>
      </c>
    </row>
    <row r="372" spans="1:17" x14ac:dyDescent="0.3">
      <c r="A372" t="s">
        <v>423</v>
      </c>
      <c r="B372" t="s">
        <v>75</v>
      </c>
      <c r="C372" t="s">
        <v>37</v>
      </c>
      <c r="D372" t="s">
        <v>40</v>
      </c>
      <c r="E372">
        <v>400498</v>
      </c>
      <c r="F372">
        <v>210605</v>
      </c>
      <c r="G372">
        <v>250276</v>
      </c>
      <c r="H372">
        <v>16880</v>
      </c>
      <c r="I372">
        <v>1485</v>
      </c>
      <c r="J372">
        <v>1432</v>
      </c>
      <c r="K372">
        <f t="shared" si="10"/>
        <v>9.4000617269295592</v>
      </c>
      <c r="L372">
        <v>231381</v>
      </c>
      <c r="M372">
        <v>445798</v>
      </c>
      <c r="N372">
        <f t="shared" si="11"/>
        <v>92.668369485826403</v>
      </c>
      <c r="O372">
        <v>45894</v>
      </c>
      <c r="P372">
        <v>45908</v>
      </c>
      <c r="Q372" t="s">
        <v>54</v>
      </c>
    </row>
    <row r="373" spans="1:17" x14ac:dyDescent="0.3">
      <c r="A373" t="s">
        <v>424</v>
      </c>
      <c r="B373" t="s">
        <v>23</v>
      </c>
      <c r="C373" t="s">
        <v>33</v>
      </c>
      <c r="D373" t="s">
        <v>46</v>
      </c>
      <c r="E373">
        <v>240122</v>
      </c>
      <c r="F373">
        <v>186983</v>
      </c>
      <c r="G373">
        <v>295514</v>
      </c>
      <c r="H373">
        <v>14081</v>
      </c>
      <c r="I373">
        <v>1202</v>
      </c>
      <c r="J373">
        <v>589</v>
      </c>
      <c r="K373">
        <f t="shared" si="10"/>
        <v>8.4884722140515443</v>
      </c>
      <c r="L373">
        <v>36590</v>
      </c>
      <c r="M373">
        <v>124689</v>
      </c>
      <c r="N373">
        <f t="shared" si="11"/>
        <v>240.77343536485381</v>
      </c>
      <c r="O373">
        <v>45778</v>
      </c>
      <c r="P373">
        <v>45795</v>
      </c>
      <c r="Q373" t="s">
        <v>34</v>
      </c>
    </row>
    <row r="374" spans="1:17" x14ac:dyDescent="0.3">
      <c r="A374" t="s">
        <v>425</v>
      </c>
      <c r="B374" t="s">
        <v>23</v>
      </c>
      <c r="C374" t="s">
        <v>43</v>
      </c>
      <c r="D374" t="s">
        <v>58</v>
      </c>
      <c r="E374">
        <v>1069360</v>
      </c>
      <c r="F374">
        <v>826277</v>
      </c>
      <c r="G374">
        <v>1787383</v>
      </c>
      <c r="H374">
        <v>103015</v>
      </c>
      <c r="I374">
        <v>4118</v>
      </c>
      <c r="J374">
        <v>4477</v>
      </c>
      <c r="K374">
        <f t="shared" si="10"/>
        <v>13.507576756947126</v>
      </c>
      <c r="L374">
        <v>209048</v>
      </c>
      <c r="M374">
        <v>836249</v>
      </c>
      <c r="N374">
        <f t="shared" si="11"/>
        <v>300.02726646511803</v>
      </c>
      <c r="O374">
        <v>45900</v>
      </c>
      <c r="P374">
        <v>45930</v>
      </c>
      <c r="Q374" t="s">
        <v>47</v>
      </c>
    </row>
    <row r="375" spans="1:17" x14ac:dyDescent="0.3">
      <c r="A375" t="s">
        <v>426</v>
      </c>
      <c r="B375" t="s">
        <v>39</v>
      </c>
      <c r="C375" t="s">
        <v>19</v>
      </c>
      <c r="D375" t="s">
        <v>40</v>
      </c>
      <c r="E375">
        <v>1291676</v>
      </c>
      <c r="F375">
        <v>621071</v>
      </c>
      <c r="G375">
        <v>1838597</v>
      </c>
      <c r="H375">
        <v>17098</v>
      </c>
      <c r="I375">
        <v>1227</v>
      </c>
      <c r="J375">
        <v>379</v>
      </c>
      <c r="K375">
        <f t="shared" si="10"/>
        <v>3.0115719458805836</v>
      </c>
      <c r="L375">
        <v>249200</v>
      </c>
      <c r="M375">
        <v>736874</v>
      </c>
      <c r="N375">
        <f t="shared" si="11"/>
        <v>195.69582664526484</v>
      </c>
      <c r="O375">
        <v>46025</v>
      </c>
      <c r="P375">
        <v>46042</v>
      </c>
      <c r="Q375" t="s">
        <v>30</v>
      </c>
    </row>
    <row r="376" spans="1:17" x14ac:dyDescent="0.3">
      <c r="A376" t="s">
        <v>427</v>
      </c>
      <c r="B376" t="s">
        <v>27</v>
      </c>
      <c r="C376" t="s">
        <v>19</v>
      </c>
      <c r="D376" t="s">
        <v>40</v>
      </c>
      <c r="E376">
        <v>1181890</v>
      </c>
      <c r="F376">
        <v>757013</v>
      </c>
      <c r="G376">
        <v>1382824</v>
      </c>
      <c r="H376">
        <v>23438</v>
      </c>
      <c r="I376">
        <v>3326</v>
      </c>
      <c r="J376">
        <v>1189</v>
      </c>
      <c r="K376">
        <f t="shared" si="10"/>
        <v>3.6925389656452401</v>
      </c>
      <c r="L376">
        <v>477083</v>
      </c>
      <c r="M376">
        <v>1074161</v>
      </c>
      <c r="N376">
        <f t="shared" si="11"/>
        <v>125.15180796632872</v>
      </c>
      <c r="O376">
        <v>45752</v>
      </c>
      <c r="P376">
        <v>45764</v>
      </c>
      <c r="Q376" t="s">
        <v>25</v>
      </c>
    </row>
    <row r="377" spans="1:17" x14ac:dyDescent="0.3">
      <c r="A377" t="s">
        <v>428</v>
      </c>
      <c r="B377" t="s">
        <v>39</v>
      </c>
      <c r="C377" t="s">
        <v>19</v>
      </c>
      <c r="D377" t="s">
        <v>58</v>
      </c>
      <c r="E377">
        <v>1346161</v>
      </c>
      <c r="F377">
        <v>738941</v>
      </c>
      <c r="G377">
        <v>1332350</v>
      </c>
      <c r="H377">
        <v>73515</v>
      </c>
      <c r="I377">
        <v>8503</v>
      </c>
      <c r="J377">
        <v>3599</v>
      </c>
      <c r="K377">
        <f t="shared" si="10"/>
        <v>11.586446008544661</v>
      </c>
      <c r="L377">
        <v>64267</v>
      </c>
      <c r="M377">
        <v>254688</v>
      </c>
      <c r="N377">
        <f t="shared" si="11"/>
        <v>296.29669970591436</v>
      </c>
      <c r="O377">
        <v>45944</v>
      </c>
      <c r="P377">
        <v>45951</v>
      </c>
      <c r="Q377" t="s">
        <v>41</v>
      </c>
    </row>
    <row r="378" spans="1:17" x14ac:dyDescent="0.3">
      <c r="A378" t="s">
        <v>429</v>
      </c>
      <c r="B378" t="s">
        <v>39</v>
      </c>
      <c r="C378" t="s">
        <v>37</v>
      </c>
      <c r="D378" t="s">
        <v>58</v>
      </c>
      <c r="E378">
        <v>1954523</v>
      </c>
      <c r="F378">
        <v>1263806</v>
      </c>
      <c r="G378">
        <v>3409910</v>
      </c>
      <c r="H378">
        <v>133593</v>
      </c>
      <c r="I378">
        <v>17535</v>
      </c>
      <c r="J378">
        <v>10842</v>
      </c>
      <c r="K378">
        <f t="shared" si="10"/>
        <v>12.816049298705657</v>
      </c>
      <c r="L378">
        <v>33748</v>
      </c>
      <c r="M378">
        <v>146846</v>
      </c>
      <c r="N378">
        <f t="shared" si="11"/>
        <v>335.12504444707838</v>
      </c>
      <c r="O378">
        <v>45884</v>
      </c>
      <c r="P378">
        <v>45908</v>
      </c>
      <c r="Q378" t="s">
        <v>30</v>
      </c>
    </row>
    <row r="379" spans="1:17" x14ac:dyDescent="0.3">
      <c r="A379" t="s">
        <v>430</v>
      </c>
      <c r="B379" t="s">
        <v>63</v>
      </c>
      <c r="C379" t="s">
        <v>33</v>
      </c>
      <c r="D379" t="s">
        <v>29</v>
      </c>
      <c r="E379">
        <v>601502</v>
      </c>
      <c r="F379">
        <v>166033</v>
      </c>
      <c r="G379">
        <v>420965</v>
      </c>
      <c r="H379">
        <v>19702</v>
      </c>
      <c r="I379">
        <v>1972</v>
      </c>
      <c r="J379">
        <v>1723</v>
      </c>
      <c r="K379">
        <f t="shared" si="10"/>
        <v>14.09177693591033</v>
      </c>
      <c r="L379">
        <v>164662</v>
      </c>
      <c r="M379">
        <v>677322</v>
      </c>
      <c r="N379">
        <f t="shared" si="11"/>
        <v>311.34080722935471</v>
      </c>
      <c r="O379">
        <v>46081</v>
      </c>
      <c r="P379">
        <v>46088</v>
      </c>
      <c r="Q379" t="s">
        <v>30</v>
      </c>
    </row>
    <row r="380" spans="1:17" x14ac:dyDescent="0.3">
      <c r="A380" t="s">
        <v>431</v>
      </c>
      <c r="B380" t="s">
        <v>39</v>
      </c>
      <c r="C380" t="s">
        <v>19</v>
      </c>
      <c r="D380" t="s">
        <v>72</v>
      </c>
      <c r="E380">
        <v>1641635</v>
      </c>
      <c r="F380">
        <v>861340</v>
      </c>
      <c r="G380">
        <v>1447590</v>
      </c>
      <c r="H380">
        <v>71962</v>
      </c>
      <c r="I380">
        <v>4204</v>
      </c>
      <c r="J380">
        <v>6755</v>
      </c>
      <c r="K380">
        <f t="shared" si="10"/>
        <v>9.6269765713887665</v>
      </c>
      <c r="L380">
        <v>254571</v>
      </c>
      <c r="M380">
        <v>764429</v>
      </c>
      <c r="N380">
        <f t="shared" si="11"/>
        <v>200.28125748808782</v>
      </c>
      <c r="O380">
        <v>46138</v>
      </c>
      <c r="P380">
        <v>46151</v>
      </c>
      <c r="Q380" t="s">
        <v>41</v>
      </c>
    </row>
    <row r="381" spans="1:17" x14ac:dyDescent="0.3">
      <c r="A381" t="s">
        <v>432</v>
      </c>
      <c r="B381" t="s">
        <v>45</v>
      </c>
      <c r="C381" t="s">
        <v>33</v>
      </c>
      <c r="D381" t="s">
        <v>46</v>
      </c>
      <c r="E381">
        <v>379337</v>
      </c>
      <c r="F381">
        <v>135217</v>
      </c>
      <c r="G381">
        <v>352389</v>
      </c>
      <c r="H381">
        <v>6367</v>
      </c>
      <c r="I381">
        <v>601</v>
      </c>
      <c r="J381">
        <v>231</v>
      </c>
      <c r="K381">
        <f t="shared" si="10"/>
        <v>5.3240346997788741</v>
      </c>
      <c r="L381">
        <v>392650</v>
      </c>
      <c r="M381">
        <v>1299132</v>
      </c>
      <c r="N381">
        <f t="shared" si="11"/>
        <v>230.86260028014772</v>
      </c>
      <c r="O381">
        <v>45802</v>
      </c>
      <c r="P381">
        <v>45814</v>
      </c>
      <c r="Q381" t="s">
        <v>47</v>
      </c>
    </row>
    <row r="382" spans="1:17" x14ac:dyDescent="0.3">
      <c r="A382" t="s">
        <v>433</v>
      </c>
      <c r="B382" t="s">
        <v>75</v>
      </c>
      <c r="C382" t="s">
        <v>33</v>
      </c>
      <c r="D382" t="s">
        <v>72</v>
      </c>
      <c r="E382">
        <v>1971393</v>
      </c>
      <c r="F382">
        <v>1490354</v>
      </c>
      <c r="G382">
        <v>2268978</v>
      </c>
      <c r="H382">
        <v>55180</v>
      </c>
      <c r="I382">
        <v>4429</v>
      </c>
      <c r="J382">
        <v>1728</v>
      </c>
      <c r="K382">
        <f t="shared" si="10"/>
        <v>4.1155993810866409</v>
      </c>
      <c r="L382">
        <v>99940</v>
      </c>
      <c r="M382">
        <v>437546</v>
      </c>
      <c r="N382">
        <f t="shared" si="11"/>
        <v>337.80868521112666</v>
      </c>
      <c r="O382">
        <v>45675</v>
      </c>
      <c r="P382">
        <v>45696</v>
      </c>
      <c r="Q382" t="s">
        <v>47</v>
      </c>
    </row>
    <row r="383" spans="1:17" x14ac:dyDescent="0.3">
      <c r="A383" t="s">
        <v>434</v>
      </c>
      <c r="B383" t="s">
        <v>27</v>
      </c>
      <c r="C383" t="s">
        <v>43</v>
      </c>
      <c r="D383" t="s">
        <v>58</v>
      </c>
      <c r="E383">
        <v>1395567</v>
      </c>
      <c r="F383">
        <v>496405</v>
      </c>
      <c r="G383">
        <v>1026834</v>
      </c>
      <c r="H383">
        <v>26317</v>
      </c>
      <c r="I383">
        <v>2514</v>
      </c>
      <c r="J383">
        <v>1541</v>
      </c>
      <c r="K383">
        <f t="shared" si="10"/>
        <v>6.1183912329650179</v>
      </c>
      <c r="L383">
        <v>275106</v>
      </c>
      <c r="M383">
        <v>1069368</v>
      </c>
      <c r="N383">
        <f t="shared" si="11"/>
        <v>288.71126038690539</v>
      </c>
      <c r="O383">
        <v>45771</v>
      </c>
      <c r="P383">
        <v>45782</v>
      </c>
      <c r="Q383" t="s">
        <v>47</v>
      </c>
    </row>
    <row r="384" spans="1:17" x14ac:dyDescent="0.3">
      <c r="A384" t="s">
        <v>435</v>
      </c>
      <c r="B384" t="s">
        <v>18</v>
      </c>
      <c r="C384" t="s">
        <v>37</v>
      </c>
      <c r="D384" t="s">
        <v>20</v>
      </c>
      <c r="E384">
        <v>1214784</v>
      </c>
      <c r="F384">
        <v>353956</v>
      </c>
      <c r="G384">
        <v>973892</v>
      </c>
      <c r="H384">
        <v>36716</v>
      </c>
      <c r="I384">
        <v>4388</v>
      </c>
      <c r="J384">
        <v>2152</v>
      </c>
      <c r="K384">
        <f t="shared" si="10"/>
        <v>12.220728000090407</v>
      </c>
      <c r="L384">
        <v>129186</v>
      </c>
      <c r="M384">
        <v>307298</v>
      </c>
      <c r="N384">
        <f t="shared" si="11"/>
        <v>137.87252488659763</v>
      </c>
      <c r="O384">
        <v>46041</v>
      </c>
      <c r="P384">
        <v>46058</v>
      </c>
      <c r="Q384" t="s">
        <v>47</v>
      </c>
    </row>
    <row r="385" spans="1:17" x14ac:dyDescent="0.3">
      <c r="A385" t="s">
        <v>436</v>
      </c>
      <c r="B385" t="s">
        <v>23</v>
      </c>
      <c r="C385" t="s">
        <v>19</v>
      </c>
      <c r="D385" t="s">
        <v>40</v>
      </c>
      <c r="E385">
        <v>1306093</v>
      </c>
      <c r="F385">
        <v>653317</v>
      </c>
      <c r="G385">
        <v>1584458</v>
      </c>
      <c r="H385">
        <v>50750</v>
      </c>
      <c r="I385">
        <v>5606</v>
      </c>
      <c r="J385">
        <v>4762</v>
      </c>
      <c r="K385">
        <f t="shared" si="10"/>
        <v>9.3550297941122</v>
      </c>
      <c r="L385">
        <v>54787</v>
      </c>
      <c r="M385">
        <v>237822</v>
      </c>
      <c r="N385">
        <f t="shared" si="11"/>
        <v>334.08472812893569</v>
      </c>
      <c r="O385">
        <v>45966</v>
      </c>
      <c r="P385">
        <v>45991</v>
      </c>
      <c r="Q385" t="s">
        <v>34</v>
      </c>
    </row>
    <row r="386" spans="1:17" x14ac:dyDescent="0.3">
      <c r="A386" t="s">
        <v>437</v>
      </c>
      <c r="B386" t="s">
        <v>61</v>
      </c>
      <c r="C386" t="s">
        <v>33</v>
      </c>
      <c r="D386" t="s">
        <v>20</v>
      </c>
      <c r="E386">
        <v>1959218</v>
      </c>
      <c r="F386">
        <v>495794</v>
      </c>
      <c r="G386">
        <v>654675</v>
      </c>
      <c r="H386">
        <v>17162</v>
      </c>
      <c r="I386">
        <v>1070</v>
      </c>
      <c r="J386">
        <v>624</v>
      </c>
      <c r="K386">
        <f t="shared" ref="K386:K449" si="12">((H386+I386+J386)/F386)*100</f>
        <v>3.8031924549308789</v>
      </c>
      <c r="L386">
        <v>236474</v>
      </c>
      <c r="M386">
        <v>332558</v>
      </c>
      <c r="N386">
        <f t="shared" ref="N386:N449" si="13">((M386-L386)/L386)*100</f>
        <v>40.631951081302809</v>
      </c>
      <c r="O386">
        <v>46039</v>
      </c>
      <c r="P386">
        <v>46058</v>
      </c>
      <c r="Q386" t="s">
        <v>30</v>
      </c>
    </row>
    <row r="387" spans="1:17" x14ac:dyDescent="0.3">
      <c r="A387" t="s">
        <v>438</v>
      </c>
      <c r="B387" t="s">
        <v>39</v>
      </c>
      <c r="C387" t="s">
        <v>37</v>
      </c>
      <c r="D387" t="s">
        <v>58</v>
      </c>
      <c r="E387">
        <v>1966387</v>
      </c>
      <c r="F387">
        <v>861997</v>
      </c>
      <c r="G387">
        <v>2040226</v>
      </c>
      <c r="H387">
        <v>50688</v>
      </c>
      <c r="I387">
        <v>3961</v>
      </c>
      <c r="J387">
        <v>3576</v>
      </c>
      <c r="K387">
        <f t="shared" si="12"/>
        <v>6.7546638793406473</v>
      </c>
      <c r="L387">
        <v>73917</v>
      </c>
      <c r="M387">
        <v>177666</v>
      </c>
      <c r="N387">
        <f t="shared" si="13"/>
        <v>140.35878079467508</v>
      </c>
      <c r="O387">
        <v>46111</v>
      </c>
      <c r="P387">
        <v>46135</v>
      </c>
      <c r="Q387" t="s">
        <v>41</v>
      </c>
    </row>
    <row r="388" spans="1:17" x14ac:dyDescent="0.3">
      <c r="A388" t="s">
        <v>439</v>
      </c>
      <c r="B388" t="s">
        <v>75</v>
      </c>
      <c r="C388" t="s">
        <v>37</v>
      </c>
      <c r="D388" t="s">
        <v>46</v>
      </c>
      <c r="E388">
        <v>1703998</v>
      </c>
      <c r="F388">
        <v>576591</v>
      </c>
      <c r="G388">
        <v>1277314</v>
      </c>
      <c r="H388">
        <v>31340</v>
      </c>
      <c r="I388">
        <v>2196</v>
      </c>
      <c r="J388">
        <v>2094</v>
      </c>
      <c r="K388">
        <f t="shared" si="12"/>
        <v>6.1794235428579354</v>
      </c>
      <c r="L388">
        <v>172444</v>
      </c>
      <c r="M388">
        <v>476710</v>
      </c>
      <c r="N388">
        <f t="shared" si="13"/>
        <v>176.44336712208022</v>
      </c>
      <c r="O388">
        <v>45790</v>
      </c>
      <c r="P388">
        <v>45807</v>
      </c>
      <c r="Q388" t="s">
        <v>54</v>
      </c>
    </row>
    <row r="389" spans="1:17" x14ac:dyDescent="0.3">
      <c r="A389" t="s">
        <v>440</v>
      </c>
      <c r="B389" t="s">
        <v>49</v>
      </c>
      <c r="C389" t="s">
        <v>19</v>
      </c>
      <c r="D389" t="s">
        <v>29</v>
      </c>
      <c r="E389">
        <v>1076267</v>
      </c>
      <c r="F389">
        <v>567719</v>
      </c>
      <c r="G389">
        <v>973152</v>
      </c>
      <c r="H389">
        <v>54863</v>
      </c>
      <c r="I389">
        <v>7417</v>
      </c>
      <c r="J389">
        <v>1404</v>
      </c>
      <c r="K389">
        <f t="shared" si="12"/>
        <v>11.217521344186119</v>
      </c>
      <c r="L389">
        <v>332870</v>
      </c>
      <c r="M389">
        <v>558958</v>
      </c>
      <c r="N389">
        <f t="shared" si="13"/>
        <v>67.92080992579686</v>
      </c>
      <c r="O389">
        <v>46137</v>
      </c>
      <c r="P389">
        <v>46161</v>
      </c>
      <c r="Q389" t="s">
        <v>47</v>
      </c>
    </row>
    <row r="390" spans="1:17" x14ac:dyDescent="0.3">
      <c r="A390" t="s">
        <v>441</v>
      </c>
      <c r="B390" t="s">
        <v>27</v>
      </c>
      <c r="C390" t="s">
        <v>33</v>
      </c>
      <c r="D390" t="s">
        <v>20</v>
      </c>
      <c r="E390">
        <v>1039663</v>
      </c>
      <c r="F390">
        <v>623785</v>
      </c>
      <c r="G390">
        <v>1640687</v>
      </c>
      <c r="H390">
        <v>59616</v>
      </c>
      <c r="I390">
        <v>4946</v>
      </c>
      <c r="J390">
        <v>3353</v>
      </c>
      <c r="K390">
        <f t="shared" si="12"/>
        <v>10.887565427190458</v>
      </c>
      <c r="L390">
        <v>139179</v>
      </c>
      <c r="M390">
        <v>398064</v>
      </c>
      <c r="N390">
        <f t="shared" si="13"/>
        <v>186.00866510033842</v>
      </c>
      <c r="O390">
        <v>45731</v>
      </c>
      <c r="P390">
        <v>45744</v>
      </c>
      <c r="Q390" t="s">
        <v>54</v>
      </c>
    </row>
    <row r="391" spans="1:17" x14ac:dyDescent="0.3">
      <c r="A391" t="s">
        <v>442</v>
      </c>
      <c r="B391" t="s">
        <v>63</v>
      </c>
      <c r="C391" t="s">
        <v>28</v>
      </c>
      <c r="D391" t="s">
        <v>51</v>
      </c>
      <c r="E391">
        <v>288756</v>
      </c>
      <c r="F391">
        <v>85852</v>
      </c>
      <c r="G391">
        <v>140442</v>
      </c>
      <c r="H391">
        <v>11977</v>
      </c>
      <c r="I391">
        <v>778</v>
      </c>
      <c r="J391">
        <v>751</v>
      </c>
      <c r="K391">
        <f t="shared" si="12"/>
        <v>15.73172436285701</v>
      </c>
      <c r="L391">
        <v>389421</v>
      </c>
      <c r="M391">
        <v>1367944</v>
      </c>
      <c r="N391">
        <f t="shared" si="13"/>
        <v>251.27638211601325</v>
      </c>
      <c r="O391">
        <v>46157</v>
      </c>
      <c r="P391">
        <v>46172</v>
      </c>
      <c r="Q391" t="s">
        <v>78</v>
      </c>
    </row>
    <row r="392" spans="1:17" x14ac:dyDescent="0.3">
      <c r="A392" t="s">
        <v>443</v>
      </c>
      <c r="B392" t="s">
        <v>39</v>
      </c>
      <c r="C392" t="s">
        <v>37</v>
      </c>
      <c r="D392" t="s">
        <v>29</v>
      </c>
      <c r="E392">
        <v>760841</v>
      </c>
      <c r="F392">
        <v>579769</v>
      </c>
      <c r="G392">
        <v>1538972</v>
      </c>
      <c r="H392">
        <v>76808</v>
      </c>
      <c r="I392">
        <v>6155</v>
      </c>
      <c r="J392">
        <v>2791</v>
      </c>
      <c r="K392">
        <f t="shared" si="12"/>
        <v>14.79106333729468</v>
      </c>
      <c r="L392">
        <v>103850</v>
      </c>
      <c r="M392">
        <v>377677</v>
      </c>
      <c r="N392">
        <f t="shared" si="13"/>
        <v>263.67549350024075</v>
      </c>
      <c r="O392">
        <v>45994</v>
      </c>
      <c r="P392">
        <v>46017</v>
      </c>
      <c r="Q392" t="s">
        <v>41</v>
      </c>
    </row>
    <row r="393" spans="1:17" x14ac:dyDescent="0.3">
      <c r="A393" t="s">
        <v>444</v>
      </c>
      <c r="B393" t="s">
        <v>32</v>
      </c>
      <c r="C393" t="s">
        <v>37</v>
      </c>
      <c r="D393" t="s">
        <v>40</v>
      </c>
      <c r="E393">
        <v>367876</v>
      </c>
      <c r="F393">
        <v>106214</v>
      </c>
      <c r="G393">
        <v>161644</v>
      </c>
      <c r="H393">
        <v>3171</v>
      </c>
      <c r="I393">
        <v>349</v>
      </c>
      <c r="J393">
        <v>308</v>
      </c>
      <c r="K393">
        <f t="shared" si="12"/>
        <v>3.6040446645451634</v>
      </c>
      <c r="L393">
        <v>204658</v>
      </c>
      <c r="M393">
        <v>375670</v>
      </c>
      <c r="N393">
        <f t="shared" si="13"/>
        <v>83.559890158215168</v>
      </c>
      <c r="O393">
        <v>45761</v>
      </c>
      <c r="P393">
        <v>45774</v>
      </c>
      <c r="Q393" t="s">
        <v>47</v>
      </c>
    </row>
    <row r="394" spans="1:17" x14ac:dyDescent="0.3">
      <c r="A394" t="s">
        <v>445</v>
      </c>
      <c r="B394" t="s">
        <v>80</v>
      </c>
      <c r="C394" t="s">
        <v>19</v>
      </c>
      <c r="D394" t="s">
        <v>29</v>
      </c>
      <c r="E394">
        <v>1310589</v>
      </c>
      <c r="F394">
        <v>381474</v>
      </c>
      <c r="G394">
        <v>686391</v>
      </c>
      <c r="H394">
        <v>14519</v>
      </c>
      <c r="I394">
        <v>1880</v>
      </c>
      <c r="J394">
        <v>352</v>
      </c>
      <c r="K394">
        <f t="shared" si="12"/>
        <v>4.3911249521592559</v>
      </c>
      <c r="L394">
        <v>486446</v>
      </c>
      <c r="M394">
        <v>1540365</v>
      </c>
      <c r="N394">
        <f t="shared" si="13"/>
        <v>216.65693622724825</v>
      </c>
      <c r="O394">
        <v>46076</v>
      </c>
      <c r="P394">
        <v>46090</v>
      </c>
      <c r="Q394" t="s">
        <v>30</v>
      </c>
    </row>
    <row r="395" spans="1:17" x14ac:dyDescent="0.3">
      <c r="A395" t="s">
        <v>446</v>
      </c>
      <c r="B395" t="s">
        <v>53</v>
      </c>
      <c r="C395" t="s">
        <v>19</v>
      </c>
      <c r="D395" t="s">
        <v>29</v>
      </c>
      <c r="E395">
        <v>150584</v>
      </c>
      <c r="F395">
        <v>62439</v>
      </c>
      <c r="G395">
        <v>179569</v>
      </c>
      <c r="H395">
        <v>8364</v>
      </c>
      <c r="I395">
        <v>712</v>
      </c>
      <c r="J395">
        <v>243</v>
      </c>
      <c r="K395">
        <f t="shared" si="12"/>
        <v>14.924966767565143</v>
      </c>
      <c r="L395">
        <v>386143</v>
      </c>
      <c r="M395">
        <v>615314</v>
      </c>
      <c r="N395">
        <f t="shared" si="13"/>
        <v>59.348738679711921</v>
      </c>
      <c r="O395">
        <v>45761</v>
      </c>
      <c r="P395">
        <v>45778</v>
      </c>
      <c r="Q395" t="s">
        <v>25</v>
      </c>
    </row>
    <row r="396" spans="1:17" x14ac:dyDescent="0.3">
      <c r="A396" t="s">
        <v>447</v>
      </c>
      <c r="B396" t="s">
        <v>75</v>
      </c>
      <c r="C396" t="s">
        <v>28</v>
      </c>
      <c r="D396" t="s">
        <v>40</v>
      </c>
      <c r="E396">
        <v>1460145</v>
      </c>
      <c r="F396">
        <v>1182339</v>
      </c>
      <c r="G396">
        <v>1898697</v>
      </c>
      <c r="H396">
        <v>71901</v>
      </c>
      <c r="I396">
        <v>6697</v>
      </c>
      <c r="J396">
        <v>2153</v>
      </c>
      <c r="K396">
        <f t="shared" si="12"/>
        <v>6.8297670972538329</v>
      </c>
      <c r="L396">
        <v>275071</v>
      </c>
      <c r="M396">
        <v>904520</v>
      </c>
      <c r="N396">
        <f t="shared" si="13"/>
        <v>228.83146533076916</v>
      </c>
      <c r="O396">
        <v>45942</v>
      </c>
      <c r="P396">
        <v>45961</v>
      </c>
      <c r="Q396" t="s">
        <v>21</v>
      </c>
    </row>
    <row r="397" spans="1:17" x14ac:dyDescent="0.3">
      <c r="A397" t="s">
        <v>448</v>
      </c>
      <c r="B397" t="s">
        <v>18</v>
      </c>
      <c r="C397" t="s">
        <v>37</v>
      </c>
      <c r="D397" t="s">
        <v>40</v>
      </c>
      <c r="E397">
        <v>1484404</v>
      </c>
      <c r="F397">
        <v>584068</v>
      </c>
      <c r="G397">
        <v>1091007</v>
      </c>
      <c r="H397">
        <v>45626</v>
      </c>
      <c r="I397">
        <v>5222</v>
      </c>
      <c r="J397">
        <v>3801</v>
      </c>
      <c r="K397">
        <f t="shared" si="12"/>
        <v>9.3566160104645348</v>
      </c>
      <c r="L397">
        <v>195275</v>
      </c>
      <c r="M397">
        <v>686448</v>
      </c>
      <c r="N397">
        <f t="shared" si="13"/>
        <v>251.52886954295224</v>
      </c>
      <c r="O397">
        <v>45848</v>
      </c>
      <c r="P397">
        <v>45859</v>
      </c>
      <c r="Q397" t="s">
        <v>34</v>
      </c>
    </row>
    <row r="398" spans="1:17" x14ac:dyDescent="0.3">
      <c r="A398" t="s">
        <v>449</v>
      </c>
      <c r="B398" t="s">
        <v>18</v>
      </c>
      <c r="C398" t="s">
        <v>37</v>
      </c>
      <c r="D398" t="s">
        <v>29</v>
      </c>
      <c r="E398">
        <v>1777781</v>
      </c>
      <c r="F398">
        <v>937064</v>
      </c>
      <c r="G398">
        <v>2122089</v>
      </c>
      <c r="H398">
        <v>114413</v>
      </c>
      <c r="I398">
        <v>12558</v>
      </c>
      <c r="J398">
        <v>4748</v>
      </c>
      <c r="K398">
        <f t="shared" si="12"/>
        <v>14.056563905987209</v>
      </c>
      <c r="L398">
        <v>425701</v>
      </c>
      <c r="M398">
        <v>1058008</v>
      </c>
      <c r="N398">
        <f t="shared" si="13"/>
        <v>148.53312536263715</v>
      </c>
      <c r="O398">
        <v>45982</v>
      </c>
      <c r="P398">
        <v>46000</v>
      </c>
      <c r="Q398" t="s">
        <v>47</v>
      </c>
    </row>
    <row r="399" spans="1:17" x14ac:dyDescent="0.3">
      <c r="A399" t="s">
        <v>450</v>
      </c>
      <c r="B399" t="s">
        <v>45</v>
      </c>
      <c r="C399" t="s">
        <v>43</v>
      </c>
      <c r="D399" t="s">
        <v>51</v>
      </c>
      <c r="E399">
        <v>1423563</v>
      </c>
      <c r="F399">
        <v>916165</v>
      </c>
      <c r="G399">
        <v>2256872</v>
      </c>
      <c r="H399">
        <v>30863</v>
      </c>
      <c r="I399">
        <v>1712</v>
      </c>
      <c r="J399">
        <v>734</v>
      </c>
      <c r="K399">
        <f t="shared" si="12"/>
        <v>3.635698809712224</v>
      </c>
      <c r="L399">
        <v>223072</v>
      </c>
      <c r="M399">
        <v>734095</v>
      </c>
      <c r="N399">
        <f t="shared" si="13"/>
        <v>229.08433151628174</v>
      </c>
      <c r="O399">
        <v>46070</v>
      </c>
      <c r="P399">
        <v>46091</v>
      </c>
      <c r="Q399" t="s">
        <v>30</v>
      </c>
    </row>
    <row r="400" spans="1:17" x14ac:dyDescent="0.3">
      <c r="A400" t="s">
        <v>451</v>
      </c>
      <c r="B400" t="s">
        <v>80</v>
      </c>
      <c r="C400" t="s">
        <v>33</v>
      </c>
      <c r="D400" t="s">
        <v>29</v>
      </c>
      <c r="E400">
        <v>497368</v>
      </c>
      <c r="F400">
        <v>396875</v>
      </c>
      <c r="G400">
        <v>584724</v>
      </c>
      <c r="H400">
        <v>37026</v>
      </c>
      <c r="I400">
        <v>1809</v>
      </c>
      <c r="J400">
        <v>2480</v>
      </c>
      <c r="K400">
        <f t="shared" si="12"/>
        <v>10.410078740157481</v>
      </c>
      <c r="L400">
        <v>317043</v>
      </c>
      <c r="M400">
        <v>1454864</v>
      </c>
      <c r="N400">
        <f t="shared" si="13"/>
        <v>358.88538778651474</v>
      </c>
      <c r="O400">
        <v>45758</v>
      </c>
      <c r="P400">
        <v>45782</v>
      </c>
      <c r="Q400" t="s">
        <v>47</v>
      </c>
    </row>
    <row r="401" spans="1:17" x14ac:dyDescent="0.3">
      <c r="A401" t="s">
        <v>452</v>
      </c>
      <c r="B401" t="s">
        <v>49</v>
      </c>
      <c r="C401" t="s">
        <v>33</v>
      </c>
      <c r="D401" t="s">
        <v>20</v>
      </c>
      <c r="E401">
        <v>720137</v>
      </c>
      <c r="F401">
        <v>527168</v>
      </c>
      <c r="G401">
        <v>695203</v>
      </c>
      <c r="H401">
        <v>50078</v>
      </c>
      <c r="I401">
        <v>3946</v>
      </c>
      <c r="J401">
        <v>4095</v>
      </c>
      <c r="K401">
        <f t="shared" si="12"/>
        <v>11.024758710695641</v>
      </c>
      <c r="L401">
        <v>16605</v>
      </c>
      <c r="M401">
        <v>27963</v>
      </c>
      <c r="N401">
        <f t="shared" si="13"/>
        <v>68.401084010840108</v>
      </c>
      <c r="O401">
        <v>45673</v>
      </c>
      <c r="P401">
        <v>45699</v>
      </c>
      <c r="Q401" t="s">
        <v>78</v>
      </c>
    </row>
    <row r="402" spans="1:17" x14ac:dyDescent="0.3">
      <c r="A402" t="s">
        <v>453</v>
      </c>
      <c r="B402" t="s">
        <v>80</v>
      </c>
      <c r="C402" t="s">
        <v>43</v>
      </c>
      <c r="D402" t="s">
        <v>72</v>
      </c>
      <c r="E402">
        <v>141923</v>
      </c>
      <c r="F402">
        <v>89673</v>
      </c>
      <c r="G402">
        <v>262373</v>
      </c>
      <c r="H402">
        <v>12175</v>
      </c>
      <c r="I402">
        <v>1585</v>
      </c>
      <c r="J402">
        <v>902</v>
      </c>
      <c r="K402">
        <f t="shared" si="12"/>
        <v>16.350517993152899</v>
      </c>
      <c r="L402">
        <v>492394</v>
      </c>
      <c r="M402">
        <v>605387</v>
      </c>
      <c r="N402">
        <f t="shared" si="13"/>
        <v>22.947680109830745</v>
      </c>
      <c r="O402">
        <v>45968</v>
      </c>
      <c r="P402">
        <v>45980</v>
      </c>
      <c r="Q402" t="s">
        <v>54</v>
      </c>
    </row>
    <row r="403" spans="1:17" x14ac:dyDescent="0.3">
      <c r="A403" t="s">
        <v>454</v>
      </c>
      <c r="B403" t="s">
        <v>27</v>
      </c>
      <c r="C403" t="s">
        <v>43</v>
      </c>
      <c r="D403" t="s">
        <v>72</v>
      </c>
      <c r="E403">
        <v>112623</v>
      </c>
      <c r="F403">
        <v>69986</v>
      </c>
      <c r="G403">
        <v>138529</v>
      </c>
      <c r="H403">
        <v>8274</v>
      </c>
      <c r="I403">
        <v>1222</v>
      </c>
      <c r="J403">
        <v>242</v>
      </c>
      <c r="K403">
        <f t="shared" si="12"/>
        <v>13.914211413711314</v>
      </c>
      <c r="L403">
        <v>81597</v>
      </c>
      <c r="M403">
        <v>151199</v>
      </c>
      <c r="N403">
        <f t="shared" si="13"/>
        <v>85.29970464600413</v>
      </c>
      <c r="O403">
        <v>45741</v>
      </c>
      <c r="P403">
        <v>45748</v>
      </c>
      <c r="Q403" t="s">
        <v>34</v>
      </c>
    </row>
    <row r="404" spans="1:17" x14ac:dyDescent="0.3">
      <c r="A404" t="s">
        <v>455</v>
      </c>
      <c r="B404" t="s">
        <v>27</v>
      </c>
      <c r="C404" t="s">
        <v>28</v>
      </c>
      <c r="D404" t="s">
        <v>24</v>
      </c>
      <c r="E404">
        <v>1186981</v>
      </c>
      <c r="F404">
        <v>768660</v>
      </c>
      <c r="G404">
        <v>850739</v>
      </c>
      <c r="H404">
        <v>79578</v>
      </c>
      <c r="I404">
        <v>11343</v>
      </c>
      <c r="J404">
        <v>4012</v>
      </c>
      <c r="K404">
        <f t="shared" si="12"/>
        <v>12.350454036895377</v>
      </c>
      <c r="L404">
        <v>250802</v>
      </c>
      <c r="M404">
        <v>358737</v>
      </c>
      <c r="N404">
        <f t="shared" si="13"/>
        <v>43.035940702227258</v>
      </c>
      <c r="O404">
        <v>45922</v>
      </c>
      <c r="P404">
        <v>45950</v>
      </c>
      <c r="Q404" t="s">
        <v>47</v>
      </c>
    </row>
    <row r="405" spans="1:17" x14ac:dyDescent="0.3">
      <c r="A405" t="s">
        <v>456</v>
      </c>
      <c r="B405" t="s">
        <v>36</v>
      </c>
      <c r="C405" t="s">
        <v>43</v>
      </c>
      <c r="D405" t="s">
        <v>20</v>
      </c>
      <c r="E405">
        <v>978473</v>
      </c>
      <c r="F405">
        <v>386010</v>
      </c>
      <c r="G405">
        <v>702641</v>
      </c>
      <c r="H405">
        <v>27992</v>
      </c>
      <c r="I405">
        <v>3703</v>
      </c>
      <c r="J405">
        <v>1439</v>
      </c>
      <c r="K405">
        <f t="shared" si="12"/>
        <v>8.5837154477863269</v>
      </c>
      <c r="L405">
        <v>73791</v>
      </c>
      <c r="M405">
        <v>148967</v>
      </c>
      <c r="N405">
        <f t="shared" si="13"/>
        <v>101.876922659945</v>
      </c>
      <c r="O405">
        <v>45713</v>
      </c>
      <c r="P405">
        <v>45723</v>
      </c>
      <c r="Q405" t="s">
        <v>41</v>
      </c>
    </row>
    <row r="406" spans="1:17" x14ac:dyDescent="0.3">
      <c r="A406" t="s">
        <v>457</v>
      </c>
      <c r="B406" t="s">
        <v>80</v>
      </c>
      <c r="C406" t="s">
        <v>37</v>
      </c>
      <c r="D406" t="s">
        <v>46</v>
      </c>
      <c r="E406">
        <v>564772</v>
      </c>
      <c r="F406">
        <v>176089</v>
      </c>
      <c r="G406">
        <v>503433</v>
      </c>
      <c r="H406">
        <v>22798</v>
      </c>
      <c r="I406">
        <v>2967</v>
      </c>
      <c r="J406">
        <v>622</v>
      </c>
      <c r="K406">
        <f t="shared" si="12"/>
        <v>14.98503597612571</v>
      </c>
      <c r="L406">
        <v>71616</v>
      </c>
      <c r="M406">
        <v>154829</v>
      </c>
      <c r="N406">
        <f t="shared" si="13"/>
        <v>116.19330875781948</v>
      </c>
      <c r="O406">
        <v>45809</v>
      </c>
      <c r="P406">
        <v>45825</v>
      </c>
      <c r="Q406" t="s">
        <v>25</v>
      </c>
    </row>
    <row r="407" spans="1:17" x14ac:dyDescent="0.3">
      <c r="A407" t="s">
        <v>458</v>
      </c>
      <c r="B407" t="s">
        <v>23</v>
      </c>
      <c r="C407" t="s">
        <v>33</v>
      </c>
      <c r="D407" t="s">
        <v>40</v>
      </c>
      <c r="E407">
        <v>1705626</v>
      </c>
      <c r="F407">
        <v>1332270</v>
      </c>
      <c r="G407">
        <v>2542144</v>
      </c>
      <c r="H407">
        <v>87282</v>
      </c>
      <c r="I407">
        <v>6197</v>
      </c>
      <c r="J407">
        <v>6248</v>
      </c>
      <c r="K407">
        <f t="shared" si="12"/>
        <v>7.4854946820089019</v>
      </c>
      <c r="L407">
        <v>58621</v>
      </c>
      <c r="M407">
        <v>246895</v>
      </c>
      <c r="N407">
        <f t="shared" si="13"/>
        <v>321.17159379744459</v>
      </c>
      <c r="O407">
        <v>45814</v>
      </c>
      <c r="P407">
        <v>45830</v>
      </c>
      <c r="Q407" t="s">
        <v>41</v>
      </c>
    </row>
    <row r="408" spans="1:17" x14ac:dyDescent="0.3">
      <c r="A408" t="s">
        <v>459</v>
      </c>
      <c r="B408" t="s">
        <v>61</v>
      </c>
      <c r="C408" t="s">
        <v>19</v>
      </c>
      <c r="D408" t="s">
        <v>72</v>
      </c>
      <c r="E408">
        <v>1184396</v>
      </c>
      <c r="F408">
        <v>576753</v>
      </c>
      <c r="G408">
        <v>1303827</v>
      </c>
      <c r="H408">
        <v>48671</v>
      </c>
      <c r="I408">
        <v>5184</v>
      </c>
      <c r="J408">
        <v>2729</v>
      </c>
      <c r="K408">
        <f t="shared" si="12"/>
        <v>9.8107855529143322</v>
      </c>
      <c r="L408">
        <v>203622</v>
      </c>
      <c r="M408">
        <v>737897</v>
      </c>
      <c r="N408">
        <f t="shared" si="13"/>
        <v>262.38569506241959</v>
      </c>
      <c r="O408">
        <v>45825</v>
      </c>
      <c r="P408">
        <v>45839</v>
      </c>
      <c r="Q408" t="s">
        <v>78</v>
      </c>
    </row>
    <row r="409" spans="1:17" x14ac:dyDescent="0.3">
      <c r="A409" t="s">
        <v>460</v>
      </c>
      <c r="B409" t="s">
        <v>53</v>
      </c>
      <c r="C409" t="s">
        <v>19</v>
      </c>
      <c r="D409" t="s">
        <v>40</v>
      </c>
      <c r="E409">
        <v>1361016</v>
      </c>
      <c r="F409">
        <v>1048242</v>
      </c>
      <c r="G409">
        <v>1852535</v>
      </c>
      <c r="H409">
        <v>53599</v>
      </c>
      <c r="I409">
        <v>2754</v>
      </c>
      <c r="J409">
        <v>3687</v>
      </c>
      <c r="K409">
        <f t="shared" si="12"/>
        <v>5.7276850192989786</v>
      </c>
      <c r="L409">
        <v>257186</v>
      </c>
      <c r="M409">
        <v>294803</v>
      </c>
      <c r="N409">
        <f t="shared" si="13"/>
        <v>14.626379351908735</v>
      </c>
      <c r="O409">
        <v>45742</v>
      </c>
      <c r="P409">
        <v>45770</v>
      </c>
      <c r="Q409" t="s">
        <v>78</v>
      </c>
    </row>
    <row r="410" spans="1:17" x14ac:dyDescent="0.3">
      <c r="A410" t="s">
        <v>461</v>
      </c>
      <c r="B410" t="s">
        <v>103</v>
      </c>
      <c r="C410" t="s">
        <v>28</v>
      </c>
      <c r="D410" t="s">
        <v>40</v>
      </c>
      <c r="E410">
        <v>594537</v>
      </c>
      <c r="F410">
        <v>172018</v>
      </c>
      <c r="G410">
        <v>440548</v>
      </c>
      <c r="H410">
        <v>7492</v>
      </c>
      <c r="I410">
        <v>711</v>
      </c>
      <c r="J410">
        <v>390</v>
      </c>
      <c r="K410">
        <f t="shared" si="12"/>
        <v>4.9954074573591134</v>
      </c>
      <c r="L410">
        <v>497461</v>
      </c>
      <c r="M410">
        <v>938712</v>
      </c>
      <c r="N410">
        <f t="shared" si="13"/>
        <v>88.700621757283486</v>
      </c>
      <c r="O410">
        <v>46143</v>
      </c>
      <c r="P410">
        <v>46160</v>
      </c>
      <c r="Q410" t="s">
        <v>30</v>
      </c>
    </row>
    <row r="411" spans="1:17" x14ac:dyDescent="0.3">
      <c r="A411" t="s">
        <v>462</v>
      </c>
      <c r="B411" t="s">
        <v>39</v>
      </c>
      <c r="C411" t="s">
        <v>37</v>
      </c>
      <c r="D411" t="s">
        <v>20</v>
      </c>
      <c r="E411">
        <v>1708957</v>
      </c>
      <c r="F411">
        <v>982379</v>
      </c>
      <c r="G411">
        <v>1895548</v>
      </c>
      <c r="H411">
        <v>125633</v>
      </c>
      <c r="I411">
        <v>9815</v>
      </c>
      <c r="J411">
        <v>2764</v>
      </c>
      <c r="K411">
        <f t="shared" si="12"/>
        <v>14.069111819369104</v>
      </c>
      <c r="L411">
        <v>258761</v>
      </c>
      <c r="M411">
        <v>856948</v>
      </c>
      <c r="N411">
        <f t="shared" si="13"/>
        <v>231.17355397451703</v>
      </c>
      <c r="O411">
        <v>45784</v>
      </c>
      <c r="P411">
        <v>45798</v>
      </c>
      <c r="Q411" t="s">
        <v>41</v>
      </c>
    </row>
    <row r="412" spans="1:17" x14ac:dyDescent="0.3">
      <c r="A412" t="s">
        <v>463</v>
      </c>
      <c r="B412" t="s">
        <v>80</v>
      </c>
      <c r="C412" t="s">
        <v>19</v>
      </c>
      <c r="D412" t="s">
        <v>72</v>
      </c>
      <c r="E412">
        <v>382334</v>
      </c>
      <c r="F412">
        <v>343499</v>
      </c>
      <c r="G412">
        <v>426024</v>
      </c>
      <c r="H412">
        <v>26665</v>
      </c>
      <c r="I412">
        <v>3772</v>
      </c>
      <c r="J412">
        <v>694</v>
      </c>
      <c r="K412">
        <f t="shared" si="12"/>
        <v>9.0629084800829105</v>
      </c>
      <c r="L412">
        <v>340564</v>
      </c>
      <c r="M412">
        <v>1112173</v>
      </c>
      <c r="N412">
        <f t="shared" si="13"/>
        <v>226.56798722119777</v>
      </c>
      <c r="O412">
        <v>45709</v>
      </c>
      <c r="P412">
        <v>45721</v>
      </c>
      <c r="Q412" t="s">
        <v>78</v>
      </c>
    </row>
    <row r="413" spans="1:17" x14ac:dyDescent="0.3">
      <c r="A413" t="s">
        <v>464</v>
      </c>
      <c r="B413" t="s">
        <v>18</v>
      </c>
      <c r="C413" t="s">
        <v>28</v>
      </c>
      <c r="D413" t="s">
        <v>20</v>
      </c>
      <c r="E413">
        <v>1846635</v>
      </c>
      <c r="F413">
        <v>864397</v>
      </c>
      <c r="G413">
        <v>2339311</v>
      </c>
      <c r="H413">
        <v>39749</v>
      </c>
      <c r="I413">
        <v>3466</v>
      </c>
      <c r="J413">
        <v>1587</v>
      </c>
      <c r="K413">
        <f t="shared" si="12"/>
        <v>5.1830351100246759</v>
      </c>
      <c r="L413">
        <v>277669</v>
      </c>
      <c r="M413">
        <v>770537</v>
      </c>
      <c r="N413">
        <f t="shared" si="13"/>
        <v>177.50198977919754</v>
      </c>
      <c r="O413">
        <v>45999</v>
      </c>
      <c r="P413">
        <v>46021</v>
      </c>
      <c r="Q413" t="s">
        <v>34</v>
      </c>
    </row>
    <row r="414" spans="1:17" x14ac:dyDescent="0.3">
      <c r="A414" t="s">
        <v>465</v>
      </c>
      <c r="B414" t="s">
        <v>53</v>
      </c>
      <c r="C414" t="s">
        <v>37</v>
      </c>
      <c r="D414" t="s">
        <v>46</v>
      </c>
      <c r="E414">
        <v>1353088</v>
      </c>
      <c r="F414">
        <v>516820</v>
      </c>
      <c r="G414">
        <v>1346853</v>
      </c>
      <c r="H414">
        <v>48250</v>
      </c>
      <c r="I414">
        <v>1714</v>
      </c>
      <c r="J414">
        <v>3504</v>
      </c>
      <c r="K414">
        <f t="shared" si="12"/>
        <v>10.345574861653962</v>
      </c>
      <c r="L414">
        <v>360883</v>
      </c>
      <c r="M414">
        <v>453007</v>
      </c>
      <c r="N414">
        <f t="shared" si="13"/>
        <v>25.527386992460162</v>
      </c>
      <c r="O414">
        <v>45792</v>
      </c>
      <c r="P414">
        <v>45799</v>
      </c>
      <c r="Q414" t="s">
        <v>41</v>
      </c>
    </row>
    <row r="415" spans="1:17" x14ac:dyDescent="0.3">
      <c r="A415" t="s">
        <v>466</v>
      </c>
      <c r="B415" t="s">
        <v>57</v>
      </c>
      <c r="C415" t="s">
        <v>28</v>
      </c>
      <c r="D415" t="s">
        <v>40</v>
      </c>
      <c r="E415">
        <v>1417387</v>
      </c>
      <c r="F415">
        <v>443046</v>
      </c>
      <c r="G415">
        <v>963970</v>
      </c>
      <c r="H415">
        <v>15735</v>
      </c>
      <c r="I415">
        <v>1861</v>
      </c>
      <c r="J415">
        <v>789</v>
      </c>
      <c r="K415">
        <f t="shared" si="12"/>
        <v>4.1496819743322364</v>
      </c>
      <c r="L415">
        <v>374507</v>
      </c>
      <c r="M415">
        <v>1593250</v>
      </c>
      <c r="N415">
        <f t="shared" si="13"/>
        <v>325.42595999540731</v>
      </c>
      <c r="O415">
        <v>45848</v>
      </c>
      <c r="P415">
        <v>45874</v>
      </c>
      <c r="Q415" t="s">
        <v>30</v>
      </c>
    </row>
    <row r="416" spans="1:17" x14ac:dyDescent="0.3">
      <c r="A416" t="s">
        <v>467</v>
      </c>
      <c r="B416" t="s">
        <v>63</v>
      </c>
      <c r="C416" t="s">
        <v>37</v>
      </c>
      <c r="D416" t="s">
        <v>46</v>
      </c>
      <c r="E416">
        <v>99258</v>
      </c>
      <c r="F416">
        <v>54611</v>
      </c>
      <c r="G416">
        <v>151078</v>
      </c>
      <c r="H416">
        <v>6767</v>
      </c>
      <c r="I416">
        <v>572</v>
      </c>
      <c r="J416">
        <v>400</v>
      </c>
      <c r="K416">
        <f t="shared" si="12"/>
        <v>14.1711376828844</v>
      </c>
      <c r="L416">
        <v>366246</v>
      </c>
      <c r="M416">
        <v>1727792</v>
      </c>
      <c r="N416">
        <f t="shared" si="13"/>
        <v>371.75723420870128</v>
      </c>
      <c r="O416">
        <v>46010</v>
      </c>
      <c r="P416">
        <v>46030</v>
      </c>
      <c r="Q416" t="s">
        <v>78</v>
      </c>
    </row>
    <row r="417" spans="1:17" x14ac:dyDescent="0.3">
      <c r="A417" t="s">
        <v>468</v>
      </c>
      <c r="B417" t="s">
        <v>45</v>
      </c>
      <c r="C417" t="s">
        <v>28</v>
      </c>
      <c r="D417" t="s">
        <v>24</v>
      </c>
      <c r="E417">
        <v>1587892</v>
      </c>
      <c r="F417">
        <v>1353560</v>
      </c>
      <c r="G417">
        <v>2853372</v>
      </c>
      <c r="H417">
        <v>33549</v>
      </c>
      <c r="I417">
        <v>2733</v>
      </c>
      <c r="J417">
        <v>2416</v>
      </c>
      <c r="K417">
        <f t="shared" si="12"/>
        <v>2.858979284257809</v>
      </c>
      <c r="L417">
        <v>285656</v>
      </c>
      <c r="M417">
        <v>1116431</v>
      </c>
      <c r="N417">
        <f t="shared" si="13"/>
        <v>290.8305794382054</v>
      </c>
      <c r="O417">
        <v>45829</v>
      </c>
      <c r="P417">
        <v>45840</v>
      </c>
      <c r="Q417" t="s">
        <v>30</v>
      </c>
    </row>
    <row r="418" spans="1:17" x14ac:dyDescent="0.3">
      <c r="A418" t="s">
        <v>469</v>
      </c>
      <c r="B418" t="s">
        <v>75</v>
      </c>
      <c r="C418" t="s">
        <v>19</v>
      </c>
      <c r="D418" t="s">
        <v>46</v>
      </c>
      <c r="E418">
        <v>1051604</v>
      </c>
      <c r="F418">
        <v>774119</v>
      </c>
      <c r="G418">
        <v>1762554</v>
      </c>
      <c r="H418">
        <v>34103</v>
      </c>
      <c r="I418">
        <v>1671</v>
      </c>
      <c r="J418">
        <v>2851</v>
      </c>
      <c r="K418">
        <f t="shared" si="12"/>
        <v>4.9895429514066958</v>
      </c>
      <c r="L418">
        <v>399974</v>
      </c>
      <c r="M418">
        <v>835606</v>
      </c>
      <c r="N418">
        <f t="shared" si="13"/>
        <v>108.91507948016621</v>
      </c>
      <c r="O418">
        <v>46154</v>
      </c>
      <c r="P418">
        <v>46181</v>
      </c>
      <c r="Q418" t="s">
        <v>21</v>
      </c>
    </row>
    <row r="419" spans="1:17" x14ac:dyDescent="0.3">
      <c r="A419" t="s">
        <v>470</v>
      </c>
      <c r="B419" t="s">
        <v>75</v>
      </c>
      <c r="C419" t="s">
        <v>19</v>
      </c>
      <c r="D419" t="s">
        <v>20</v>
      </c>
      <c r="E419">
        <v>1108221</v>
      </c>
      <c r="F419">
        <v>611006</v>
      </c>
      <c r="G419">
        <v>1076741</v>
      </c>
      <c r="H419">
        <v>72551</v>
      </c>
      <c r="I419">
        <v>5746</v>
      </c>
      <c r="J419">
        <v>2627</v>
      </c>
      <c r="K419">
        <f t="shared" si="12"/>
        <v>13.244387125494676</v>
      </c>
      <c r="L419">
        <v>115967</v>
      </c>
      <c r="M419">
        <v>432183</v>
      </c>
      <c r="N419">
        <f t="shared" si="13"/>
        <v>272.67757206791583</v>
      </c>
      <c r="O419">
        <v>45870</v>
      </c>
      <c r="P419">
        <v>45882</v>
      </c>
      <c r="Q419" t="s">
        <v>78</v>
      </c>
    </row>
    <row r="420" spans="1:17" x14ac:dyDescent="0.3">
      <c r="A420" t="s">
        <v>471</v>
      </c>
      <c r="B420" t="s">
        <v>103</v>
      </c>
      <c r="C420" t="s">
        <v>19</v>
      </c>
      <c r="D420" t="s">
        <v>20</v>
      </c>
      <c r="E420">
        <v>541827</v>
      </c>
      <c r="F420">
        <v>310256</v>
      </c>
      <c r="G420">
        <v>421826</v>
      </c>
      <c r="H420">
        <v>27544</v>
      </c>
      <c r="I420">
        <v>3520</v>
      </c>
      <c r="J420">
        <v>2044</v>
      </c>
      <c r="K420">
        <f t="shared" si="12"/>
        <v>10.671187664380383</v>
      </c>
      <c r="L420">
        <v>85822</v>
      </c>
      <c r="M420">
        <v>302370</v>
      </c>
      <c r="N420">
        <f t="shared" si="13"/>
        <v>252.32224837454265</v>
      </c>
      <c r="O420">
        <v>46013</v>
      </c>
      <c r="P420">
        <v>46024</v>
      </c>
      <c r="Q420" t="s">
        <v>25</v>
      </c>
    </row>
    <row r="421" spans="1:17" x14ac:dyDescent="0.3">
      <c r="A421" t="s">
        <v>472</v>
      </c>
      <c r="B421" t="s">
        <v>57</v>
      </c>
      <c r="C421" t="s">
        <v>19</v>
      </c>
      <c r="D421" t="s">
        <v>24</v>
      </c>
      <c r="E421">
        <v>1243499</v>
      </c>
      <c r="F421">
        <v>1099796</v>
      </c>
      <c r="G421">
        <v>1484819</v>
      </c>
      <c r="H421">
        <v>96334</v>
      </c>
      <c r="I421">
        <v>13408</v>
      </c>
      <c r="J421">
        <v>5652</v>
      </c>
      <c r="K421">
        <f t="shared" si="12"/>
        <v>10.492309482849546</v>
      </c>
      <c r="L421">
        <v>139517</v>
      </c>
      <c r="M421">
        <v>276001</v>
      </c>
      <c r="N421">
        <f t="shared" si="13"/>
        <v>97.826071374814532</v>
      </c>
      <c r="O421">
        <v>46123</v>
      </c>
      <c r="P421">
        <v>46130</v>
      </c>
      <c r="Q421" t="s">
        <v>54</v>
      </c>
    </row>
    <row r="422" spans="1:17" x14ac:dyDescent="0.3">
      <c r="A422" t="s">
        <v>473</v>
      </c>
      <c r="B422" t="s">
        <v>53</v>
      </c>
      <c r="C422" t="s">
        <v>43</v>
      </c>
      <c r="D422" t="s">
        <v>51</v>
      </c>
      <c r="E422">
        <v>1739240</v>
      </c>
      <c r="F422">
        <v>1398797</v>
      </c>
      <c r="G422">
        <v>2316039</v>
      </c>
      <c r="H422">
        <v>208353</v>
      </c>
      <c r="I422">
        <v>13769</v>
      </c>
      <c r="J422">
        <v>16498</v>
      </c>
      <c r="K422">
        <f t="shared" si="12"/>
        <v>17.058944221355922</v>
      </c>
      <c r="L422">
        <v>423940</v>
      </c>
      <c r="M422">
        <v>1616158</v>
      </c>
      <c r="N422">
        <f t="shared" si="13"/>
        <v>281.22328631410107</v>
      </c>
      <c r="O422">
        <v>45791</v>
      </c>
      <c r="P422">
        <v>45814</v>
      </c>
      <c r="Q422" t="s">
        <v>78</v>
      </c>
    </row>
    <row r="423" spans="1:17" x14ac:dyDescent="0.3">
      <c r="A423" t="s">
        <v>474</v>
      </c>
      <c r="B423" t="s">
        <v>49</v>
      </c>
      <c r="C423" t="s">
        <v>43</v>
      </c>
      <c r="D423" t="s">
        <v>46</v>
      </c>
      <c r="E423">
        <v>798981</v>
      </c>
      <c r="F423">
        <v>445281</v>
      </c>
      <c r="G423">
        <v>750507</v>
      </c>
      <c r="H423">
        <v>55609</v>
      </c>
      <c r="I423">
        <v>3023</v>
      </c>
      <c r="J423">
        <v>3183</v>
      </c>
      <c r="K423">
        <f t="shared" si="12"/>
        <v>13.88224514407756</v>
      </c>
      <c r="L423">
        <v>104904</v>
      </c>
      <c r="M423">
        <v>184551</v>
      </c>
      <c r="N423">
        <f t="shared" si="13"/>
        <v>75.923701670098382</v>
      </c>
      <c r="O423">
        <v>45935</v>
      </c>
      <c r="P423">
        <v>45956</v>
      </c>
      <c r="Q423" t="s">
        <v>47</v>
      </c>
    </row>
    <row r="424" spans="1:17" x14ac:dyDescent="0.3">
      <c r="A424" t="s">
        <v>475</v>
      </c>
      <c r="B424" t="s">
        <v>63</v>
      </c>
      <c r="C424" t="s">
        <v>33</v>
      </c>
      <c r="D424" t="s">
        <v>20</v>
      </c>
      <c r="E424">
        <v>345750</v>
      </c>
      <c r="F424">
        <v>170887</v>
      </c>
      <c r="G424">
        <v>432909</v>
      </c>
      <c r="H424">
        <v>25409</v>
      </c>
      <c r="I424">
        <v>3062</v>
      </c>
      <c r="J424">
        <v>2133</v>
      </c>
      <c r="K424">
        <f t="shared" si="12"/>
        <v>17.90891056663175</v>
      </c>
      <c r="L424">
        <v>464562</v>
      </c>
      <c r="M424">
        <v>589210</v>
      </c>
      <c r="N424">
        <f t="shared" si="13"/>
        <v>26.831294854077605</v>
      </c>
      <c r="O424">
        <v>45977</v>
      </c>
      <c r="P424">
        <v>46000</v>
      </c>
      <c r="Q424" t="s">
        <v>34</v>
      </c>
    </row>
    <row r="425" spans="1:17" x14ac:dyDescent="0.3">
      <c r="A425" t="s">
        <v>476</v>
      </c>
      <c r="B425" t="s">
        <v>32</v>
      </c>
      <c r="C425" t="s">
        <v>33</v>
      </c>
      <c r="D425" t="s">
        <v>20</v>
      </c>
      <c r="E425">
        <v>1283620</v>
      </c>
      <c r="F425">
        <v>420747</v>
      </c>
      <c r="G425">
        <v>747748</v>
      </c>
      <c r="H425">
        <v>20261</v>
      </c>
      <c r="I425">
        <v>1576</v>
      </c>
      <c r="J425">
        <v>854</v>
      </c>
      <c r="K425">
        <f t="shared" si="12"/>
        <v>5.3930271635923726</v>
      </c>
      <c r="L425">
        <v>473204</v>
      </c>
      <c r="M425">
        <v>1994586</v>
      </c>
      <c r="N425">
        <f t="shared" si="13"/>
        <v>321.50658067133838</v>
      </c>
      <c r="O425">
        <v>46129</v>
      </c>
      <c r="P425">
        <v>46142</v>
      </c>
      <c r="Q425" t="s">
        <v>78</v>
      </c>
    </row>
    <row r="426" spans="1:17" x14ac:dyDescent="0.3">
      <c r="A426" t="s">
        <v>477</v>
      </c>
      <c r="B426" t="s">
        <v>75</v>
      </c>
      <c r="C426" t="s">
        <v>33</v>
      </c>
      <c r="D426" t="s">
        <v>29</v>
      </c>
      <c r="E426">
        <v>1545687</v>
      </c>
      <c r="F426">
        <v>424736</v>
      </c>
      <c r="G426">
        <v>818210</v>
      </c>
      <c r="H426">
        <v>27701</v>
      </c>
      <c r="I426">
        <v>1275</v>
      </c>
      <c r="J426">
        <v>805</v>
      </c>
      <c r="K426">
        <f t="shared" si="12"/>
        <v>7.0116495893919994</v>
      </c>
      <c r="L426">
        <v>71258</v>
      </c>
      <c r="M426">
        <v>284137</v>
      </c>
      <c r="N426">
        <f t="shared" si="13"/>
        <v>298.74400067360858</v>
      </c>
      <c r="O426">
        <v>45756</v>
      </c>
      <c r="P426">
        <v>45768</v>
      </c>
      <c r="Q426" t="s">
        <v>47</v>
      </c>
    </row>
    <row r="427" spans="1:17" x14ac:dyDescent="0.3">
      <c r="A427" t="s">
        <v>478</v>
      </c>
      <c r="B427" t="s">
        <v>103</v>
      </c>
      <c r="C427" t="s">
        <v>33</v>
      </c>
      <c r="D427" t="s">
        <v>72</v>
      </c>
      <c r="E427">
        <v>921789</v>
      </c>
      <c r="F427">
        <v>793319</v>
      </c>
      <c r="G427">
        <v>1818664</v>
      </c>
      <c r="H427">
        <v>66213</v>
      </c>
      <c r="I427">
        <v>5371</v>
      </c>
      <c r="J427">
        <v>2107</v>
      </c>
      <c r="K427">
        <f t="shared" si="12"/>
        <v>9.288949338160311</v>
      </c>
      <c r="L427">
        <v>395093</v>
      </c>
      <c r="M427">
        <v>634990</v>
      </c>
      <c r="N427">
        <f t="shared" si="13"/>
        <v>60.719121827012877</v>
      </c>
      <c r="O427">
        <v>45748</v>
      </c>
      <c r="P427">
        <v>45765</v>
      </c>
      <c r="Q427" t="s">
        <v>30</v>
      </c>
    </row>
    <row r="428" spans="1:17" x14ac:dyDescent="0.3">
      <c r="A428" t="s">
        <v>479</v>
      </c>
      <c r="B428" t="s">
        <v>61</v>
      </c>
      <c r="C428" t="s">
        <v>33</v>
      </c>
      <c r="D428" t="s">
        <v>58</v>
      </c>
      <c r="E428">
        <v>502721</v>
      </c>
      <c r="F428">
        <v>335033</v>
      </c>
      <c r="G428">
        <v>744934</v>
      </c>
      <c r="H428">
        <v>40719</v>
      </c>
      <c r="I428">
        <v>4537</v>
      </c>
      <c r="J428">
        <v>3541</v>
      </c>
      <c r="K428">
        <f t="shared" si="12"/>
        <v>14.564833911883307</v>
      </c>
      <c r="L428">
        <v>50373</v>
      </c>
      <c r="M428">
        <v>148703</v>
      </c>
      <c r="N428">
        <f t="shared" si="13"/>
        <v>195.20377980267207</v>
      </c>
      <c r="O428">
        <v>45984</v>
      </c>
      <c r="P428">
        <v>46011</v>
      </c>
      <c r="Q428" t="s">
        <v>78</v>
      </c>
    </row>
    <row r="429" spans="1:17" x14ac:dyDescent="0.3">
      <c r="A429" t="s">
        <v>480</v>
      </c>
      <c r="B429" t="s">
        <v>57</v>
      </c>
      <c r="C429" t="s">
        <v>28</v>
      </c>
      <c r="D429" t="s">
        <v>40</v>
      </c>
      <c r="E429">
        <v>1096725</v>
      </c>
      <c r="F429">
        <v>883110</v>
      </c>
      <c r="G429">
        <v>2368175</v>
      </c>
      <c r="H429">
        <v>32791</v>
      </c>
      <c r="I429">
        <v>3285</v>
      </c>
      <c r="J429">
        <v>1643</v>
      </c>
      <c r="K429">
        <f t="shared" si="12"/>
        <v>4.2711553487108063</v>
      </c>
      <c r="L429">
        <v>149496</v>
      </c>
      <c r="M429">
        <v>631801</v>
      </c>
      <c r="N429">
        <f t="shared" si="13"/>
        <v>322.62067212500665</v>
      </c>
      <c r="O429">
        <v>45672</v>
      </c>
      <c r="P429">
        <v>45684</v>
      </c>
      <c r="Q429" t="s">
        <v>41</v>
      </c>
    </row>
    <row r="430" spans="1:17" x14ac:dyDescent="0.3">
      <c r="A430" t="s">
        <v>481</v>
      </c>
      <c r="B430" t="s">
        <v>27</v>
      </c>
      <c r="C430" t="s">
        <v>33</v>
      </c>
      <c r="D430" t="s">
        <v>24</v>
      </c>
      <c r="E430">
        <v>1549180</v>
      </c>
      <c r="F430">
        <v>503088</v>
      </c>
      <c r="G430">
        <v>609542</v>
      </c>
      <c r="H430">
        <v>56149</v>
      </c>
      <c r="I430">
        <v>2537</v>
      </c>
      <c r="J430">
        <v>1790</v>
      </c>
      <c r="K430">
        <f t="shared" si="12"/>
        <v>12.020958559933849</v>
      </c>
      <c r="L430">
        <v>109733</v>
      </c>
      <c r="M430">
        <v>256751</v>
      </c>
      <c r="N430">
        <f t="shared" si="13"/>
        <v>133.97792824401046</v>
      </c>
      <c r="O430">
        <v>45876</v>
      </c>
      <c r="P430">
        <v>45895</v>
      </c>
      <c r="Q430" t="s">
        <v>47</v>
      </c>
    </row>
    <row r="431" spans="1:17" x14ac:dyDescent="0.3">
      <c r="A431" t="s">
        <v>482</v>
      </c>
      <c r="B431" t="s">
        <v>23</v>
      </c>
      <c r="C431" t="s">
        <v>19</v>
      </c>
      <c r="D431" t="s">
        <v>29</v>
      </c>
      <c r="E431">
        <v>1054369</v>
      </c>
      <c r="F431">
        <v>481474</v>
      </c>
      <c r="G431">
        <v>715949</v>
      </c>
      <c r="H431">
        <v>50101</v>
      </c>
      <c r="I431">
        <v>3856</v>
      </c>
      <c r="J431">
        <v>2887</v>
      </c>
      <c r="K431">
        <f t="shared" si="12"/>
        <v>11.806244989345219</v>
      </c>
      <c r="L431">
        <v>304285</v>
      </c>
      <c r="M431">
        <v>1021226</v>
      </c>
      <c r="N431">
        <f t="shared" si="13"/>
        <v>235.61496623231508</v>
      </c>
      <c r="O431">
        <v>45699</v>
      </c>
      <c r="P431">
        <v>45729</v>
      </c>
      <c r="Q431" t="s">
        <v>47</v>
      </c>
    </row>
    <row r="432" spans="1:17" x14ac:dyDescent="0.3">
      <c r="A432" t="s">
        <v>483</v>
      </c>
      <c r="B432" t="s">
        <v>49</v>
      </c>
      <c r="C432" t="s">
        <v>28</v>
      </c>
      <c r="D432" t="s">
        <v>72</v>
      </c>
      <c r="E432">
        <v>773883</v>
      </c>
      <c r="F432">
        <v>582297</v>
      </c>
      <c r="G432">
        <v>991148</v>
      </c>
      <c r="H432">
        <v>85382</v>
      </c>
      <c r="I432">
        <v>10636</v>
      </c>
      <c r="J432">
        <v>4123</v>
      </c>
      <c r="K432">
        <f t="shared" si="12"/>
        <v>17.197581303012036</v>
      </c>
      <c r="L432">
        <v>153282</v>
      </c>
      <c r="M432">
        <v>325781</v>
      </c>
      <c r="N432">
        <f t="shared" si="13"/>
        <v>112.53702326431024</v>
      </c>
      <c r="O432">
        <v>45923</v>
      </c>
      <c r="P432">
        <v>45949</v>
      </c>
      <c r="Q432" t="s">
        <v>34</v>
      </c>
    </row>
    <row r="433" spans="1:17" x14ac:dyDescent="0.3">
      <c r="A433" t="s">
        <v>484</v>
      </c>
      <c r="B433" t="s">
        <v>53</v>
      </c>
      <c r="C433" t="s">
        <v>37</v>
      </c>
      <c r="D433" t="s">
        <v>40</v>
      </c>
      <c r="E433">
        <v>1360172</v>
      </c>
      <c r="F433">
        <v>851223</v>
      </c>
      <c r="G433">
        <v>1609563</v>
      </c>
      <c r="H433">
        <v>39016</v>
      </c>
      <c r="I433">
        <v>2996</v>
      </c>
      <c r="J433">
        <v>1562</v>
      </c>
      <c r="K433">
        <f t="shared" si="12"/>
        <v>5.1189876213401186</v>
      </c>
      <c r="L433">
        <v>417197</v>
      </c>
      <c r="M433">
        <v>1158289</v>
      </c>
      <c r="N433">
        <f t="shared" si="13"/>
        <v>177.63598491839588</v>
      </c>
      <c r="O433">
        <v>45892</v>
      </c>
      <c r="P433">
        <v>45919</v>
      </c>
      <c r="Q433" t="s">
        <v>25</v>
      </c>
    </row>
    <row r="434" spans="1:17" x14ac:dyDescent="0.3">
      <c r="A434" t="s">
        <v>485</v>
      </c>
      <c r="B434" t="s">
        <v>80</v>
      </c>
      <c r="C434" t="s">
        <v>37</v>
      </c>
      <c r="D434" t="s">
        <v>20</v>
      </c>
      <c r="E434">
        <v>955040</v>
      </c>
      <c r="F434">
        <v>675167</v>
      </c>
      <c r="G434">
        <v>1508335</v>
      </c>
      <c r="H434">
        <v>99966</v>
      </c>
      <c r="I434">
        <v>9148</v>
      </c>
      <c r="J434">
        <v>7073</v>
      </c>
      <c r="K434">
        <f t="shared" si="12"/>
        <v>17.208631346022539</v>
      </c>
      <c r="L434">
        <v>321278</v>
      </c>
      <c r="M434">
        <v>937492</v>
      </c>
      <c r="N434">
        <f t="shared" si="13"/>
        <v>191.80087027434186</v>
      </c>
      <c r="O434">
        <v>45795</v>
      </c>
      <c r="P434">
        <v>45813</v>
      </c>
      <c r="Q434" t="s">
        <v>78</v>
      </c>
    </row>
    <row r="435" spans="1:17" x14ac:dyDescent="0.3">
      <c r="A435" t="s">
        <v>486</v>
      </c>
      <c r="B435" t="s">
        <v>75</v>
      </c>
      <c r="C435" t="s">
        <v>28</v>
      </c>
      <c r="D435" t="s">
        <v>51</v>
      </c>
      <c r="E435">
        <v>85339</v>
      </c>
      <c r="F435">
        <v>33737</v>
      </c>
      <c r="G435">
        <v>95938</v>
      </c>
      <c r="H435">
        <v>3374</v>
      </c>
      <c r="I435">
        <v>247</v>
      </c>
      <c r="J435">
        <v>185</v>
      </c>
      <c r="K435">
        <f t="shared" si="12"/>
        <v>11.281382458428432</v>
      </c>
      <c r="L435">
        <v>272718</v>
      </c>
      <c r="M435">
        <v>418723</v>
      </c>
      <c r="N435">
        <f t="shared" si="13"/>
        <v>53.536986924222084</v>
      </c>
      <c r="O435">
        <v>45942</v>
      </c>
      <c r="P435">
        <v>45953</v>
      </c>
      <c r="Q435" t="s">
        <v>47</v>
      </c>
    </row>
    <row r="436" spans="1:17" x14ac:dyDescent="0.3">
      <c r="A436" t="s">
        <v>487</v>
      </c>
      <c r="B436" t="s">
        <v>32</v>
      </c>
      <c r="C436" t="s">
        <v>37</v>
      </c>
      <c r="D436" t="s">
        <v>51</v>
      </c>
      <c r="E436">
        <v>1177672</v>
      </c>
      <c r="F436">
        <v>567441</v>
      </c>
      <c r="G436">
        <v>1667647</v>
      </c>
      <c r="H436">
        <v>32051</v>
      </c>
      <c r="I436">
        <v>1990</v>
      </c>
      <c r="J436">
        <v>820</v>
      </c>
      <c r="K436">
        <f t="shared" si="12"/>
        <v>6.1435462012790758</v>
      </c>
      <c r="L436">
        <v>260657</v>
      </c>
      <c r="M436">
        <v>1211347</v>
      </c>
      <c r="N436">
        <f t="shared" si="13"/>
        <v>364.72835949159241</v>
      </c>
      <c r="O436">
        <v>46077</v>
      </c>
      <c r="P436">
        <v>46103</v>
      </c>
      <c r="Q436" t="s">
        <v>30</v>
      </c>
    </row>
    <row r="437" spans="1:17" x14ac:dyDescent="0.3">
      <c r="A437" t="s">
        <v>488</v>
      </c>
      <c r="B437" t="s">
        <v>27</v>
      </c>
      <c r="C437" t="s">
        <v>43</v>
      </c>
      <c r="D437" t="s">
        <v>51</v>
      </c>
      <c r="E437">
        <v>1294529</v>
      </c>
      <c r="F437">
        <v>968521</v>
      </c>
      <c r="G437">
        <v>1940089</v>
      </c>
      <c r="H437">
        <v>125207</v>
      </c>
      <c r="I437">
        <v>11379</v>
      </c>
      <c r="J437">
        <v>11492</v>
      </c>
      <c r="K437">
        <f t="shared" si="12"/>
        <v>15.289085110183464</v>
      </c>
      <c r="L437">
        <v>121053</v>
      </c>
      <c r="M437">
        <v>520406</v>
      </c>
      <c r="N437">
        <f t="shared" si="13"/>
        <v>329.8993003064773</v>
      </c>
      <c r="O437">
        <v>46012</v>
      </c>
      <c r="P437">
        <v>46020</v>
      </c>
      <c r="Q437" t="s">
        <v>34</v>
      </c>
    </row>
    <row r="438" spans="1:17" x14ac:dyDescent="0.3">
      <c r="A438" t="s">
        <v>489</v>
      </c>
      <c r="B438" t="s">
        <v>53</v>
      </c>
      <c r="C438" t="s">
        <v>37</v>
      </c>
      <c r="D438" t="s">
        <v>24</v>
      </c>
      <c r="E438">
        <v>1039049</v>
      </c>
      <c r="F438">
        <v>271643</v>
      </c>
      <c r="G438">
        <v>709057</v>
      </c>
      <c r="H438">
        <v>8647</v>
      </c>
      <c r="I438">
        <v>814</v>
      </c>
      <c r="J438">
        <v>724</v>
      </c>
      <c r="K438">
        <f t="shared" si="12"/>
        <v>3.7494063900045282</v>
      </c>
      <c r="L438">
        <v>146792</v>
      </c>
      <c r="M438">
        <v>509866</v>
      </c>
      <c r="N438">
        <f t="shared" si="13"/>
        <v>247.33909204861303</v>
      </c>
      <c r="O438">
        <v>45854</v>
      </c>
      <c r="P438">
        <v>45882</v>
      </c>
      <c r="Q438" t="s">
        <v>54</v>
      </c>
    </row>
    <row r="439" spans="1:17" x14ac:dyDescent="0.3">
      <c r="A439" t="s">
        <v>490</v>
      </c>
      <c r="B439" t="s">
        <v>32</v>
      </c>
      <c r="C439" t="s">
        <v>33</v>
      </c>
      <c r="D439" t="s">
        <v>29</v>
      </c>
      <c r="E439">
        <v>1828680</v>
      </c>
      <c r="F439">
        <v>510142</v>
      </c>
      <c r="G439">
        <v>1481535</v>
      </c>
      <c r="H439">
        <v>67224</v>
      </c>
      <c r="I439">
        <v>5826</v>
      </c>
      <c r="J439">
        <v>5366</v>
      </c>
      <c r="K439">
        <f t="shared" si="12"/>
        <v>15.371406392729867</v>
      </c>
      <c r="L439">
        <v>190510</v>
      </c>
      <c r="M439">
        <v>479815</v>
      </c>
      <c r="N439">
        <f t="shared" si="13"/>
        <v>151.85817017479397</v>
      </c>
      <c r="O439">
        <v>45715</v>
      </c>
      <c r="P439">
        <v>45741</v>
      </c>
      <c r="Q439" t="s">
        <v>21</v>
      </c>
    </row>
    <row r="440" spans="1:17" x14ac:dyDescent="0.3">
      <c r="A440" t="s">
        <v>491</v>
      </c>
      <c r="B440" t="s">
        <v>45</v>
      </c>
      <c r="C440" t="s">
        <v>43</v>
      </c>
      <c r="D440" t="s">
        <v>24</v>
      </c>
      <c r="E440">
        <v>650472</v>
      </c>
      <c r="F440">
        <v>581230</v>
      </c>
      <c r="G440">
        <v>959348</v>
      </c>
      <c r="H440">
        <v>32630</v>
      </c>
      <c r="I440">
        <v>1937</v>
      </c>
      <c r="J440">
        <v>3255</v>
      </c>
      <c r="K440">
        <f t="shared" si="12"/>
        <v>6.5072346575366034</v>
      </c>
      <c r="L440">
        <v>410348</v>
      </c>
      <c r="M440">
        <v>1878456</v>
      </c>
      <c r="N440">
        <f t="shared" si="13"/>
        <v>357.77145252322418</v>
      </c>
      <c r="O440">
        <v>45719</v>
      </c>
      <c r="P440">
        <v>45746</v>
      </c>
      <c r="Q440" t="s">
        <v>25</v>
      </c>
    </row>
    <row r="441" spans="1:17" x14ac:dyDescent="0.3">
      <c r="A441" t="s">
        <v>492</v>
      </c>
      <c r="B441" t="s">
        <v>61</v>
      </c>
      <c r="C441" t="s">
        <v>28</v>
      </c>
      <c r="D441" t="s">
        <v>46</v>
      </c>
      <c r="E441">
        <v>1370638</v>
      </c>
      <c r="F441">
        <v>1092667</v>
      </c>
      <c r="G441">
        <v>2958415</v>
      </c>
      <c r="H441">
        <v>136389</v>
      </c>
      <c r="I441">
        <v>7169</v>
      </c>
      <c r="J441">
        <v>10623</v>
      </c>
      <c r="K441">
        <f t="shared" si="12"/>
        <v>14.110520405576446</v>
      </c>
      <c r="L441">
        <v>412126</v>
      </c>
      <c r="M441">
        <v>713952</v>
      </c>
      <c r="N441">
        <f t="shared" si="13"/>
        <v>73.236340342516598</v>
      </c>
      <c r="O441">
        <v>45711</v>
      </c>
      <c r="P441">
        <v>45725</v>
      </c>
      <c r="Q441" t="s">
        <v>25</v>
      </c>
    </row>
    <row r="442" spans="1:17" x14ac:dyDescent="0.3">
      <c r="A442" t="s">
        <v>493</v>
      </c>
      <c r="B442" t="s">
        <v>32</v>
      </c>
      <c r="C442" t="s">
        <v>43</v>
      </c>
      <c r="D442" t="s">
        <v>58</v>
      </c>
      <c r="E442">
        <v>864675</v>
      </c>
      <c r="F442">
        <v>513178</v>
      </c>
      <c r="G442">
        <v>1224412</v>
      </c>
      <c r="H442">
        <v>37940</v>
      </c>
      <c r="I442">
        <v>5152</v>
      </c>
      <c r="J442">
        <v>1814</v>
      </c>
      <c r="K442">
        <f t="shared" si="12"/>
        <v>8.750569977668567</v>
      </c>
      <c r="L442">
        <v>56378</v>
      </c>
      <c r="M442">
        <v>269035</v>
      </c>
      <c r="N442">
        <f t="shared" si="13"/>
        <v>377.19855262691124</v>
      </c>
      <c r="O442">
        <v>45711</v>
      </c>
      <c r="P442">
        <v>45732</v>
      </c>
      <c r="Q442" t="s">
        <v>54</v>
      </c>
    </row>
    <row r="443" spans="1:17" x14ac:dyDescent="0.3">
      <c r="A443" t="s">
        <v>494</v>
      </c>
      <c r="B443" t="s">
        <v>57</v>
      </c>
      <c r="C443" t="s">
        <v>28</v>
      </c>
      <c r="D443" t="s">
        <v>29</v>
      </c>
      <c r="E443">
        <v>416438</v>
      </c>
      <c r="F443">
        <v>188407</v>
      </c>
      <c r="G443">
        <v>417606</v>
      </c>
      <c r="H443">
        <v>16426</v>
      </c>
      <c r="I443">
        <v>2170</v>
      </c>
      <c r="J443">
        <v>1280</v>
      </c>
      <c r="K443">
        <f t="shared" si="12"/>
        <v>10.549501876257251</v>
      </c>
      <c r="L443">
        <v>61562</v>
      </c>
      <c r="M443">
        <v>82578</v>
      </c>
      <c r="N443">
        <f t="shared" si="13"/>
        <v>34.137942237094308</v>
      </c>
      <c r="O443">
        <v>45894</v>
      </c>
      <c r="P443">
        <v>45920</v>
      </c>
      <c r="Q443" t="s">
        <v>30</v>
      </c>
    </row>
    <row r="444" spans="1:17" x14ac:dyDescent="0.3">
      <c r="A444" t="s">
        <v>495</v>
      </c>
      <c r="B444" t="s">
        <v>80</v>
      </c>
      <c r="C444" t="s">
        <v>19</v>
      </c>
      <c r="D444" t="s">
        <v>58</v>
      </c>
      <c r="E444">
        <v>1149044</v>
      </c>
      <c r="F444">
        <v>329217</v>
      </c>
      <c r="G444">
        <v>383335</v>
      </c>
      <c r="H444">
        <v>46462</v>
      </c>
      <c r="I444">
        <v>3006</v>
      </c>
      <c r="J444">
        <v>3467</v>
      </c>
      <c r="K444">
        <f t="shared" si="12"/>
        <v>16.079060315840312</v>
      </c>
      <c r="L444">
        <v>247655</v>
      </c>
      <c r="M444">
        <v>1038751</v>
      </c>
      <c r="N444">
        <f t="shared" si="13"/>
        <v>319.43469746219534</v>
      </c>
      <c r="O444">
        <v>45964</v>
      </c>
      <c r="P444">
        <v>45972</v>
      </c>
      <c r="Q444" t="s">
        <v>54</v>
      </c>
    </row>
    <row r="445" spans="1:17" x14ac:dyDescent="0.3">
      <c r="A445" t="s">
        <v>496</v>
      </c>
      <c r="B445" t="s">
        <v>53</v>
      </c>
      <c r="C445" t="s">
        <v>33</v>
      </c>
      <c r="D445" t="s">
        <v>51</v>
      </c>
      <c r="E445">
        <v>1701079</v>
      </c>
      <c r="F445">
        <v>1389001</v>
      </c>
      <c r="G445">
        <v>2874001</v>
      </c>
      <c r="H445">
        <v>40436</v>
      </c>
      <c r="I445">
        <v>3112</v>
      </c>
      <c r="J445">
        <v>3804</v>
      </c>
      <c r="K445">
        <f t="shared" si="12"/>
        <v>3.4090688199648529</v>
      </c>
      <c r="L445">
        <v>198614</v>
      </c>
      <c r="M445">
        <v>220768</v>
      </c>
      <c r="N445">
        <f t="shared" si="13"/>
        <v>11.154299294108169</v>
      </c>
      <c r="O445">
        <v>46042</v>
      </c>
      <c r="P445">
        <v>46071</v>
      </c>
      <c r="Q445" t="s">
        <v>34</v>
      </c>
    </row>
    <row r="446" spans="1:17" x14ac:dyDescent="0.3">
      <c r="A446" t="s">
        <v>497</v>
      </c>
      <c r="B446" t="s">
        <v>36</v>
      </c>
      <c r="C446" t="s">
        <v>28</v>
      </c>
      <c r="D446" t="s">
        <v>72</v>
      </c>
      <c r="E446">
        <v>563554</v>
      </c>
      <c r="F446">
        <v>322577</v>
      </c>
      <c r="G446">
        <v>722491</v>
      </c>
      <c r="H446">
        <v>46247</v>
      </c>
      <c r="I446">
        <v>3966</v>
      </c>
      <c r="J446">
        <v>2613</v>
      </c>
      <c r="K446">
        <f t="shared" si="12"/>
        <v>16.376245051569082</v>
      </c>
      <c r="L446">
        <v>232545</v>
      </c>
      <c r="M446">
        <v>686094</v>
      </c>
      <c r="N446">
        <f t="shared" si="13"/>
        <v>195.03708959556215</v>
      </c>
      <c r="O446">
        <v>45679</v>
      </c>
      <c r="P446">
        <v>45686</v>
      </c>
      <c r="Q446" t="s">
        <v>47</v>
      </c>
    </row>
    <row r="447" spans="1:17" x14ac:dyDescent="0.3">
      <c r="A447" t="s">
        <v>498</v>
      </c>
      <c r="B447" t="s">
        <v>36</v>
      </c>
      <c r="C447" t="s">
        <v>28</v>
      </c>
      <c r="D447" t="s">
        <v>40</v>
      </c>
      <c r="E447">
        <v>626987</v>
      </c>
      <c r="F447">
        <v>238986</v>
      </c>
      <c r="G447">
        <v>670198</v>
      </c>
      <c r="H447">
        <v>28870</v>
      </c>
      <c r="I447">
        <v>4147</v>
      </c>
      <c r="J447">
        <v>2239</v>
      </c>
      <c r="K447">
        <f t="shared" si="12"/>
        <v>14.752328588285508</v>
      </c>
      <c r="L447">
        <v>126001</v>
      </c>
      <c r="M447">
        <v>576806</v>
      </c>
      <c r="N447">
        <f t="shared" si="13"/>
        <v>357.77890651661494</v>
      </c>
      <c r="O447">
        <v>46064</v>
      </c>
      <c r="P447">
        <v>46076</v>
      </c>
      <c r="Q447" t="s">
        <v>54</v>
      </c>
    </row>
    <row r="448" spans="1:17" x14ac:dyDescent="0.3">
      <c r="A448" t="s">
        <v>499</v>
      </c>
      <c r="B448" t="s">
        <v>18</v>
      </c>
      <c r="C448" t="s">
        <v>28</v>
      </c>
      <c r="D448" t="s">
        <v>46</v>
      </c>
      <c r="E448">
        <v>838911</v>
      </c>
      <c r="F448">
        <v>520958</v>
      </c>
      <c r="G448">
        <v>922958</v>
      </c>
      <c r="H448">
        <v>70935</v>
      </c>
      <c r="I448">
        <v>7265</v>
      </c>
      <c r="J448">
        <v>6461</v>
      </c>
      <c r="K448">
        <f t="shared" si="12"/>
        <v>16.251022155336898</v>
      </c>
      <c r="L448">
        <v>177956</v>
      </c>
      <c r="M448">
        <v>648044</v>
      </c>
      <c r="N448">
        <f t="shared" si="13"/>
        <v>264.15967992087934</v>
      </c>
      <c r="O448">
        <v>45888</v>
      </c>
      <c r="P448">
        <v>45906</v>
      </c>
      <c r="Q448" t="s">
        <v>30</v>
      </c>
    </row>
    <row r="449" spans="1:17" x14ac:dyDescent="0.3">
      <c r="A449" t="s">
        <v>500</v>
      </c>
      <c r="B449" t="s">
        <v>18</v>
      </c>
      <c r="C449" t="s">
        <v>33</v>
      </c>
      <c r="D449" t="s">
        <v>29</v>
      </c>
      <c r="E449">
        <v>1539066</v>
      </c>
      <c r="F449">
        <v>1183830</v>
      </c>
      <c r="G449">
        <v>3360332</v>
      </c>
      <c r="H449">
        <v>81250</v>
      </c>
      <c r="I449">
        <v>6020</v>
      </c>
      <c r="J449">
        <v>7028</v>
      </c>
      <c r="K449">
        <f t="shared" si="12"/>
        <v>7.9655018034684026</v>
      </c>
      <c r="L449">
        <v>164836</v>
      </c>
      <c r="M449">
        <v>783818</v>
      </c>
      <c r="N449">
        <f t="shared" si="13"/>
        <v>375.51384406319011</v>
      </c>
      <c r="O449">
        <v>46018</v>
      </c>
      <c r="P449">
        <v>46043</v>
      </c>
      <c r="Q449" t="s">
        <v>41</v>
      </c>
    </row>
    <row r="450" spans="1:17" x14ac:dyDescent="0.3">
      <c r="A450" t="s">
        <v>501</v>
      </c>
      <c r="B450" t="s">
        <v>32</v>
      </c>
      <c r="C450" t="s">
        <v>28</v>
      </c>
      <c r="D450" t="s">
        <v>46</v>
      </c>
      <c r="E450">
        <v>1378743</v>
      </c>
      <c r="F450">
        <v>712033</v>
      </c>
      <c r="G450">
        <v>1421379</v>
      </c>
      <c r="H450">
        <v>24583</v>
      </c>
      <c r="I450">
        <v>2912</v>
      </c>
      <c r="J450">
        <v>1053</v>
      </c>
      <c r="K450">
        <f t="shared" ref="K450:K513" si="14">((H450+I450+J450)/F450)*100</f>
        <v>4.0093647344996652</v>
      </c>
      <c r="L450">
        <v>330306</v>
      </c>
      <c r="M450">
        <v>718569</v>
      </c>
      <c r="N450">
        <f t="shared" ref="N450:N513" si="15">((M450-L450)/L450)*100</f>
        <v>117.54645692176346</v>
      </c>
      <c r="O450">
        <v>46145</v>
      </c>
      <c r="P450">
        <v>46164</v>
      </c>
      <c r="Q450" t="s">
        <v>30</v>
      </c>
    </row>
    <row r="451" spans="1:17" x14ac:dyDescent="0.3">
      <c r="A451" t="s">
        <v>502</v>
      </c>
      <c r="B451" t="s">
        <v>49</v>
      </c>
      <c r="C451" t="s">
        <v>33</v>
      </c>
      <c r="D451" t="s">
        <v>20</v>
      </c>
      <c r="E451">
        <v>1671460</v>
      </c>
      <c r="F451">
        <v>594679</v>
      </c>
      <c r="G451">
        <v>1497276</v>
      </c>
      <c r="H451">
        <v>78804</v>
      </c>
      <c r="I451">
        <v>10544</v>
      </c>
      <c r="J451">
        <v>5820</v>
      </c>
      <c r="K451">
        <f t="shared" si="14"/>
        <v>16.003255537861602</v>
      </c>
      <c r="L451">
        <v>448991</v>
      </c>
      <c r="M451">
        <v>1744656</v>
      </c>
      <c r="N451">
        <f t="shared" si="15"/>
        <v>288.57259945076851</v>
      </c>
      <c r="O451">
        <v>45863</v>
      </c>
      <c r="P451">
        <v>45883</v>
      </c>
      <c r="Q451" t="s">
        <v>30</v>
      </c>
    </row>
    <row r="452" spans="1:17" x14ac:dyDescent="0.3">
      <c r="A452" t="s">
        <v>503</v>
      </c>
      <c r="B452" t="s">
        <v>53</v>
      </c>
      <c r="C452" t="s">
        <v>19</v>
      </c>
      <c r="D452" t="s">
        <v>58</v>
      </c>
      <c r="E452">
        <v>1033859</v>
      </c>
      <c r="F452">
        <v>603895</v>
      </c>
      <c r="G452">
        <v>1672924</v>
      </c>
      <c r="H452">
        <v>86988</v>
      </c>
      <c r="I452">
        <v>9206</v>
      </c>
      <c r="J452">
        <v>6784</v>
      </c>
      <c r="K452">
        <f t="shared" si="14"/>
        <v>17.052302138616813</v>
      </c>
      <c r="L452">
        <v>72415</v>
      </c>
      <c r="M452">
        <v>316463</v>
      </c>
      <c r="N452">
        <f t="shared" si="15"/>
        <v>337.01304978250363</v>
      </c>
      <c r="O452">
        <v>45995</v>
      </c>
      <c r="P452">
        <v>46019</v>
      </c>
      <c r="Q452" t="s">
        <v>34</v>
      </c>
    </row>
    <row r="453" spans="1:17" x14ac:dyDescent="0.3">
      <c r="A453" t="s">
        <v>504</v>
      </c>
      <c r="B453" t="s">
        <v>23</v>
      </c>
      <c r="C453" t="s">
        <v>37</v>
      </c>
      <c r="D453" t="s">
        <v>58</v>
      </c>
      <c r="E453">
        <v>327936</v>
      </c>
      <c r="F453">
        <v>237669</v>
      </c>
      <c r="G453">
        <v>308661</v>
      </c>
      <c r="H453">
        <v>33817</v>
      </c>
      <c r="I453">
        <v>1778</v>
      </c>
      <c r="J453">
        <v>1481</v>
      </c>
      <c r="K453">
        <f t="shared" si="14"/>
        <v>15.599846845823393</v>
      </c>
      <c r="L453">
        <v>34513</v>
      </c>
      <c r="M453">
        <v>103344</v>
      </c>
      <c r="N453">
        <f t="shared" si="15"/>
        <v>199.43499550893867</v>
      </c>
      <c r="O453">
        <v>46139</v>
      </c>
      <c r="P453">
        <v>46152</v>
      </c>
      <c r="Q453" t="s">
        <v>78</v>
      </c>
    </row>
    <row r="454" spans="1:17" x14ac:dyDescent="0.3">
      <c r="A454" t="s">
        <v>505</v>
      </c>
      <c r="B454" t="s">
        <v>39</v>
      </c>
      <c r="C454" t="s">
        <v>33</v>
      </c>
      <c r="D454" t="s">
        <v>24</v>
      </c>
      <c r="E454">
        <v>766457</v>
      </c>
      <c r="F454">
        <v>653474</v>
      </c>
      <c r="G454">
        <v>1461219</v>
      </c>
      <c r="H454">
        <v>90048</v>
      </c>
      <c r="I454">
        <v>13464</v>
      </c>
      <c r="J454">
        <v>7899</v>
      </c>
      <c r="K454">
        <f t="shared" si="14"/>
        <v>17.049033320376939</v>
      </c>
      <c r="L454">
        <v>356926</v>
      </c>
      <c r="M454">
        <v>1514591</v>
      </c>
      <c r="N454">
        <f t="shared" si="15"/>
        <v>324.34314115530947</v>
      </c>
      <c r="O454">
        <v>45820</v>
      </c>
      <c r="P454">
        <v>45850</v>
      </c>
      <c r="Q454" t="s">
        <v>47</v>
      </c>
    </row>
    <row r="455" spans="1:17" x14ac:dyDescent="0.3">
      <c r="A455" t="s">
        <v>506</v>
      </c>
      <c r="B455" t="s">
        <v>80</v>
      </c>
      <c r="C455" t="s">
        <v>33</v>
      </c>
      <c r="D455" t="s">
        <v>46</v>
      </c>
      <c r="E455">
        <v>305930</v>
      </c>
      <c r="F455">
        <v>132024</v>
      </c>
      <c r="G455">
        <v>358055</v>
      </c>
      <c r="H455">
        <v>12234</v>
      </c>
      <c r="I455">
        <v>1090</v>
      </c>
      <c r="J455">
        <v>372</v>
      </c>
      <c r="K455">
        <f t="shared" si="14"/>
        <v>10.373871417318064</v>
      </c>
      <c r="L455">
        <v>208008</v>
      </c>
      <c r="M455">
        <v>855678</v>
      </c>
      <c r="N455">
        <f t="shared" si="15"/>
        <v>311.3678320064613</v>
      </c>
      <c r="O455">
        <v>45803</v>
      </c>
      <c r="P455">
        <v>45816</v>
      </c>
      <c r="Q455" t="s">
        <v>54</v>
      </c>
    </row>
    <row r="456" spans="1:17" x14ac:dyDescent="0.3">
      <c r="A456" t="s">
        <v>507</v>
      </c>
      <c r="B456" t="s">
        <v>103</v>
      </c>
      <c r="C456" t="s">
        <v>19</v>
      </c>
      <c r="D456" t="s">
        <v>20</v>
      </c>
      <c r="E456">
        <v>411079</v>
      </c>
      <c r="F456">
        <v>331581</v>
      </c>
      <c r="G456">
        <v>739312</v>
      </c>
      <c r="H456">
        <v>37632</v>
      </c>
      <c r="I456">
        <v>4305</v>
      </c>
      <c r="J456">
        <v>1467</v>
      </c>
      <c r="K456">
        <f t="shared" si="14"/>
        <v>13.090014204673972</v>
      </c>
      <c r="L456">
        <v>344139</v>
      </c>
      <c r="M456">
        <v>881441</v>
      </c>
      <c r="N456">
        <f t="shared" si="15"/>
        <v>156.12935470841725</v>
      </c>
      <c r="O456">
        <v>45893</v>
      </c>
      <c r="P456">
        <v>45905</v>
      </c>
      <c r="Q456" t="s">
        <v>47</v>
      </c>
    </row>
    <row r="457" spans="1:17" x14ac:dyDescent="0.3">
      <c r="A457" t="s">
        <v>508</v>
      </c>
      <c r="B457" t="s">
        <v>32</v>
      </c>
      <c r="C457" t="s">
        <v>37</v>
      </c>
      <c r="D457" t="s">
        <v>46</v>
      </c>
      <c r="E457">
        <v>1728279</v>
      </c>
      <c r="F457">
        <v>1175572</v>
      </c>
      <c r="G457">
        <v>2136673</v>
      </c>
      <c r="H457">
        <v>157017</v>
      </c>
      <c r="I457">
        <v>5636</v>
      </c>
      <c r="J457">
        <v>6411</v>
      </c>
      <c r="K457">
        <f t="shared" si="14"/>
        <v>14.381424532057585</v>
      </c>
      <c r="L457">
        <v>221843</v>
      </c>
      <c r="M457">
        <v>931305</v>
      </c>
      <c r="N457">
        <f t="shared" si="15"/>
        <v>319.80364492005606</v>
      </c>
      <c r="O457">
        <v>45716</v>
      </c>
      <c r="P457">
        <v>45733</v>
      </c>
      <c r="Q457" t="s">
        <v>34</v>
      </c>
    </row>
    <row r="458" spans="1:17" x14ac:dyDescent="0.3">
      <c r="A458" t="s">
        <v>509</v>
      </c>
      <c r="B458" t="s">
        <v>23</v>
      </c>
      <c r="C458" t="s">
        <v>28</v>
      </c>
      <c r="D458" t="s">
        <v>29</v>
      </c>
      <c r="E458">
        <v>1348532</v>
      </c>
      <c r="F458">
        <v>735707</v>
      </c>
      <c r="G458">
        <v>1354399</v>
      </c>
      <c r="H458">
        <v>61720</v>
      </c>
      <c r="I458">
        <v>4904</v>
      </c>
      <c r="J458">
        <v>5408</v>
      </c>
      <c r="K458">
        <f t="shared" si="14"/>
        <v>9.7908542395274196</v>
      </c>
      <c r="L458">
        <v>98976</v>
      </c>
      <c r="M458">
        <v>483693</v>
      </c>
      <c r="N458">
        <f t="shared" si="15"/>
        <v>388.69725994180408</v>
      </c>
      <c r="O458">
        <v>46104</v>
      </c>
      <c r="P458">
        <v>46124</v>
      </c>
      <c r="Q458" t="s">
        <v>41</v>
      </c>
    </row>
    <row r="459" spans="1:17" x14ac:dyDescent="0.3">
      <c r="A459" t="s">
        <v>510</v>
      </c>
      <c r="B459" t="s">
        <v>49</v>
      </c>
      <c r="C459" t="s">
        <v>28</v>
      </c>
      <c r="D459" t="s">
        <v>29</v>
      </c>
      <c r="E459">
        <v>1037387</v>
      </c>
      <c r="F459">
        <v>281169</v>
      </c>
      <c r="G459">
        <v>491168</v>
      </c>
      <c r="H459">
        <v>8938</v>
      </c>
      <c r="I459">
        <v>402</v>
      </c>
      <c r="J459">
        <v>480</v>
      </c>
      <c r="K459">
        <f t="shared" si="14"/>
        <v>3.4925614132425697</v>
      </c>
      <c r="L459">
        <v>416499</v>
      </c>
      <c r="M459">
        <v>1865827</v>
      </c>
      <c r="N459">
        <f t="shared" si="15"/>
        <v>347.97874664765101</v>
      </c>
      <c r="O459">
        <v>45750</v>
      </c>
      <c r="P459">
        <v>45774</v>
      </c>
      <c r="Q459" t="s">
        <v>78</v>
      </c>
    </row>
    <row r="460" spans="1:17" x14ac:dyDescent="0.3">
      <c r="A460" t="s">
        <v>511</v>
      </c>
      <c r="B460" t="s">
        <v>103</v>
      </c>
      <c r="C460" t="s">
        <v>43</v>
      </c>
      <c r="D460" t="s">
        <v>58</v>
      </c>
      <c r="E460">
        <v>385577</v>
      </c>
      <c r="F460">
        <v>105106</v>
      </c>
      <c r="G460">
        <v>226369</v>
      </c>
      <c r="H460">
        <v>6349</v>
      </c>
      <c r="I460">
        <v>898</v>
      </c>
      <c r="J460">
        <v>418</v>
      </c>
      <c r="K460">
        <f t="shared" si="14"/>
        <v>7.2926379083972375</v>
      </c>
      <c r="L460">
        <v>149998</v>
      </c>
      <c r="M460">
        <v>625732</v>
      </c>
      <c r="N460">
        <f t="shared" si="15"/>
        <v>317.1602288030507</v>
      </c>
      <c r="O460">
        <v>45791</v>
      </c>
      <c r="P460">
        <v>45808</v>
      </c>
      <c r="Q460" t="s">
        <v>54</v>
      </c>
    </row>
    <row r="461" spans="1:17" x14ac:dyDescent="0.3">
      <c r="A461" t="s">
        <v>512</v>
      </c>
      <c r="B461" t="s">
        <v>32</v>
      </c>
      <c r="C461" t="s">
        <v>37</v>
      </c>
      <c r="D461" t="s">
        <v>20</v>
      </c>
      <c r="E461">
        <v>760306</v>
      </c>
      <c r="F461">
        <v>534101</v>
      </c>
      <c r="G461">
        <v>807848</v>
      </c>
      <c r="H461">
        <v>59212</v>
      </c>
      <c r="I461">
        <v>5796</v>
      </c>
      <c r="J461">
        <v>3027</v>
      </c>
      <c r="K461">
        <f t="shared" si="14"/>
        <v>12.738227413916094</v>
      </c>
      <c r="L461">
        <v>145963</v>
      </c>
      <c r="M461">
        <v>264683</v>
      </c>
      <c r="N461">
        <f t="shared" si="15"/>
        <v>81.335680960243351</v>
      </c>
      <c r="O461">
        <v>45683</v>
      </c>
      <c r="P461">
        <v>45700</v>
      </c>
      <c r="Q461" t="s">
        <v>54</v>
      </c>
    </row>
    <row r="462" spans="1:17" x14ac:dyDescent="0.3">
      <c r="A462" t="s">
        <v>513</v>
      </c>
      <c r="B462" t="s">
        <v>32</v>
      </c>
      <c r="C462" t="s">
        <v>37</v>
      </c>
      <c r="D462" t="s">
        <v>40</v>
      </c>
      <c r="E462">
        <v>923867</v>
      </c>
      <c r="F462">
        <v>603671</v>
      </c>
      <c r="G462">
        <v>1774237</v>
      </c>
      <c r="H462">
        <v>43609</v>
      </c>
      <c r="I462">
        <v>4827</v>
      </c>
      <c r="J462">
        <v>3761</v>
      </c>
      <c r="K462">
        <f t="shared" si="14"/>
        <v>8.6465972359116137</v>
      </c>
      <c r="L462">
        <v>427612</v>
      </c>
      <c r="M462">
        <v>2001103</v>
      </c>
      <c r="N462">
        <f t="shared" si="15"/>
        <v>367.97166590273423</v>
      </c>
      <c r="O462">
        <v>46037</v>
      </c>
      <c r="P462">
        <v>46056</v>
      </c>
      <c r="Q462" t="s">
        <v>34</v>
      </c>
    </row>
    <row r="463" spans="1:17" x14ac:dyDescent="0.3">
      <c r="A463" t="s">
        <v>514</v>
      </c>
      <c r="B463" t="s">
        <v>75</v>
      </c>
      <c r="C463" t="s">
        <v>19</v>
      </c>
      <c r="D463" t="s">
        <v>29</v>
      </c>
      <c r="E463">
        <v>1441578</v>
      </c>
      <c r="F463">
        <v>536476</v>
      </c>
      <c r="G463">
        <v>969355</v>
      </c>
      <c r="H463">
        <v>50124</v>
      </c>
      <c r="I463">
        <v>2234</v>
      </c>
      <c r="J463">
        <v>3736</v>
      </c>
      <c r="K463">
        <f t="shared" si="14"/>
        <v>10.456012943729077</v>
      </c>
      <c r="L463">
        <v>395142</v>
      </c>
      <c r="M463">
        <v>1788127</v>
      </c>
      <c r="N463">
        <f t="shared" si="15"/>
        <v>352.5276989031791</v>
      </c>
      <c r="O463">
        <v>45698</v>
      </c>
      <c r="P463">
        <v>45727</v>
      </c>
      <c r="Q463" t="s">
        <v>78</v>
      </c>
    </row>
    <row r="464" spans="1:17" x14ac:dyDescent="0.3">
      <c r="A464" t="s">
        <v>515</v>
      </c>
      <c r="B464" t="s">
        <v>18</v>
      </c>
      <c r="C464" t="s">
        <v>28</v>
      </c>
      <c r="D464" t="s">
        <v>29</v>
      </c>
      <c r="E464">
        <v>1525750</v>
      </c>
      <c r="F464">
        <v>723611</v>
      </c>
      <c r="G464">
        <v>987260</v>
      </c>
      <c r="H464">
        <v>92162</v>
      </c>
      <c r="I464">
        <v>5550</v>
      </c>
      <c r="J464">
        <v>6474</v>
      </c>
      <c r="K464">
        <f t="shared" si="14"/>
        <v>14.398067469952776</v>
      </c>
      <c r="L464">
        <v>312356</v>
      </c>
      <c r="M464">
        <v>1526811</v>
      </c>
      <c r="N464">
        <f t="shared" si="15"/>
        <v>388.80476123397665</v>
      </c>
      <c r="O464">
        <v>45774</v>
      </c>
      <c r="P464">
        <v>45800</v>
      </c>
      <c r="Q464" t="s">
        <v>54</v>
      </c>
    </row>
    <row r="465" spans="1:17" x14ac:dyDescent="0.3">
      <c r="A465" t="s">
        <v>516</v>
      </c>
      <c r="B465" t="s">
        <v>49</v>
      </c>
      <c r="C465" t="s">
        <v>19</v>
      </c>
      <c r="D465" t="s">
        <v>72</v>
      </c>
      <c r="E465">
        <v>1051530</v>
      </c>
      <c r="F465">
        <v>315803</v>
      </c>
      <c r="G465">
        <v>407056</v>
      </c>
      <c r="H465">
        <v>22931</v>
      </c>
      <c r="I465">
        <v>1991</v>
      </c>
      <c r="J465">
        <v>921</v>
      </c>
      <c r="K465">
        <f t="shared" si="14"/>
        <v>8.1832661500999038</v>
      </c>
      <c r="L465">
        <v>369657</v>
      </c>
      <c r="M465">
        <v>433814</v>
      </c>
      <c r="N465">
        <f t="shared" si="15"/>
        <v>17.355819043058833</v>
      </c>
      <c r="O465">
        <v>46058</v>
      </c>
      <c r="P465">
        <v>46072</v>
      </c>
      <c r="Q465" t="s">
        <v>30</v>
      </c>
    </row>
    <row r="466" spans="1:17" x14ac:dyDescent="0.3">
      <c r="A466" t="s">
        <v>517</v>
      </c>
      <c r="B466" t="s">
        <v>49</v>
      </c>
      <c r="C466" t="s">
        <v>37</v>
      </c>
      <c r="D466" t="s">
        <v>58</v>
      </c>
      <c r="E466">
        <v>1488096</v>
      </c>
      <c r="F466">
        <v>755640</v>
      </c>
      <c r="G466">
        <v>2041901</v>
      </c>
      <c r="H466">
        <v>16022</v>
      </c>
      <c r="I466">
        <v>2229</v>
      </c>
      <c r="J466">
        <v>1510</v>
      </c>
      <c r="K466">
        <f t="shared" si="14"/>
        <v>2.6151341908845485</v>
      </c>
      <c r="L466">
        <v>211423</v>
      </c>
      <c r="M466">
        <v>417451</v>
      </c>
      <c r="N466">
        <f t="shared" si="15"/>
        <v>97.448243568580523</v>
      </c>
      <c r="O466">
        <v>45864</v>
      </c>
      <c r="P466">
        <v>45875</v>
      </c>
      <c r="Q466" t="s">
        <v>54</v>
      </c>
    </row>
    <row r="467" spans="1:17" x14ac:dyDescent="0.3">
      <c r="A467" t="s">
        <v>518</v>
      </c>
      <c r="B467" t="s">
        <v>61</v>
      </c>
      <c r="C467" t="s">
        <v>37</v>
      </c>
      <c r="D467" t="s">
        <v>29</v>
      </c>
      <c r="E467">
        <v>1666039</v>
      </c>
      <c r="F467">
        <v>1229382</v>
      </c>
      <c r="G467">
        <v>3484018</v>
      </c>
      <c r="H467">
        <v>175414</v>
      </c>
      <c r="I467">
        <v>25398</v>
      </c>
      <c r="J467">
        <v>8916</v>
      </c>
      <c r="K467">
        <f t="shared" si="14"/>
        <v>17.05962833358549</v>
      </c>
      <c r="L467">
        <v>357589</v>
      </c>
      <c r="M467">
        <v>1708875</v>
      </c>
      <c r="N467">
        <f t="shared" si="15"/>
        <v>377.88802228256463</v>
      </c>
      <c r="O467">
        <v>45731</v>
      </c>
      <c r="P467">
        <v>45761</v>
      </c>
      <c r="Q467" t="s">
        <v>21</v>
      </c>
    </row>
    <row r="468" spans="1:17" x14ac:dyDescent="0.3">
      <c r="A468" t="s">
        <v>519</v>
      </c>
      <c r="B468" t="s">
        <v>53</v>
      </c>
      <c r="C468" t="s">
        <v>37</v>
      </c>
      <c r="D468" t="s">
        <v>72</v>
      </c>
      <c r="E468">
        <v>577369</v>
      </c>
      <c r="F468">
        <v>169938</v>
      </c>
      <c r="G468">
        <v>256747</v>
      </c>
      <c r="H468">
        <v>12457</v>
      </c>
      <c r="I468">
        <v>1743</v>
      </c>
      <c r="J468">
        <v>898</v>
      </c>
      <c r="K468">
        <f t="shared" si="14"/>
        <v>8.8844166696089157</v>
      </c>
      <c r="L468">
        <v>159092</v>
      </c>
      <c r="M468">
        <v>264790</v>
      </c>
      <c r="N468">
        <f t="shared" si="15"/>
        <v>66.438287280315791</v>
      </c>
      <c r="O468">
        <v>46023</v>
      </c>
      <c r="P468">
        <v>46051</v>
      </c>
      <c r="Q468" t="s">
        <v>34</v>
      </c>
    </row>
    <row r="469" spans="1:17" x14ac:dyDescent="0.3">
      <c r="A469" t="s">
        <v>520</v>
      </c>
      <c r="B469" t="s">
        <v>39</v>
      </c>
      <c r="C469" t="s">
        <v>33</v>
      </c>
      <c r="D469" t="s">
        <v>72</v>
      </c>
      <c r="E469">
        <v>1032196</v>
      </c>
      <c r="F469">
        <v>725537</v>
      </c>
      <c r="G469">
        <v>1180184</v>
      </c>
      <c r="H469">
        <v>102879</v>
      </c>
      <c r="I469">
        <v>14205</v>
      </c>
      <c r="J469">
        <v>7357</v>
      </c>
      <c r="K469">
        <f t="shared" si="14"/>
        <v>17.151571870214752</v>
      </c>
      <c r="L469">
        <v>481362</v>
      </c>
      <c r="M469">
        <v>2235723</v>
      </c>
      <c r="N469">
        <f t="shared" si="15"/>
        <v>364.45772620190212</v>
      </c>
      <c r="O469">
        <v>45961</v>
      </c>
      <c r="P469">
        <v>45990</v>
      </c>
      <c r="Q469" t="s">
        <v>34</v>
      </c>
    </row>
    <row r="470" spans="1:17" x14ac:dyDescent="0.3">
      <c r="A470" t="s">
        <v>521</v>
      </c>
      <c r="B470" t="s">
        <v>32</v>
      </c>
      <c r="C470" t="s">
        <v>28</v>
      </c>
      <c r="D470" t="s">
        <v>51</v>
      </c>
      <c r="E470">
        <v>1108418</v>
      </c>
      <c r="F470">
        <v>291117</v>
      </c>
      <c r="G470">
        <v>465432</v>
      </c>
      <c r="H470">
        <v>30604</v>
      </c>
      <c r="I470">
        <v>1690</v>
      </c>
      <c r="J470">
        <v>638</v>
      </c>
      <c r="K470">
        <f t="shared" si="14"/>
        <v>11.312290247563695</v>
      </c>
      <c r="L470">
        <v>452627</v>
      </c>
      <c r="M470">
        <v>549733</v>
      </c>
      <c r="N470">
        <f t="shared" si="15"/>
        <v>21.453868196108495</v>
      </c>
      <c r="O470">
        <v>46003</v>
      </c>
      <c r="P470">
        <v>46018</v>
      </c>
      <c r="Q470" t="s">
        <v>78</v>
      </c>
    </row>
    <row r="471" spans="1:17" x14ac:dyDescent="0.3">
      <c r="A471" t="s">
        <v>522</v>
      </c>
      <c r="B471" t="s">
        <v>57</v>
      </c>
      <c r="C471" t="s">
        <v>43</v>
      </c>
      <c r="D471" t="s">
        <v>72</v>
      </c>
      <c r="E471">
        <v>1157865</v>
      </c>
      <c r="F471">
        <v>576345</v>
      </c>
      <c r="G471">
        <v>674264</v>
      </c>
      <c r="H471">
        <v>40005</v>
      </c>
      <c r="I471">
        <v>2388</v>
      </c>
      <c r="J471">
        <v>1758</v>
      </c>
      <c r="K471">
        <f t="shared" si="14"/>
        <v>7.6605158368685426</v>
      </c>
      <c r="L471">
        <v>66117</v>
      </c>
      <c r="M471">
        <v>84251</v>
      </c>
      <c r="N471">
        <f t="shared" si="15"/>
        <v>27.427136742441427</v>
      </c>
      <c r="O471">
        <v>46126</v>
      </c>
      <c r="P471">
        <v>46134</v>
      </c>
      <c r="Q471" t="s">
        <v>21</v>
      </c>
    </row>
    <row r="472" spans="1:17" x14ac:dyDescent="0.3">
      <c r="A472" t="s">
        <v>523</v>
      </c>
      <c r="B472" t="s">
        <v>75</v>
      </c>
      <c r="C472" t="s">
        <v>19</v>
      </c>
      <c r="D472" t="s">
        <v>20</v>
      </c>
      <c r="E472">
        <v>1352302</v>
      </c>
      <c r="F472">
        <v>585983</v>
      </c>
      <c r="G472">
        <v>669472</v>
      </c>
      <c r="H472">
        <v>37950</v>
      </c>
      <c r="I472">
        <v>1181</v>
      </c>
      <c r="J472">
        <v>2587</v>
      </c>
      <c r="K472">
        <f t="shared" si="14"/>
        <v>7.1193191611360742</v>
      </c>
      <c r="L472">
        <v>441966</v>
      </c>
      <c r="M472">
        <v>860562</v>
      </c>
      <c r="N472">
        <f t="shared" si="15"/>
        <v>94.712262934252863</v>
      </c>
      <c r="O472">
        <v>45688</v>
      </c>
      <c r="P472">
        <v>45703</v>
      </c>
      <c r="Q472" t="s">
        <v>41</v>
      </c>
    </row>
    <row r="473" spans="1:17" x14ac:dyDescent="0.3">
      <c r="A473" t="s">
        <v>524</v>
      </c>
      <c r="B473" t="s">
        <v>18</v>
      </c>
      <c r="C473" t="s">
        <v>19</v>
      </c>
      <c r="D473" t="s">
        <v>51</v>
      </c>
      <c r="E473">
        <v>589259</v>
      </c>
      <c r="F473">
        <v>485809</v>
      </c>
      <c r="G473">
        <v>884680</v>
      </c>
      <c r="H473">
        <v>67031</v>
      </c>
      <c r="I473">
        <v>3916</v>
      </c>
      <c r="J473">
        <v>2105</v>
      </c>
      <c r="K473">
        <f t="shared" si="14"/>
        <v>15.037185395906622</v>
      </c>
      <c r="L473">
        <v>162122</v>
      </c>
      <c r="M473">
        <v>266983</v>
      </c>
      <c r="N473">
        <f t="shared" si="15"/>
        <v>64.680302488249581</v>
      </c>
      <c r="O473">
        <v>46082</v>
      </c>
      <c r="P473">
        <v>46106</v>
      </c>
      <c r="Q473" t="s">
        <v>25</v>
      </c>
    </row>
    <row r="474" spans="1:17" x14ac:dyDescent="0.3">
      <c r="A474" t="s">
        <v>525</v>
      </c>
      <c r="B474" t="s">
        <v>53</v>
      </c>
      <c r="C474" t="s">
        <v>33</v>
      </c>
      <c r="D474" t="s">
        <v>72</v>
      </c>
      <c r="E474">
        <v>408001</v>
      </c>
      <c r="F474">
        <v>120064</v>
      </c>
      <c r="G474">
        <v>184891</v>
      </c>
      <c r="H474">
        <v>13154</v>
      </c>
      <c r="I474">
        <v>813</v>
      </c>
      <c r="J474">
        <v>505</v>
      </c>
      <c r="K474">
        <f t="shared" si="14"/>
        <v>12.053571428571429</v>
      </c>
      <c r="L474">
        <v>272122</v>
      </c>
      <c r="M474">
        <v>933545</v>
      </c>
      <c r="N474">
        <f t="shared" si="15"/>
        <v>243.06120049095625</v>
      </c>
      <c r="O474">
        <v>46147</v>
      </c>
      <c r="P474">
        <v>46162</v>
      </c>
      <c r="Q474" t="s">
        <v>21</v>
      </c>
    </row>
    <row r="475" spans="1:17" x14ac:dyDescent="0.3">
      <c r="A475" t="s">
        <v>526</v>
      </c>
      <c r="B475" t="s">
        <v>32</v>
      </c>
      <c r="C475" t="s">
        <v>37</v>
      </c>
      <c r="D475" t="s">
        <v>40</v>
      </c>
      <c r="E475">
        <v>988928</v>
      </c>
      <c r="F475">
        <v>713311</v>
      </c>
      <c r="G475">
        <v>1162243</v>
      </c>
      <c r="H475">
        <v>22868</v>
      </c>
      <c r="I475">
        <v>1890</v>
      </c>
      <c r="J475">
        <v>1190</v>
      </c>
      <c r="K475">
        <f t="shared" si="14"/>
        <v>3.6376839835639712</v>
      </c>
      <c r="L475">
        <v>355632</v>
      </c>
      <c r="M475">
        <v>1182636</v>
      </c>
      <c r="N475">
        <f t="shared" si="15"/>
        <v>232.54487785126199</v>
      </c>
      <c r="O475">
        <v>45976</v>
      </c>
      <c r="P475">
        <v>45990</v>
      </c>
      <c r="Q475" t="s">
        <v>78</v>
      </c>
    </row>
    <row r="476" spans="1:17" x14ac:dyDescent="0.3">
      <c r="A476" t="s">
        <v>527</v>
      </c>
      <c r="B476" t="s">
        <v>45</v>
      </c>
      <c r="C476" t="s">
        <v>28</v>
      </c>
      <c r="D476" t="s">
        <v>24</v>
      </c>
      <c r="E476">
        <v>377586</v>
      </c>
      <c r="F476">
        <v>202204</v>
      </c>
      <c r="G476">
        <v>343238</v>
      </c>
      <c r="H476">
        <v>26477</v>
      </c>
      <c r="I476">
        <v>2203</v>
      </c>
      <c r="J476">
        <v>1466</v>
      </c>
      <c r="K476">
        <f t="shared" si="14"/>
        <v>14.908706059227313</v>
      </c>
      <c r="L476">
        <v>442526</v>
      </c>
      <c r="M476">
        <v>1859401</v>
      </c>
      <c r="N476">
        <f t="shared" si="15"/>
        <v>320.17892733986253</v>
      </c>
      <c r="O476">
        <v>45827</v>
      </c>
      <c r="P476">
        <v>45846</v>
      </c>
      <c r="Q476" t="s">
        <v>47</v>
      </c>
    </row>
    <row r="477" spans="1:17" x14ac:dyDescent="0.3">
      <c r="A477" t="s">
        <v>528</v>
      </c>
      <c r="B477" t="s">
        <v>80</v>
      </c>
      <c r="C477" t="s">
        <v>28</v>
      </c>
      <c r="D477" t="s">
        <v>72</v>
      </c>
      <c r="E477">
        <v>1300196</v>
      </c>
      <c r="F477">
        <v>1023927</v>
      </c>
      <c r="G477">
        <v>1239337</v>
      </c>
      <c r="H477">
        <v>107195</v>
      </c>
      <c r="I477">
        <v>7022</v>
      </c>
      <c r="J477">
        <v>6320</v>
      </c>
      <c r="K477">
        <f t="shared" si="14"/>
        <v>11.772030623276855</v>
      </c>
      <c r="L477">
        <v>305871</v>
      </c>
      <c r="M477">
        <v>697424</v>
      </c>
      <c r="N477">
        <f t="shared" si="15"/>
        <v>128.01246277025282</v>
      </c>
      <c r="O477">
        <v>45998</v>
      </c>
      <c r="P477">
        <v>46019</v>
      </c>
      <c r="Q477" t="s">
        <v>25</v>
      </c>
    </row>
    <row r="478" spans="1:17" x14ac:dyDescent="0.3">
      <c r="A478" t="s">
        <v>529</v>
      </c>
      <c r="B478" t="s">
        <v>75</v>
      </c>
      <c r="C478" t="s">
        <v>19</v>
      </c>
      <c r="D478" t="s">
        <v>29</v>
      </c>
      <c r="E478">
        <v>1944307</v>
      </c>
      <c r="F478">
        <v>601371</v>
      </c>
      <c r="G478">
        <v>920081</v>
      </c>
      <c r="H478">
        <v>28280</v>
      </c>
      <c r="I478">
        <v>2774</v>
      </c>
      <c r="J478">
        <v>1636</v>
      </c>
      <c r="K478">
        <f t="shared" si="14"/>
        <v>5.4359122737877286</v>
      </c>
      <c r="L478">
        <v>436603</v>
      </c>
      <c r="M478">
        <v>1929723</v>
      </c>
      <c r="N478">
        <f t="shared" si="15"/>
        <v>341.9857399055893</v>
      </c>
      <c r="O478">
        <v>46127</v>
      </c>
      <c r="P478">
        <v>46134</v>
      </c>
      <c r="Q478" t="s">
        <v>30</v>
      </c>
    </row>
    <row r="479" spans="1:17" x14ac:dyDescent="0.3">
      <c r="A479" t="s">
        <v>530</v>
      </c>
      <c r="B479" t="s">
        <v>63</v>
      </c>
      <c r="C479" t="s">
        <v>19</v>
      </c>
      <c r="D479" t="s">
        <v>72</v>
      </c>
      <c r="E479">
        <v>1874438</v>
      </c>
      <c r="F479">
        <v>1360753</v>
      </c>
      <c r="G479">
        <v>2334606</v>
      </c>
      <c r="H479">
        <v>181568</v>
      </c>
      <c r="I479">
        <v>8079</v>
      </c>
      <c r="J479">
        <v>13881</v>
      </c>
      <c r="K479">
        <f t="shared" si="14"/>
        <v>14.957012771605132</v>
      </c>
      <c r="L479">
        <v>288697</v>
      </c>
      <c r="M479">
        <v>1052261</v>
      </c>
      <c r="N479">
        <f t="shared" si="15"/>
        <v>264.48629532000678</v>
      </c>
      <c r="O479">
        <v>45966</v>
      </c>
      <c r="P479">
        <v>45996</v>
      </c>
      <c r="Q479" t="s">
        <v>54</v>
      </c>
    </row>
    <row r="480" spans="1:17" x14ac:dyDescent="0.3">
      <c r="A480" t="s">
        <v>531</v>
      </c>
      <c r="B480" t="s">
        <v>103</v>
      </c>
      <c r="C480" t="s">
        <v>37</v>
      </c>
      <c r="D480" t="s">
        <v>72</v>
      </c>
      <c r="E480">
        <v>1112843</v>
      </c>
      <c r="F480">
        <v>496819</v>
      </c>
      <c r="G480">
        <v>1248399</v>
      </c>
      <c r="H480">
        <v>50361</v>
      </c>
      <c r="I480">
        <v>3476</v>
      </c>
      <c r="J480">
        <v>2296</v>
      </c>
      <c r="K480">
        <f t="shared" si="14"/>
        <v>11.298480935713007</v>
      </c>
      <c r="L480">
        <v>97751</v>
      </c>
      <c r="M480">
        <v>431489</v>
      </c>
      <c r="N480">
        <f t="shared" si="15"/>
        <v>341.41645609763583</v>
      </c>
      <c r="O480">
        <v>45889</v>
      </c>
      <c r="P480">
        <v>45918</v>
      </c>
      <c r="Q480" t="s">
        <v>47</v>
      </c>
    </row>
    <row r="481" spans="1:17" x14ac:dyDescent="0.3">
      <c r="A481" t="s">
        <v>532</v>
      </c>
      <c r="B481" t="s">
        <v>39</v>
      </c>
      <c r="C481" t="s">
        <v>28</v>
      </c>
      <c r="D481" t="s">
        <v>58</v>
      </c>
      <c r="E481">
        <v>705402</v>
      </c>
      <c r="F481">
        <v>437130</v>
      </c>
      <c r="G481">
        <v>1171379</v>
      </c>
      <c r="H481">
        <v>12481</v>
      </c>
      <c r="I481">
        <v>1630</v>
      </c>
      <c r="J481">
        <v>1148</v>
      </c>
      <c r="K481">
        <f t="shared" si="14"/>
        <v>3.4907235833733674</v>
      </c>
      <c r="L481">
        <v>422162</v>
      </c>
      <c r="M481">
        <v>1894558</v>
      </c>
      <c r="N481">
        <f t="shared" si="15"/>
        <v>348.77511476636931</v>
      </c>
      <c r="O481">
        <v>45980</v>
      </c>
      <c r="P481">
        <v>45999</v>
      </c>
      <c r="Q481" t="s">
        <v>47</v>
      </c>
    </row>
    <row r="482" spans="1:17" x14ac:dyDescent="0.3">
      <c r="A482" t="s">
        <v>533</v>
      </c>
      <c r="B482" t="s">
        <v>39</v>
      </c>
      <c r="C482" t="s">
        <v>28</v>
      </c>
      <c r="D482" t="s">
        <v>24</v>
      </c>
      <c r="E482">
        <v>1533973</v>
      </c>
      <c r="F482">
        <v>752030</v>
      </c>
      <c r="G482">
        <v>1715670</v>
      </c>
      <c r="H482">
        <v>68228</v>
      </c>
      <c r="I482">
        <v>7000</v>
      </c>
      <c r="J482">
        <v>5770</v>
      </c>
      <c r="K482">
        <f t="shared" si="14"/>
        <v>10.770580960865923</v>
      </c>
      <c r="L482">
        <v>379499</v>
      </c>
      <c r="M482">
        <v>713843</v>
      </c>
      <c r="N482">
        <f t="shared" si="15"/>
        <v>88.101417922049862</v>
      </c>
      <c r="O482">
        <v>45816</v>
      </c>
      <c r="P482">
        <v>45834</v>
      </c>
      <c r="Q482" t="s">
        <v>25</v>
      </c>
    </row>
    <row r="483" spans="1:17" x14ac:dyDescent="0.3">
      <c r="A483" t="s">
        <v>534</v>
      </c>
      <c r="B483" t="s">
        <v>18</v>
      </c>
      <c r="C483" t="s">
        <v>43</v>
      </c>
      <c r="D483" t="s">
        <v>20</v>
      </c>
      <c r="E483">
        <v>1720790</v>
      </c>
      <c r="F483">
        <v>891125</v>
      </c>
      <c r="G483">
        <v>1073364</v>
      </c>
      <c r="H483">
        <v>79546</v>
      </c>
      <c r="I483">
        <v>5146</v>
      </c>
      <c r="J483">
        <v>4902</v>
      </c>
      <c r="K483">
        <f t="shared" si="14"/>
        <v>10.054032823677936</v>
      </c>
      <c r="L483">
        <v>298928</v>
      </c>
      <c r="M483">
        <v>857882</v>
      </c>
      <c r="N483">
        <f t="shared" si="15"/>
        <v>186.9861638923085</v>
      </c>
      <c r="O483">
        <v>45808</v>
      </c>
      <c r="P483">
        <v>45831</v>
      </c>
      <c r="Q483" t="s">
        <v>21</v>
      </c>
    </row>
    <row r="484" spans="1:17" x14ac:dyDescent="0.3">
      <c r="A484" t="s">
        <v>535</v>
      </c>
      <c r="B484" t="s">
        <v>61</v>
      </c>
      <c r="C484" t="s">
        <v>19</v>
      </c>
      <c r="D484" t="s">
        <v>51</v>
      </c>
      <c r="E484">
        <v>617922</v>
      </c>
      <c r="F484">
        <v>509758</v>
      </c>
      <c r="G484">
        <v>894930</v>
      </c>
      <c r="H484">
        <v>13109</v>
      </c>
      <c r="I484">
        <v>1260</v>
      </c>
      <c r="J484">
        <v>1238</v>
      </c>
      <c r="K484">
        <f t="shared" si="14"/>
        <v>3.0616488608320025</v>
      </c>
      <c r="L484">
        <v>225576</v>
      </c>
      <c r="M484">
        <v>347446</v>
      </c>
      <c r="N484">
        <f t="shared" si="15"/>
        <v>54.026137532361595</v>
      </c>
      <c r="O484">
        <v>45847</v>
      </c>
      <c r="P484">
        <v>45862</v>
      </c>
      <c r="Q484" t="s">
        <v>78</v>
      </c>
    </row>
    <row r="485" spans="1:17" x14ac:dyDescent="0.3">
      <c r="A485" t="s">
        <v>536</v>
      </c>
      <c r="B485" t="s">
        <v>53</v>
      </c>
      <c r="C485" t="s">
        <v>37</v>
      </c>
      <c r="D485" t="s">
        <v>29</v>
      </c>
      <c r="E485">
        <v>417168</v>
      </c>
      <c r="F485">
        <v>126760</v>
      </c>
      <c r="G485">
        <v>216728</v>
      </c>
      <c r="H485">
        <v>7233</v>
      </c>
      <c r="I485">
        <v>372</v>
      </c>
      <c r="J485">
        <v>493</v>
      </c>
      <c r="K485">
        <f t="shared" si="14"/>
        <v>6.3884506153360681</v>
      </c>
      <c r="L485">
        <v>215676</v>
      </c>
      <c r="M485">
        <v>912874</v>
      </c>
      <c r="N485">
        <f t="shared" si="15"/>
        <v>323.2617444685547</v>
      </c>
      <c r="O485">
        <v>45842</v>
      </c>
      <c r="P485">
        <v>45850</v>
      </c>
      <c r="Q485" t="s">
        <v>30</v>
      </c>
    </row>
    <row r="486" spans="1:17" x14ac:dyDescent="0.3">
      <c r="A486" t="s">
        <v>537</v>
      </c>
      <c r="B486" t="s">
        <v>45</v>
      </c>
      <c r="C486" t="s">
        <v>28</v>
      </c>
      <c r="D486" t="s">
        <v>58</v>
      </c>
      <c r="E486">
        <v>1044825</v>
      </c>
      <c r="F486">
        <v>666469</v>
      </c>
      <c r="G486">
        <v>1176139</v>
      </c>
      <c r="H486">
        <v>56247</v>
      </c>
      <c r="I486">
        <v>1847</v>
      </c>
      <c r="J486">
        <v>5569</v>
      </c>
      <c r="K486">
        <f t="shared" si="14"/>
        <v>9.5522822516876253</v>
      </c>
      <c r="L486">
        <v>364502</v>
      </c>
      <c r="M486">
        <v>1048118</v>
      </c>
      <c r="N486">
        <f t="shared" si="15"/>
        <v>187.54794212377433</v>
      </c>
      <c r="O486">
        <v>45993</v>
      </c>
      <c r="P486">
        <v>46018</v>
      </c>
      <c r="Q486" t="s">
        <v>78</v>
      </c>
    </row>
    <row r="487" spans="1:17" x14ac:dyDescent="0.3">
      <c r="A487" t="s">
        <v>538</v>
      </c>
      <c r="B487" t="s">
        <v>39</v>
      </c>
      <c r="C487" t="s">
        <v>28</v>
      </c>
      <c r="D487" t="s">
        <v>58</v>
      </c>
      <c r="E487">
        <v>364940</v>
      </c>
      <c r="F487">
        <v>276717</v>
      </c>
      <c r="G487">
        <v>663695</v>
      </c>
      <c r="H487">
        <v>31386</v>
      </c>
      <c r="I487">
        <v>1033</v>
      </c>
      <c r="J487">
        <v>2156</v>
      </c>
      <c r="K487">
        <f t="shared" si="14"/>
        <v>12.494714816942942</v>
      </c>
      <c r="L487">
        <v>323461</v>
      </c>
      <c r="M487">
        <v>428188</v>
      </c>
      <c r="N487">
        <f t="shared" si="15"/>
        <v>32.377009902275702</v>
      </c>
      <c r="O487">
        <v>46128</v>
      </c>
      <c r="P487">
        <v>46150</v>
      </c>
      <c r="Q487" t="s">
        <v>21</v>
      </c>
    </row>
    <row r="488" spans="1:17" x14ac:dyDescent="0.3">
      <c r="A488" t="s">
        <v>539</v>
      </c>
      <c r="B488" t="s">
        <v>49</v>
      </c>
      <c r="C488" t="s">
        <v>28</v>
      </c>
      <c r="D488" t="s">
        <v>51</v>
      </c>
      <c r="E488">
        <v>402210</v>
      </c>
      <c r="F488">
        <v>180927</v>
      </c>
      <c r="G488">
        <v>416706</v>
      </c>
      <c r="H488">
        <v>24008</v>
      </c>
      <c r="I488">
        <v>2786</v>
      </c>
      <c r="J488">
        <v>842</v>
      </c>
      <c r="K488">
        <f t="shared" si="14"/>
        <v>15.274668789069626</v>
      </c>
      <c r="L488">
        <v>405803</v>
      </c>
      <c r="M488">
        <v>1907350</v>
      </c>
      <c r="N488">
        <f t="shared" si="15"/>
        <v>370.01870365670044</v>
      </c>
      <c r="O488">
        <v>46081</v>
      </c>
      <c r="P488">
        <v>46099</v>
      </c>
      <c r="Q488" t="s">
        <v>25</v>
      </c>
    </row>
    <row r="489" spans="1:17" x14ac:dyDescent="0.3">
      <c r="A489" t="s">
        <v>540</v>
      </c>
      <c r="B489" t="s">
        <v>45</v>
      </c>
      <c r="C489" t="s">
        <v>28</v>
      </c>
      <c r="D489" t="s">
        <v>58</v>
      </c>
      <c r="E489">
        <v>1441485</v>
      </c>
      <c r="F489">
        <v>1181389</v>
      </c>
      <c r="G489">
        <v>1792899</v>
      </c>
      <c r="H489">
        <v>122974</v>
      </c>
      <c r="I489">
        <v>6316</v>
      </c>
      <c r="J489">
        <v>4362</v>
      </c>
      <c r="K489">
        <f t="shared" si="14"/>
        <v>11.313123789031385</v>
      </c>
      <c r="L489">
        <v>434424</v>
      </c>
      <c r="M489">
        <v>1534321</v>
      </c>
      <c r="N489">
        <f t="shared" si="15"/>
        <v>253.18513710108098</v>
      </c>
      <c r="O489">
        <v>45918</v>
      </c>
      <c r="P489">
        <v>45935</v>
      </c>
      <c r="Q489" t="s">
        <v>54</v>
      </c>
    </row>
    <row r="490" spans="1:17" x14ac:dyDescent="0.3">
      <c r="A490" t="s">
        <v>541</v>
      </c>
      <c r="B490" t="s">
        <v>75</v>
      </c>
      <c r="C490" t="s">
        <v>33</v>
      </c>
      <c r="D490" t="s">
        <v>24</v>
      </c>
      <c r="E490">
        <v>983884</v>
      </c>
      <c r="F490">
        <v>608483</v>
      </c>
      <c r="G490">
        <v>1219308</v>
      </c>
      <c r="H490">
        <v>30725</v>
      </c>
      <c r="I490">
        <v>1029</v>
      </c>
      <c r="J490">
        <v>2738</v>
      </c>
      <c r="K490">
        <f t="shared" si="14"/>
        <v>5.6685231962109048</v>
      </c>
      <c r="L490">
        <v>230997</v>
      </c>
      <c r="M490">
        <v>824930</v>
      </c>
      <c r="N490">
        <f t="shared" si="15"/>
        <v>257.11719199816446</v>
      </c>
      <c r="O490">
        <v>45905</v>
      </c>
      <c r="P490">
        <v>45916</v>
      </c>
      <c r="Q490" t="s">
        <v>30</v>
      </c>
    </row>
    <row r="491" spans="1:17" x14ac:dyDescent="0.3">
      <c r="A491" t="s">
        <v>542</v>
      </c>
      <c r="B491" t="s">
        <v>18</v>
      </c>
      <c r="C491" t="s">
        <v>37</v>
      </c>
      <c r="D491" t="s">
        <v>40</v>
      </c>
      <c r="E491">
        <v>669856</v>
      </c>
      <c r="F491">
        <v>337944</v>
      </c>
      <c r="G491">
        <v>611517</v>
      </c>
      <c r="H491">
        <v>33406</v>
      </c>
      <c r="I491">
        <v>1581</v>
      </c>
      <c r="J491">
        <v>1388</v>
      </c>
      <c r="K491">
        <f t="shared" si="14"/>
        <v>10.763617640792557</v>
      </c>
      <c r="L491">
        <v>67119</v>
      </c>
      <c r="M491">
        <v>123828</v>
      </c>
      <c r="N491">
        <f t="shared" si="15"/>
        <v>84.49023376391186</v>
      </c>
      <c r="O491">
        <v>45944</v>
      </c>
      <c r="P491">
        <v>45953</v>
      </c>
      <c r="Q491" t="s">
        <v>30</v>
      </c>
    </row>
    <row r="492" spans="1:17" x14ac:dyDescent="0.3">
      <c r="A492" t="s">
        <v>543</v>
      </c>
      <c r="B492" t="s">
        <v>75</v>
      </c>
      <c r="C492" t="s">
        <v>19</v>
      </c>
      <c r="D492" t="s">
        <v>24</v>
      </c>
      <c r="E492">
        <v>481985</v>
      </c>
      <c r="F492">
        <v>404845</v>
      </c>
      <c r="G492">
        <v>912054</v>
      </c>
      <c r="H492">
        <v>29795</v>
      </c>
      <c r="I492">
        <v>3094</v>
      </c>
      <c r="J492">
        <v>1386</v>
      </c>
      <c r="K492">
        <f t="shared" si="14"/>
        <v>8.4662031147723216</v>
      </c>
      <c r="L492">
        <v>429264</v>
      </c>
      <c r="M492">
        <v>1023135</v>
      </c>
      <c r="N492">
        <f t="shared" si="15"/>
        <v>138.34633232695964</v>
      </c>
      <c r="O492">
        <v>46146</v>
      </c>
      <c r="P492">
        <v>46165</v>
      </c>
      <c r="Q492" t="s">
        <v>41</v>
      </c>
    </row>
    <row r="493" spans="1:17" x14ac:dyDescent="0.3">
      <c r="A493" t="s">
        <v>544</v>
      </c>
      <c r="B493" t="s">
        <v>45</v>
      </c>
      <c r="C493" t="s">
        <v>28</v>
      </c>
      <c r="D493" t="s">
        <v>29</v>
      </c>
      <c r="E493">
        <v>272870</v>
      </c>
      <c r="F493">
        <v>112369</v>
      </c>
      <c r="G493">
        <v>255054</v>
      </c>
      <c r="H493">
        <v>3930</v>
      </c>
      <c r="I493">
        <v>316</v>
      </c>
      <c r="J493">
        <v>272</v>
      </c>
      <c r="K493">
        <f t="shared" si="14"/>
        <v>4.020681860655519</v>
      </c>
      <c r="L493">
        <v>112149</v>
      </c>
      <c r="M493">
        <v>367950</v>
      </c>
      <c r="N493">
        <f t="shared" si="15"/>
        <v>228.09030842896502</v>
      </c>
      <c r="O493">
        <v>45889</v>
      </c>
      <c r="P493">
        <v>45901</v>
      </c>
      <c r="Q493" t="s">
        <v>41</v>
      </c>
    </row>
    <row r="494" spans="1:17" x14ac:dyDescent="0.3">
      <c r="A494" t="s">
        <v>545</v>
      </c>
      <c r="B494" t="s">
        <v>80</v>
      </c>
      <c r="C494" t="s">
        <v>37</v>
      </c>
      <c r="D494" t="s">
        <v>24</v>
      </c>
      <c r="E494">
        <v>897047</v>
      </c>
      <c r="F494">
        <v>541452</v>
      </c>
      <c r="G494">
        <v>1373639</v>
      </c>
      <c r="H494">
        <v>25957</v>
      </c>
      <c r="I494">
        <v>2533</v>
      </c>
      <c r="J494">
        <v>1179</v>
      </c>
      <c r="K494">
        <f t="shared" si="14"/>
        <v>5.4795254242296645</v>
      </c>
      <c r="L494">
        <v>112285</v>
      </c>
      <c r="M494">
        <v>220913</v>
      </c>
      <c r="N494">
        <f t="shared" si="15"/>
        <v>96.743109052856568</v>
      </c>
      <c r="O494">
        <v>45761</v>
      </c>
      <c r="P494">
        <v>45781</v>
      </c>
      <c r="Q494" t="s">
        <v>25</v>
      </c>
    </row>
    <row r="495" spans="1:17" x14ac:dyDescent="0.3">
      <c r="A495" t="s">
        <v>546</v>
      </c>
      <c r="B495" t="s">
        <v>32</v>
      </c>
      <c r="C495" t="s">
        <v>37</v>
      </c>
      <c r="D495" t="s">
        <v>46</v>
      </c>
      <c r="E495">
        <v>1531330</v>
      </c>
      <c r="F495">
        <v>1365036</v>
      </c>
      <c r="G495">
        <v>3363437</v>
      </c>
      <c r="H495">
        <v>65305</v>
      </c>
      <c r="I495">
        <v>3590</v>
      </c>
      <c r="J495">
        <v>4187</v>
      </c>
      <c r="K495">
        <f t="shared" si="14"/>
        <v>5.3538514735142515</v>
      </c>
      <c r="L495">
        <v>69204</v>
      </c>
      <c r="M495">
        <v>139151</v>
      </c>
      <c r="N495">
        <f t="shared" si="15"/>
        <v>101.07363736200219</v>
      </c>
      <c r="O495">
        <v>45684</v>
      </c>
      <c r="P495">
        <v>45714</v>
      </c>
      <c r="Q495" t="s">
        <v>47</v>
      </c>
    </row>
    <row r="496" spans="1:17" x14ac:dyDescent="0.3">
      <c r="A496" t="s">
        <v>547</v>
      </c>
      <c r="B496" t="s">
        <v>61</v>
      </c>
      <c r="C496" t="s">
        <v>33</v>
      </c>
      <c r="D496" t="s">
        <v>46</v>
      </c>
      <c r="E496">
        <v>73104</v>
      </c>
      <c r="F496">
        <v>28715</v>
      </c>
      <c r="G496">
        <v>45593</v>
      </c>
      <c r="H496">
        <v>1197</v>
      </c>
      <c r="I496">
        <v>171</v>
      </c>
      <c r="J496">
        <v>95</v>
      </c>
      <c r="K496">
        <f t="shared" si="14"/>
        <v>5.094898136862267</v>
      </c>
      <c r="L496">
        <v>308639</v>
      </c>
      <c r="M496">
        <v>454619</v>
      </c>
      <c r="N496">
        <f t="shared" si="15"/>
        <v>47.29797595248818</v>
      </c>
      <c r="O496">
        <v>45970</v>
      </c>
      <c r="P496">
        <v>45998</v>
      </c>
      <c r="Q496" t="s">
        <v>54</v>
      </c>
    </row>
    <row r="497" spans="1:17" x14ac:dyDescent="0.3">
      <c r="A497" t="s">
        <v>548</v>
      </c>
      <c r="B497" t="s">
        <v>36</v>
      </c>
      <c r="C497" t="s">
        <v>37</v>
      </c>
      <c r="D497" t="s">
        <v>46</v>
      </c>
      <c r="E497">
        <v>936730</v>
      </c>
      <c r="F497">
        <v>505770</v>
      </c>
      <c r="G497">
        <v>1253392</v>
      </c>
      <c r="H497">
        <v>61476</v>
      </c>
      <c r="I497">
        <v>2907</v>
      </c>
      <c r="J497">
        <v>4228</v>
      </c>
      <c r="K497">
        <f t="shared" si="14"/>
        <v>13.565652371631373</v>
      </c>
      <c r="L497">
        <v>483449</v>
      </c>
      <c r="M497">
        <v>1765592</v>
      </c>
      <c r="N497">
        <f t="shared" si="15"/>
        <v>265.20749861929596</v>
      </c>
      <c r="O497">
        <v>46104</v>
      </c>
      <c r="P497">
        <v>46133</v>
      </c>
      <c r="Q497" t="s">
        <v>30</v>
      </c>
    </row>
    <row r="498" spans="1:17" x14ac:dyDescent="0.3">
      <c r="A498" t="s">
        <v>549</v>
      </c>
      <c r="B498" t="s">
        <v>45</v>
      </c>
      <c r="C498" t="s">
        <v>43</v>
      </c>
      <c r="D498" t="s">
        <v>40</v>
      </c>
      <c r="E498">
        <v>1274251</v>
      </c>
      <c r="F498">
        <v>382665</v>
      </c>
      <c r="G498">
        <v>663768</v>
      </c>
      <c r="H498">
        <v>38822</v>
      </c>
      <c r="I498">
        <v>2060</v>
      </c>
      <c r="J498">
        <v>2076</v>
      </c>
      <c r="K498">
        <f t="shared" si="14"/>
        <v>11.226007081912377</v>
      </c>
      <c r="L498">
        <v>345056</v>
      </c>
      <c r="M498">
        <v>1046458</v>
      </c>
      <c r="N498">
        <f t="shared" si="15"/>
        <v>203.27193267179823</v>
      </c>
      <c r="O498">
        <v>46110</v>
      </c>
      <c r="P498">
        <v>46130</v>
      </c>
      <c r="Q498" t="s">
        <v>78</v>
      </c>
    </row>
    <row r="499" spans="1:17" x14ac:dyDescent="0.3">
      <c r="A499" t="s">
        <v>550</v>
      </c>
      <c r="B499" t="s">
        <v>39</v>
      </c>
      <c r="C499" t="s">
        <v>33</v>
      </c>
      <c r="D499" t="s">
        <v>40</v>
      </c>
      <c r="E499">
        <v>1144547</v>
      </c>
      <c r="F499">
        <v>695601</v>
      </c>
      <c r="G499">
        <v>833962</v>
      </c>
      <c r="H499">
        <v>87594</v>
      </c>
      <c r="I499">
        <v>3496</v>
      </c>
      <c r="J499">
        <v>5900</v>
      </c>
      <c r="K499">
        <f t="shared" si="14"/>
        <v>13.943338206816838</v>
      </c>
      <c r="L499">
        <v>218544</v>
      </c>
      <c r="M499">
        <v>1028197</v>
      </c>
      <c r="N499">
        <f t="shared" si="15"/>
        <v>370.47596822607807</v>
      </c>
      <c r="O499">
        <v>45935</v>
      </c>
      <c r="P499">
        <v>45945</v>
      </c>
      <c r="Q499" t="s">
        <v>78</v>
      </c>
    </row>
    <row r="500" spans="1:17" x14ac:dyDescent="0.3">
      <c r="A500" t="s">
        <v>551</v>
      </c>
      <c r="B500" t="s">
        <v>61</v>
      </c>
      <c r="C500" t="s">
        <v>43</v>
      </c>
      <c r="D500" t="s">
        <v>24</v>
      </c>
      <c r="E500">
        <v>1691468</v>
      </c>
      <c r="F500">
        <v>1197882</v>
      </c>
      <c r="G500">
        <v>1914632</v>
      </c>
      <c r="H500">
        <v>52646</v>
      </c>
      <c r="I500">
        <v>6166</v>
      </c>
      <c r="J500">
        <v>2715</v>
      </c>
      <c r="K500">
        <f t="shared" si="14"/>
        <v>5.136315597028756</v>
      </c>
      <c r="L500">
        <v>381185</v>
      </c>
      <c r="M500">
        <v>1164738</v>
      </c>
      <c r="N500">
        <f t="shared" si="15"/>
        <v>205.55714416884192</v>
      </c>
      <c r="O500">
        <v>45769</v>
      </c>
      <c r="P500">
        <v>45796</v>
      </c>
      <c r="Q500" t="s">
        <v>78</v>
      </c>
    </row>
    <row r="501" spans="1:17" x14ac:dyDescent="0.3">
      <c r="A501" t="s">
        <v>552</v>
      </c>
      <c r="B501" t="s">
        <v>53</v>
      </c>
      <c r="C501" t="s">
        <v>28</v>
      </c>
      <c r="D501" t="s">
        <v>40</v>
      </c>
      <c r="E501">
        <v>1467342</v>
      </c>
      <c r="F501">
        <v>441584</v>
      </c>
      <c r="G501">
        <v>1206680</v>
      </c>
      <c r="H501">
        <v>59066</v>
      </c>
      <c r="I501">
        <v>7100</v>
      </c>
      <c r="J501">
        <v>2948</v>
      </c>
      <c r="K501">
        <f t="shared" si="14"/>
        <v>15.651382296460017</v>
      </c>
      <c r="L501">
        <v>404375</v>
      </c>
      <c r="M501">
        <v>1722419</v>
      </c>
      <c r="N501">
        <f t="shared" si="15"/>
        <v>325.9459659969088</v>
      </c>
      <c r="O501">
        <v>45722</v>
      </c>
      <c r="P501">
        <v>45738</v>
      </c>
      <c r="Q501" t="s">
        <v>47</v>
      </c>
    </row>
    <row r="502" spans="1:17" x14ac:dyDescent="0.3">
      <c r="A502" t="s">
        <v>553</v>
      </c>
      <c r="B502" t="s">
        <v>32</v>
      </c>
      <c r="C502" t="s">
        <v>33</v>
      </c>
      <c r="D502" t="s">
        <v>51</v>
      </c>
      <c r="E502">
        <v>1516226</v>
      </c>
      <c r="F502">
        <v>467284</v>
      </c>
      <c r="G502">
        <v>1157551</v>
      </c>
      <c r="H502">
        <v>15605</v>
      </c>
      <c r="I502">
        <v>506</v>
      </c>
      <c r="J502">
        <v>830</v>
      </c>
      <c r="K502">
        <f t="shared" si="14"/>
        <v>3.6254183751209119</v>
      </c>
      <c r="L502">
        <v>153951</v>
      </c>
      <c r="M502">
        <v>623018</v>
      </c>
      <c r="N502">
        <f t="shared" si="15"/>
        <v>304.68590655468296</v>
      </c>
      <c r="O502">
        <v>45837</v>
      </c>
      <c r="P502">
        <v>45866</v>
      </c>
      <c r="Q502" t="s">
        <v>30</v>
      </c>
    </row>
    <row r="503" spans="1:17" x14ac:dyDescent="0.3">
      <c r="A503" t="s">
        <v>554</v>
      </c>
      <c r="B503" t="s">
        <v>103</v>
      </c>
      <c r="C503" t="s">
        <v>43</v>
      </c>
      <c r="D503" t="s">
        <v>58</v>
      </c>
      <c r="E503">
        <v>1045402</v>
      </c>
      <c r="F503">
        <v>342544</v>
      </c>
      <c r="G503">
        <v>968562</v>
      </c>
      <c r="H503">
        <v>23652</v>
      </c>
      <c r="I503">
        <v>2866</v>
      </c>
      <c r="J503">
        <v>1249</v>
      </c>
      <c r="K503">
        <f t="shared" si="14"/>
        <v>8.1061119155495351</v>
      </c>
      <c r="L503">
        <v>36179</v>
      </c>
      <c r="M503">
        <v>112194</v>
      </c>
      <c r="N503">
        <f t="shared" si="15"/>
        <v>210.10807374443738</v>
      </c>
      <c r="O503">
        <v>45720</v>
      </c>
      <c r="P503">
        <v>45748</v>
      </c>
      <c r="Q503" t="s">
        <v>47</v>
      </c>
    </row>
    <row r="504" spans="1:17" x14ac:dyDescent="0.3">
      <c r="A504" t="s">
        <v>555</v>
      </c>
      <c r="B504" t="s">
        <v>57</v>
      </c>
      <c r="C504" t="s">
        <v>28</v>
      </c>
      <c r="D504" t="s">
        <v>72</v>
      </c>
      <c r="E504">
        <v>853116</v>
      </c>
      <c r="F504">
        <v>588561</v>
      </c>
      <c r="G504">
        <v>1341209</v>
      </c>
      <c r="H504">
        <v>58221</v>
      </c>
      <c r="I504">
        <v>2758</v>
      </c>
      <c r="J504">
        <v>2880</v>
      </c>
      <c r="K504">
        <f t="shared" si="14"/>
        <v>10.850022342628886</v>
      </c>
      <c r="L504">
        <v>347436</v>
      </c>
      <c r="M504">
        <v>1188201</v>
      </c>
      <c r="N504">
        <f t="shared" si="15"/>
        <v>241.99133077746694</v>
      </c>
      <c r="O504">
        <v>45719</v>
      </c>
      <c r="P504">
        <v>45731</v>
      </c>
      <c r="Q504" t="s">
        <v>21</v>
      </c>
    </row>
    <row r="505" spans="1:17" x14ac:dyDescent="0.3">
      <c r="A505" t="s">
        <v>556</v>
      </c>
      <c r="B505" t="s">
        <v>53</v>
      </c>
      <c r="C505" t="s">
        <v>43</v>
      </c>
      <c r="D505" t="s">
        <v>58</v>
      </c>
      <c r="E505">
        <v>1857046</v>
      </c>
      <c r="F505">
        <v>1065194</v>
      </c>
      <c r="G505">
        <v>2678175</v>
      </c>
      <c r="H505">
        <v>69272</v>
      </c>
      <c r="I505">
        <v>3915</v>
      </c>
      <c r="J505">
        <v>5461</v>
      </c>
      <c r="K505">
        <f t="shared" si="14"/>
        <v>7.3834437670508848</v>
      </c>
      <c r="L505">
        <v>347293</v>
      </c>
      <c r="M505">
        <v>769885</v>
      </c>
      <c r="N505">
        <f t="shared" si="15"/>
        <v>121.68169240382041</v>
      </c>
      <c r="O505">
        <v>46140</v>
      </c>
      <c r="P505">
        <v>46158</v>
      </c>
      <c r="Q505" t="s">
        <v>25</v>
      </c>
    </row>
    <row r="506" spans="1:17" x14ac:dyDescent="0.3">
      <c r="A506" t="s">
        <v>557</v>
      </c>
      <c r="B506" t="s">
        <v>49</v>
      </c>
      <c r="C506" t="s">
        <v>19</v>
      </c>
      <c r="D506" t="s">
        <v>20</v>
      </c>
      <c r="E506">
        <v>775465</v>
      </c>
      <c r="F506">
        <v>444310</v>
      </c>
      <c r="G506">
        <v>595796</v>
      </c>
      <c r="H506">
        <v>22306</v>
      </c>
      <c r="I506">
        <v>863</v>
      </c>
      <c r="J506">
        <v>888</v>
      </c>
      <c r="K506">
        <f t="shared" si="14"/>
        <v>5.4144628750196935</v>
      </c>
      <c r="L506">
        <v>58309</v>
      </c>
      <c r="M506">
        <v>165447</v>
      </c>
      <c r="N506">
        <f t="shared" si="15"/>
        <v>183.74178943216313</v>
      </c>
      <c r="O506">
        <v>45725</v>
      </c>
      <c r="P506">
        <v>45747</v>
      </c>
      <c r="Q506" t="s">
        <v>41</v>
      </c>
    </row>
    <row r="507" spans="1:17" x14ac:dyDescent="0.3">
      <c r="A507" t="s">
        <v>558</v>
      </c>
      <c r="B507" t="s">
        <v>103</v>
      </c>
      <c r="C507" t="s">
        <v>19</v>
      </c>
      <c r="D507" t="s">
        <v>51</v>
      </c>
      <c r="E507">
        <v>773381</v>
      </c>
      <c r="F507">
        <v>318112</v>
      </c>
      <c r="G507">
        <v>933848</v>
      </c>
      <c r="H507">
        <v>8305</v>
      </c>
      <c r="I507">
        <v>458</v>
      </c>
      <c r="J507">
        <v>478</v>
      </c>
      <c r="K507">
        <f t="shared" si="14"/>
        <v>2.904951715119203</v>
      </c>
      <c r="L507">
        <v>52362</v>
      </c>
      <c r="M507">
        <v>140961</v>
      </c>
      <c r="N507">
        <f t="shared" si="15"/>
        <v>169.20476681562965</v>
      </c>
      <c r="O507">
        <v>45685</v>
      </c>
      <c r="P507">
        <v>45711</v>
      </c>
      <c r="Q507" t="s">
        <v>78</v>
      </c>
    </row>
    <row r="508" spans="1:17" x14ac:dyDescent="0.3">
      <c r="A508" t="s">
        <v>559</v>
      </c>
      <c r="B508" t="s">
        <v>32</v>
      </c>
      <c r="C508" t="s">
        <v>33</v>
      </c>
      <c r="D508" t="s">
        <v>29</v>
      </c>
      <c r="E508">
        <v>402618</v>
      </c>
      <c r="F508">
        <v>251040</v>
      </c>
      <c r="G508">
        <v>372067</v>
      </c>
      <c r="H508">
        <v>23767</v>
      </c>
      <c r="I508">
        <v>1225</v>
      </c>
      <c r="J508">
        <v>676</v>
      </c>
      <c r="K508">
        <f t="shared" si="14"/>
        <v>10.224665391969408</v>
      </c>
      <c r="L508">
        <v>284615</v>
      </c>
      <c r="M508">
        <v>1356451</v>
      </c>
      <c r="N508">
        <f t="shared" si="15"/>
        <v>376.59153593450799</v>
      </c>
      <c r="O508">
        <v>45842</v>
      </c>
      <c r="P508">
        <v>45867</v>
      </c>
      <c r="Q508" t="s">
        <v>21</v>
      </c>
    </row>
    <row r="509" spans="1:17" x14ac:dyDescent="0.3">
      <c r="A509" t="s">
        <v>560</v>
      </c>
      <c r="B509" t="s">
        <v>57</v>
      </c>
      <c r="C509" t="s">
        <v>43</v>
      </c>
      <c r="D509" t="s">
        <v>24</v>
      </c>
      <c r="E509">
        <v>1016243</v>
      </c>
      <c r="F509">
        <v>476543</v>
      </c>
      <c r="G509">
        <v>1362152</v>
      </c>
      <c r="H509">
        <v>48265</v>
      </c>
      <c r="I509">
        <v>2808</v>
      </c>
      <c r="J509">
        <v>4053</v>
      </c>
      <c r="K509">
        <f t="shared" si="14"/>
        <v>11.567896286379193</v>
      </c>
      <c r="L509">
        <v>121471</v>
      </c>
      <c r="M509">
        <v>464817</v>
      </c>
      <c r="N509">
        <f t="shared" si="15"/>
        <v>282.6567658124161</v>
      </c>
      <c r="O509">
        <v>45753</v>
      </c>
      <c r="P509">
        <v>45777</v>
      </c>
      <c r="Q509" t="s">
        <v>41</v>
      </c>
    </row>
    <row r="510" spans="1:17" x14ac:dyDescent="0.3">
      <c r="A510" t="s">
        <v>561</v>
      </c>
      <c r="B510" t="s">
        <v>39</v>
      </c>
      <c r="C510" t="s">
        <v>33</v>
      </c>
      <c r="D510" t="s">
        <v>58</v>
      </c>
      <c r="E510">
        <v>1664529</v>
      </c>
      <c r="F510">
        <v>1278260</v>
      </c>
      <c r="G510">
        <v>3672474</v>
      </c>
      <c r="H510">
        <v>67625</v>
      </c>
      <c r="I510">
        <v>8440</v>
      </c>
      <c r="J510">
        <v>6124</v>
      </c>
      <c r="K510">
        <f t="shared" si="14"/>
        <v>6.4297560746639961</v>
      </c>
      <c r="L510">
        <v>127050</v>
      </c>
      <c r="M510">
        <v>297956</v>
      </c>
      <c r="N510">
        <f t="shared" si="15"/>
        <v>134.51869342778434</v>
      </c>
      <c r="O510">
        <v>46042</v>
      </c>
      <c r="P510">
        <v>46055</v>
      </c>
      <c r="Q510" t="s">
        <v>30</v>
      </c>
    </row>
    <row r="511" spans="1:17" x14ac:dyDescent="0.3">
      <c r="A511" t="s">
        <v>562</v>
      </c>
      <c r="B511" t="s">
        <v>39</v>
      </c>
      <c r="C511" t="s">
        <v>37</v>
      </c>
      <c r="D511" t="s">
        <v>58</v>
      </c>
      <c r="E511">
        <v>540879</v>
      </c>
      <c r="F511">
        <v>474214</v>
      </c>
      <c r="G511">
        <v>1102260</v>
      </c>
      <c r="H511">
        <v>50883</v>
      </c>
      <c r="I511">
        <v>4294</v>
      </c>
      <c r="J511">
        <v>2999</v>
      </c>
      <c r="K511">
        <f t="shared" si="14"/>
        <v>12.267879058821544</v>
      </c>
      <c r="L511">
        <v>70498</v>
      </c>
      <c r="M511">
        <v>297519</v>
      </c>
      <c r="N511">
        <f t="shared" si="15"/>
        <v>322.024738290448</v>
      </c>
      <c r="O511">
        <v>46072</v>
      </c>
      <c r="P511">
        <v>46079</v>
      </c>
      <c r="Q511" t="s">
        <v>78</v>
      </c>
    </row>
    <row r="512" spans="1:17" x14ac:dyDescent="0.3">
      <c r="A512" t="s">
        <v>563</v>
      </c>
      <c r="B512" t="s">
        <v>53</v>
      </c>
      <c r="C512" t="s">
        <v>28</v>
      </c>
      <c r="D512" t="s">
        <v>40</v>
      </c>
      <c r="E512">
        <v>1166908</v>
      </c>
      <c r="F512">
        <v>681894</v>
      </c>
      <c r="G512">
        <v>1778608</v>
      </c>
      <c r="H512">
        <v>14496</v>
      </c>
      <c r="I512">
        <v>1868</v>
      </c>
      <c r="J512">
        <v>541</v>
      </c>
      <c r="K512">
        <f t="shared" si="14"/>
        <v>2.4791243213754628</v>
      </c>
      <c r="L512">
        <v>360605</v>
      </c>
      <c r="M512">
        <v>1506142</v>
      </c>
      <c r="N512">
        <f t="shared" si="15"/>
        <v>317.67085869580291</v>
      </c>
      <c r="O512">
        <v>46103</v>
      </c>
      <c r="P512">
        <v>46130</v>
      </c>
      <c r="Q512" t="s">
        <v>25</v>
      </c>
    </row>
    <row r="513" spans="1:17" x14ac:dyDescent="0.3">
      <c r="A513" t="s">
        <v>564</v>
      </c>
      <c r="B513" t="s">
        <v>53</v>
      </c>
      <c r="C513" t="s">
        <v>37</v>
      </c>
      <c r="D513" t="s">
        <v>40</v>
      </c>
      <c r="E513">
        <v>425468</v>
      </c>
      <c r="F513">
        <v>323659</v>
      </c>
      <c r="G513">
        <v>942141</v>
      </c>
      <c r="H513">
        <v>23818</v>
      </c>
      <c r="I513">
        <v>3075</v>
      </c>
      <c r="J513">
        <v>1491</v>
      </c>
      <c r="K513">
        <f t="shared" si="14"/>
        <v>8.7697236906744447</v>
      </c>
      <c r="L513">
        <v>189783</v>
      </c>
      <c r="M513">
        <v>607403</v>
      </c>
      <c r="N513">
        <f t="shared" si="15"/>
        <v>220.05132177276155</v>
      </c>
      <c r="O513">
        <v>45862</v>
      </c>
      <c r="P513">
        <v>45875</v>
      </c>
      <c r="Q513" t="s">
        <v>78</v>
      </c>
    </row>
    <row r="514" spans="1:17" x14ac:dyDescent="0.3">
      <c r="A514" t="s">
        <v>565</v>
      </c>
      <c r="B514" t="s">
        <v>49</v>
      </c>
      <c r="C514" t="s">
        <v>43</v>
      </c>
      <c r="D514" t="s">
        <v>46</v>
      </c>
      <c r="E514">
        <v>1073485</v>
      </c>
      <c r="F514">
        <v>626287</v>
      </c>
      <c r="G514">
        <v>1638739</v>
      </c>
      <c r="H514">
        <v>44834</v>
      </c>
      <c r="I514">
        <v>1647</v>
      </c>
      <c r="J514">
        <v>1389</v>
      </c>
      <c r="K514">
        <f t="shared" ref="K514:K577" si="16">((H514+I514+J514)/F514)*100</f>
        <v>7.643460585961388</v>
      </c>
      <c r="L514">
        <v>443993</v>
      </c>
      <c r="M514">
        <v>744220</v>
      </c>
      <c r="N514">
        <f t="shared" ref="N514:N577" si="17">((M514-L514)/L514)*100</f>
        <v>67.619759770987372</v>
      </c>
      <c r="O514">
        <v>45933</v>
      </c>
      <c r="P514">
        <v>45958</v>
      </c>
      <c r="Q514" t="s">
        <v>30</v>
      </c>
    </row>
    <row r="515" spans="1:17" x14ac:dyDescent="0.3">
      <c r="A515" t="s">
        <v>566</v>
      </c>
      <c r="B515" t="s">
        <v>36</v>
      </c>
      <c r="C515" t="s">
        <v>37</v>
      </c>
      <c r="D515" t="s">
        <v>46</v>
      </c>
      <c r="E515">
        <v>1594564</v>
      </c>
      <c r="F515">
        <v>491556</v>
      </c>
      <c r="G515">
        <v>676425</v>
      </c>
      <c r="H515">
        <v>18981</v>
      </c>
      <c r="I515">
        <v>2782</v>
      </c>
      <c r="J515">
        <v>1841</v>
      </c>
      <c r="K515">
        <f t="shared" si="16"/>
        <v>4.8018943925005493</v>
      </c>
      <c r="L515">
        <v>498571</v>
      </c>
      <c r="M515">
        <v>1215440</v>
      </c>
      <c r="N515">
        <f t="shared" si="17"/>
        <v>143.78473677771069</v>
      </c>
      <c r="O515">
        <v>46104</v>
      </c>
      <c r="P515">
        <v>46124</v>
      </c>
      <c r="Q515" t="s">
        <v>47</v>
      </c>
    </row>
    <row r="516" spans="1:17" x14ac:dyDescent="0.3">
      <c r="A516" t="s">
        <v>567</v>
      </c>
      <c r="B516" t="s">
        <v>75</v>
      </c>
      <c r="C516" t="s">
        <v>33</v>
      </c>
      <c r="D516" t="s">
        <v>51</v>
      </c>
      <c r="E516">
        <v>1036955</v>
      </c>
      <c r="F516">
        <v>861327</v>
      </c>
      <c r="G516">
        <v>1980134</v>
      </c>
      <c r="H516">
        <v>90798</v>
      </c>
      <c r="I516">
        <v>9300</v>
      </c>
      <c r="J516">
        <v>3917</v>
      </c>
      <c r="K516">
        <f t="shared" si="16"/>
        <v>12.076133686741505</v>
      </c>
      <c r="L516">
        <v>274091</v>
      </c>
      <c r="M516">
        <v>1244869</v>
      </c>
      <c r="N516">
        <f t="shared" si="17"/>
        <v>354.18091071943263</v>
      </c>
      <c r="O516">
        <v>45977</v>
      </c>
      <c r="P516">
        <v>45989</v>
      </c>
      <c r="Q516" t="s">
        <v>78</v>
      </c>
    </row>
    <row r="517" spans="1:17" x14ac:dyDescent="0.3">
      <c r="A517" t="s">
        <v>568</v>
      </c>
      <c r="B517" t="s">
        <v>36</v>
      </c>
      <c r="C517" t="s">
        <v>19</v>
      </c>
      <c r="D517" t="s">
        <v>46</v>
      </c>
      <c r="E517">
        <v>1035488</v>
      </c>
      <c r="F517">
        <v>729305</v>
      </c>
      <c r="G517">
        <v>1000483</v>
      </c>
      <c r="H517">
        <v>64997</v>
      </c>
      <c r="I517">
        <v>6086</v>
      </c>
      <c r="J517">
        <v>3609</v>
      </c>
      <c r="K517">
        <f t="shared" si="16"/>
        <v>10.241531320915117</v>
      </c>
      <c r="L517">
        <v>188850</v>
      </c>
      <c r="M517">
        <v>820924</v>
      </c>
      <c r="N517">
        <f t="shared" si="17"/>
        <v>334.69631983055336</v>
      </c>
      <c r="O517">
        <v>45840</v>
      </c>
      <c r="P517">
        <v>45870</v>
      </c>
      <c r="Q517" t="s">
        <v>34</v>
      </c>
    </row>
    <row r="518" spans="1:17" x14ac:dyDescent="0.3">
      <c r="A518" t="s">
        <v>569</v>
      </c>
      <c r="B518" t="s">
        <v>57</v>
      </c>
      <c r="C518" t="s">
        <v>43</v>
      </c>
      <c r="D518" t="s">
        <v>51</v>
      </c>
      <c r="E518">
        <v>1684850</v>
      </c>
      <c r="F518">
        <v>513138</v>
      </c>
      <c r="G518">
        <v>1282292</v>
      </c>
      <c r="H518">
        <v>15920</v>
      </c>
      <c r="I518">
        <v>2219</v>
      </c>
      <c r="J518">
        <v>1049</v>
      </c>
      <c r="K518">
        <f t="shared" si="16"/>
        <v>3.7393449715281268</v>
      </c>
      <c r="L518">
        <v>186734</v>
      </c>
      <c r="M518">
        <v>341522</v>
      </c>
      <c r="N518">
        <f t="shared" si="17"/>
        <v>82.892242441119464</v>
      </c>
      <c r="O518">
        <v>45842</v>
      </c>
      <c r="P518">
        <v>45867</v>
      </c>
      <c r="Q518" t="s">
        <v>25</v>
      </c>
    </row>
    <row r="519" spans="1:17" x14ac:dyDescent="0.3">
      <c r="A519" t="s">
        <v>570</v>
      </c>
      <c r="B519" t="s">
        <v>39</v>
      </c>
      <c r="C519" t="s">
        <v>33</v>
      </c>
      <c r="D519" t="s">
        <v>58</v>
      </c>
      <c r="E519">
        <v>1149229</v>
      </c>
      <c r="F519">
        <v>835302</v>
      </c>
      <c r="G519">
        <v>2503103</v>
      </c>
      <c r="H519">
        <v>76359</v>
      </c>
      <c r="I519">
        <v>2789</v>
      </c>
      <c r="J519">
        <v>6386</v>
      </c>
      <c r="K519">
        <f t="shared" si="16"/>
        <v>10.239889285551811</v>
      </c>
      <c r="L519">
        <v>30889</v>
      </c>
      <c r="M519">
        <v>85376</v>
      </c>
      <c r="N519">
        <f t="shared" si="17"/>
        <v>176.39612807148174</v>
      </c>
      <c r="O519">
        <v>45696</v>
      </c>
      <c r="P519">
        <v>45724</v>
      </c>
      <c r="Q519" t="s">
        <v>47</v>
      </c>
    </row>
    <row r="520" spans="1:17" x14ac:dyDescent="0.3">
      <c r="A520" t="s">
        <v>571</v>
      </c>
      <c r="B520" t="s">
        <v>36</v>
      </c>
      <c r="C520" t="s">
        <v>28</v>
      </c>
      <c r="D520" t="s">
        <v>58</v>
      </c>
      <c r="E520">
        <v>1032015</v>
      </c>
      <c r="F520">
        <v>613017</v>
      </c>
      <c r="G520">
        <v>953984</v>
      </c>
      <c r="H520">
        <v>78107</v>
      </c>
      <c r="I520">
        <v>5002</v>
      </c>
      <c r="J520">
        <v>7511</v>
      </c>
      <c r="K520">
        <f t="shared" si="16"/>
        <v>14.782624299162991</v>
      </c>
      <c r="L520">
        <v>371102</v>
      </c>
      <c r="M520">
        <v>1579110</v>
      </c>
      <c r="N520">
        <f t="shared" si="17"/>
        <v>325.51912951156288</v>
      </c>
      <c r="O520">
        <v>45844</v>
      </c>
      <c r="P520">
        <v>45853</v>
      </c>
      <c r="Q520" t="s">
        <v>41</v>
      </c>
    </row>
    <row r="521" spans="1:17" x14ac:dyDescent="0.3">
      <c r="A521" t="s">
        <v>572</v>
      </c>
      <c r="B521" t="s">
        <v>61</v>
      </c>
      <c r="C521" t="s">
        <v>33</v>
      </c>
      <c r="D521" t="s">
        <v>29</v>
      </c>
      <c r="E521">
        <v>731407</v>
      </c>
      <c r="F521">
        <v>473565</v>
      </c>
      <c r="G521">
        <v>696886</v>
      </c>
      <c r="H521">
        <v>39489</v>
      </c>
      <c r="I521">
        <v>3786</v>
      </c>
      <c r="J521">
        <v>1319</v>
      </c>
      <c r="K521">
        <f t="shared" si="16"/>
        <v>9.4166587480071371</v>
      </c>
      <c r="L521">
        <v>406689</v>
      </c>
      <c r="M521">
        <v>764254</v>
      </c>
      <c r="N521">
        <f t="shared" si="17"/>
        <v>87.920991224252447</v>
      </c>
      <c r="O521">
        <v>45959</v>
      </c>
      <c r="P521">
        <v>45979</v>
      </c>
      <c r="Q521" t="s">
        <v>78</v>
      </c>
    </row>
    <row r="522" spans="1:17" x14ac:dyDescent="0.3">
      <c r="A522" t="s">
        <v>573</v>
      </c>
      <c r="B522" t="s">
        <v>23</v>
      </c>
      <c r="C522" t="s">
        <v>28</v>
      </c>
      <c r="D522" t="s">
        <v>58</v>
      </c>
      <c r="E522">
        <v>336606</v>
      </c>
      <c r="F522">
        <v>179952</v>
      </c>
      <c r="G522">
        <v>426380</v>
      </c>
      <c r="H522">
        <v>14569</v>
      </c>
      <c r="I522">
        <v>1718</v>
      </c>
      <c r="J522">
        <v>672</v>
      </c>
      <c r="K522">
        <f t="shared" si="16"/>
        <v>9.4241797812750061</v>
      </c>
      <c r="L522">
        <v>482103</v>
      </c>
      <c r="M522">
        <v>560486</v>
      </c>
      <c r="N522">
        <f t="shared" si="17"/>
        <v>16.258558855680221</v>
      </c>
      <c r="O522">
        <v>45684</v>
      </c>
      <c r="P522">
        <v>45694</v>
      </c>
      <c r="Q522" t="s">
        <v>78</v>
      </c>
    </row>
    <row r="523" spans="1:17" x14ac:dyDescent="0.3">
      <c r="A523" t="s">
        <v>574</v>
      </c>
      <c r="B523" t="s">
        <v>53</v>
      </c>
      <c r="C523" t="s">
        <v>43</v>
      </c>
      <c r="D523" t="s">
        <v>51</v>
      </c>
      <c r="E523">
        <v>998899</v>
      </c>
      <c r="F523">
        <v>426387</v>
      </c>
      <c r="G523">
        <v>1026750</v>
      </c>
      <c r="H523">
        <v>9322</v>
      </c>
      <c r="I523">
        <v>779</v>
      </c>
      <c r="J523">
        <v>908</v>
      </c>
      <c r="K523">
        <f t="shared" si="16"/>
        <v>2.581926747297643</v>
      </c>
      <c r="L523">
        <v>438857</v>
      </c>
      <c r="M523">
        <v>503478</v>
      </c>
      <c r="N523">
        <f t="shared" si="17"/>
        <v>14.724842032826183</v>
      </c>
      <c r="O523">
        <v>46086</v>
      </c>
      <c r="P523">
        <v>46114</v>
      </c>
      <c r="Q523" t="s">
        <v>30</v>
      </c>
    </row>
    <row r="524" spans="1:17" x14ac:dyDescent="0.3">
      <c r="A524" t="s">
        <v>575</v>
      </c>
      <c r="B524" t="s">
        <v>23</v>
      </c>
      <c r="C524" t="s">
        <v>37</v>
      </c>
      <c r="D524" t="s">
        <v>20</v>
      </c>
      <c r="E524">
        <v>573971</v>
      </c>
      <c r="F524">
        <v>198599</v>
      </c>
      <c r="G524">
        <v>463080</v>
      </c>
      <c r="H524">
        <v>24957</v>
      </c>
      <c r="I524">
        <v>1248</v>
      </c>
      <c r="J524">
        <v>1784</v>
      </c>
      <c r="K524">
        <f t="shared" si="16"/>
        <v>14.093223027306282</v>
      </c>
      <c r="L524">
        <v>439277</v>
      </c>
      <c r="M524">
        <v>1146566</v>
      </c>
      <c r="N524">
        <f t="shared" si="17"/>
        <v>161.01207210939793</v>
      </c>
      <c r="O524">
        <v>46140</v>
      </c>
      <c r="P524">
        <v>46153</v>
      </c>
      <c r="Q524" t="s">
        <v>78</v>
      </c>
    </row>
    <row r="525" spans="1:17" x14ac:dyDescent="0.3">
      <c r="A525" t="s">
        <v>576</v>
      </c>
      <c r="B525" t="s">
        <v>36</v>
      </c>
      <c r="C525" t="s">
        <v>33</v>
      </c>
      <c r="D525" t="s">
        <v>29</v>
      </c>
      <c r="E525">
        <v>422366</v>
      </c>
      <c r="F525">
        <v>215866</v>
      </c>
      <c r="G525">
        <v>526801</v>
      </c>
      <c r="H525">
        <v>27569</v>
      </c>
      <c r="I525">
        <v>3907</v>
      </c>
      <c r="J525">
        <v>686</v>
      </c>
      <c r="K525">
        <f t="shared" si="16"/>
        <v>14.8990577487886</v>
      </c>
      <c r="L525">
        <v>386538</v>
      </c>
      <c r="M525">
        <v>1914770</v>
      </c>
      <c r="N525">
        <f t="shared" si="17"/>
        <v>395.36397456394974</v>
      </c>
      <c r="O525">
        <v>45843</v>
      </c>
      <c r="P525">
        <v>45863</v>
      </c>
      <c r="Q525" t="s">
        <v>25</v>
      </c>
    </row>
    <row r="526" spans="1:17" x14ac:dyDescent="0.3">
      <c r="A526" t="s">
        <v>577</v>
      </c>
      <c r="B526" t="s">
        <v>32</v>
      </c>
      <c r="C526" t="s">
        <v>28</v>
      </c>
      <c r="D526" t="s">
        <v>51</v>
      </c>
      <c r="E526">
        <v>1747466</v>
      </c>
      <c r="F526">
        <v>662966</v>
      </c>
      <c r="G526">
        <v>1853097</v>
      </c>
      <c r="H526">
        <v>71659</v>
      </c>
      <c r="I526">
        <v>3318</v>
      </c>
      <c r="J526">
        <v>5593</v>
      </c>
      <c r="K526">
        <f t="shared" si="16"/>
        <v>12.152961086993903</v>
      </c>
      <c r="L526">
        <v>480991</v>
      </c>
      <c r="M526">
        <v>1821262</v>
      </c>
      <c r="N526">
        <f t="shared" si="17"/>
        <v>278.6478333274427</v>
      </c>
      <c r="O526">
        <v>45954</v>
      </c>
      <c r="P526">
        <v>45984</v>
      </c>
      <c r="Q526" t="s">
        <v>78</v>
      </c>
    </row>
    <row r="527" spans="1:17" x14ac:dyDescent="0.3">
      <c r="A527" t="s">
        <v>578</v>
      </c>
      <c r="B527" t="s">
        <v>32</v>
      </c>
      <c r="C527" t="s">
        <v>28</v>
      </c>
      <c r="D527" t="s">
        <v>24</v>
      </c>
      <c r="E527">
        <v>301173</v>
      </c>
      <c r="F527">
        <v>163780</v>
      </c>
      <c r="G527">
        <v>196559</v>
      </c>
      <c r="H527">
        <v>17959</v>
      </c>
      <c r="I527">
        <v>1915</v>
      </c>
      <c r="J527">
        <v>478</v>
      </c>
      <c r="K527">
        <f t="shared" si="16"/>
        <v>12.426425693002809</v>
      </c>
      <c r="L527">
        <v>37006</v>
      </c>
      <c r="M527">
        <v>139766</v>
      </c>
      <c r="N527">
        <f t="shared" si="17"/>
        <v>277.68469977841431</v>
      </c>
      <c r="O527">
        <v>45837</v>
      </c>
      <c r="P527">
        <v>45855</v>
      </c>
      <c r="Q527" t="s">
        <v>41</v>
      </c>
    </row>
    <row r="528" spans="1:17" x14ac:dyDescent="0.3">
      <c r="A528" t="s">
        <v>579</v>
      </c>
      <c r="B528" t="s">
        <v>36</v>
      </c>
      <c r="C528" t="s">
        <v>19</v>
      </c>
      <c r="D528" t="s">
        <v>24</v>
      </c>
      <c r="E528">
        <v>1189385</v>
      </c>
      <c r="F528">
        <v>441681</v>
      </c>
      <c r="G528">
        <v>949830</v>
      </c>
      <c r="H528">
        <v>44808</v>
      </c>
      <c r="I528">
        <v>6019</v>
      </c>
      <c r="J528">
        <v>2203</v>
      </c>
      <c r="K528">
        <f t="shared" si="16"/>
        <v>12.006402811078583</v>
      </c>
      <c r="L528">
        <v>209986</v>
      </c>
      <c r="M528">
        <v>1011241</v>
      </c>
      <c r="N528">
        <f t="shared" si="17"/>
        <v>381.57543836255752</v>
      </c>
      <c r="O528">
        <v>46050</v>
      </c>
      <c r="P528">
        <v>46080</v>
      </c>
      <c r="Q528" t="s">
        <v>54</v>
      </c>
    </row>
    <row r="529" spans="1:17" x14ac:dyDescent="0.3">
      <c r="A529" t="s">
        <v>580</v>
      </c>
      <c r="B529" t="s">
        <v>63</v>
      </c>
      <c r="C529" t="s">
        <v>19</v>
      </c>
      <c r="D529" t="s">
        <v>58</v>
      </c>
      <c r="E529">
        <v>881857</v>
      </c>
      <c r="F529">
        <v>659501</v>
      </c>
      <c r="G529">
        <v>1091494</v>
      </c>
      <c r="H529">
        <v>22806</v>
      </c>
      <c r="I529">
        <v>1105</v>
      </c>
      <c r="J529">
        <v>797</v>
      </c>
      <c r="K529">
        <f t="shared" si="16"/>
        <v>3.7464689211995132</v>
      </c>
      <c r="L529">
        <v>93531</v>
      </c>
      <c r="M529">
        <v>371763</v>
      </c>
      <c r="N529">
        <f t="shared" si="17"/>
        <v>297.47570324277513</v>
      </c>
      <c r="O529">
        <v>46158</v>
      </c>
      <c r="P529">
        <v>46172</v>
      </c>
      <c r="Q529" t="s">
        <v>30</v>
      </c>
    </row>
    <row r="530" spans="1:17" x14ac:dyDescent="0.3">
      <c r="A530" t="s">
        <v>581</v>
      </c>
      <c r="B530" t="s">
        <v>39</v>
      </c>
      <c r="C530" t="s">
        <v>43</v>
      </c>
      <c r="D530" t="s">
        <v>58</v>
      </c>
      <c r="E530">
        <v>927735</v>
      </c>
      <c r="F530">
        <v>599842</v>
      </c>
      <c r="G530">
        <v>1426204</v>
      </c>
      <c r="H530">
        <v>83098</v>
      </c>
      <c r="I530">
        <v>9774</v>
      </c>
      <c r="J530">
        <v>3128</v>
      </c>
      <c r="K530">
        <f t="shared" si="16"/>
        <v>16.004214443136693</v>
      </c>
      <c r="L530">
        <v>414175</v>
      </c>
      <c r="M530">
        <v>1810106</v>
      </c>
      <c r="N530">
        <f t="shared" si="17"/>
        <v>337.03893281825316</v>
      </c>
      <c r="O530">
        <v>46092</v>
      </c>
      <c r="P530">
        <v>46101</v>
      </c>
      <c r="Q530" t="s">
        <v>47</v>
      </c>
    </row>
    <row r="531" spans="1:17" x14ac:dyDescent="0.3">
      <c r="A531" t="s">
        <v>582</v>
      </c>
      <c r="B531" t="s">
        <v>23</v>
      </c>
      <c r="C531" t="s">
        <v>28</v>
      </c>
      <c r="D531" t="s">
        <v>46</v>
      </c>
      <c r="E531">
        <v>1151264</v>
      </c>
      <c r="F531">
        <v>466187</v>
      </c>
      <c r="G531">
        <v>597072</v>
      </c>
      <c r="H531">
        <v>69657</v>
      </c>
      <c r="I531">
        <v>3515</v>
      </c>
      <c r="J531">
        <v>4452</v>
      </c>
      <c r="K531">
        <f t="shared" si="16"/>
        <v>16.650828959194484</v>
      </c>
      <c r="L531">
        <v>317023</v>
      </c>
      <c r="M531">
        <v>650714</v>
      </c>
      <c r="N531">
        <f t="shared" si="17"/>
        <v>105.25766269324308</v>
      </c>
      <c r="O531">
        <v>46047</v>
      </c>
      <c r="P531">
        <v>46063</v>
      </c>
      <c r="Q531" t="s">
        <v>30</v>
      </c>
    </row>
    <row r="532" spans="1:17" x14ac:dyDescent="0.3">
      <c r="A532" t="s">
        <v>583</v>
      </c>
      <c r="B532" t="s">
        <v>18</v>
      </c>
      <c r="C532" t="s">
        <v>43</v>
      </c>
      <c r="D532" t="s">
        <v>51</v>
      </c>
      <c r="E532">
        <v>1730639</v>
      </c>
      <c r="F532">
        <v>1093560</v>
      </c>
      <c r="G532">
        <v>2315363</v>
      </c>
      <c r="H532">
        <v>150885</v>
      </c>
      <c r="I532">
        <v>14163</v>
      </c>
      <c r="J532">
        <v>12241</v>
      </c>
      <c r="K532">
        <f t="shared" si="16"/>
        <v>16.212096272723947</v>
      </c>
      <c r="L532">
        <v>217615</v>
      </c>
      <c r="M532">
        <v>1061389</v>
      </c>
      <c r="N532">
        <f t="shared" si="17"/>
        <v>387.73705856673485</v>
      </c>
      <c r="O532">
        <v>45829</v>
      </c>
      <c r="P532">
        <v>45840</v>
      </c>
      <c r="Q532" t="s">
        <v>30</v>
      </c>
    </row>
    <row r="533" spans="1:17" x14ac:dyDescent="0.3">
      <c r="A533" t="s">
        <v>584</v>
      </c>
      <c r="B533" t="s">
        <v>49</v>
      </c>
      <c r="C533" t="s">
        <v>37</v>
      </c>
      <c r="D533" t="s">
        <v>20</v>
      </c>
      <c r="E533">
        <v>410586</v>
      </c>
      <c r="F533">
        <v>127649</v>
      </c>
      <c r="G533">
        <v>321552</v>
      </c>
      <c r="H533">
        <v>2577</v>
      </c>
      <c r="I533">
        <v>81</v>
      </c>
      <c r="J533">
        <v>75</v>
      </c>
      <c r="K533">
        <f t="shared" si="16"/>
        <v>2.1410273484320284</v>
      </c>
      <c r="L533">
        <v>363157</v>
      </c>
      <c r="M533">
        <v>611093</v>
      </c>
      <c r="N533">
        <f t="shared" si="17"/>
        <v>68.272400091420522</v>
      </c>
      <c r="O533">
        <v>46028</v>
      </c>
      <c r="P533">
        <v>46044</v>
      </c>
      <c r="Q533" t="s">
        <v>78</v>
      </c>
    </row>
    <row r="534" spans="1:17" x14ac:dyDescent="0.3">
      <c r="A534" t="s">
        <v>585</v>
      </c>
      <c r="B534" t="s">
        <v>75</v>
      </c>
      <c r="C534" t="s">
        <v>43</v>
      </c>
      <c r="D534" t="s">
        <v>24</v>
      </c>
      <c r="E534">
        <v>193377</v>
      </c>
      <c r="F534">
        <v>88367</v>
      </c>
      <c r="G534">
        <v>104265</v>
      </c>
      <c r="H534">
        <v>2893</v>
      </c>
      <c r="I534">
        <v>109</v>
      </c>
      <c r="J534">
        <v>91</v>
      </c>
      <c r="K534">
        <f t="shared" si="16"/>
        <v>3.5001754048457006</v>
      </c>
      <c r="L534">
        <v>34565</v>
      </c>
      <c r="M534">
        <v>65506</v>
      </c>
      <c r="N534">
        <f t="shared" si="17"/>
        <v>89.515405757268923</v>
      </c>
      <c r="O534">
        <v>45977</v>
      </c>
      <c r="P534">
        <v>45995</v>
      </c>
      <c r="Q534" t="s">
        <v>47</v>
      </c>
    </row>
    <row r="535" spans="1:17" x14ac:dyDescent="0.3">
      <c r="A535" t="s">
        <v>586</v>
      </c>
      <c r="B535" t="s">
        <v>75</v>
      </c>
      <c r="C535" t="s">
        <v>33</v>
      </c>
      <c r="D535" t="s">
        <v>72</v>
      </c>
      <c r="E535">
        <v>1608882</v>
      </c>
      <c r="F535">
        <v>971774</v>
      </c>
      <c r="G535">
        <v>2914808</v>
      </c>
      <c r="H535">
        <v>103261</v>
      </c>
      <c r="I535">
        <v>4386</v>
      </c>
      <c r="J535">
        <v>8446</v>
      </c>
      <c r="K535">
        <f t="shared" si="16"/>
        <v>11.946501964448524</v>
      </c>
      <c r="L535">
        <v>389928</v>
      </c>
      <c r="M535">
        <v>1474442</v>
      </c>
      <c r="N535">
        <f t="shared" si="17"/>
        <v>278.13186024086497</v>
      </c>
      <c r="O535">
        <v>45675</v>
      </c>
      <c r="P535">
        <v>45705</v>
      </c>
      <c r="Q535" t="s">
        <v>34</v>
      </c>
    </row>
    <row r="536" spans="1:17" x14ac:dyDescent="0.3">
      <c r="A536" t="s">
        <v>587</v>
      </c>
      <c r="B536" t="s">
        <v>80</v>
      </c>
      <c r="C536" t="s">
        <v>37</v>
      </c>
      <c r="D536" t="s">
        <v>46</v>
      </c>
      <c r="E536">
        <v>1539155</v>
      </c>
      <c r="F536">
        <v>1283313</v>
      </c>
      <c r="G536">
        <v>2161595</v>
      </c>
      <c r="H536">
        <v>156883</v>
      </c>
      <c r="I536">
        <v>13454</v>
      </c>
      <c r="J536">
        <v>6600</v>
      </c>
      <c r="K536">
        <f t="shared" si="16"/>
        <v>13.787517152869174</v>
      </c>
      <c r="L536">
        <v>34297</v>
      </c>
      <c r="M536">
        <v>139170</v>
      </c>
      <c r="N536">
        <f t="shared" si="17"/>
        <v>305.77893110184561</v>
      </c>
      <c r="O536">
        <v>46023</v>
      </c>
      <c r="P536">
        <v>46038</v>
      </c>
      <c r="Q536" t="s">
        <v>25</v>
      </c>
    </row>
    <row r="537" spans="1:17" x14ac:dyDescent="0.3">
      <c r="A537" t="s">
        <v>588</v>
      </c>
      <c r="B537" t="s">
        <v>57</v>
      </c>
      <c r="C537" t="s">
        <v>28</v>
      </c>
      <c r="D537" t="s">
        <v>51</v>
      </c>
      <c r="E537">
        <v>1232596</v>
      </c>
      <c r="F537">
        <v>884954</v>
      </c>
      <c r="G537">
        <v>1588827</v>
      </c>
      <c r="H537">
        <v>54203</v>
      </c>
      <c r="I537">
        <v>5476</v>
      </c>
      <c r="J537">
        <v>3677</v>
      </c>
      <c r="K537">
        <f t="shared" si="16"/>
        <v>7.1592421752995072</v>
      </c>
      <c r="L537">
        <v>334797</v>
      </c>
      <c r="M537">
        <v>850362</v>
      </c>
      <c r="N537">
        <f t="shared" si="17"/>
        <v>153.99331535228811</v>
      </c>
      <c r="O537">
        <v>46103</v>
      </c>
      <c r="P537">
        <v>46127</v>
      </c>
      <c r="Q537" t="s">
        <v>54</v>
      </c>
    </row>
    <row r="538" spans="1:17" x14ac:dyDescent="0.3">
      <c r="A538" t="s">
        <v>589</v>
      </c>
      <c r="B538" t="s">
        <v>49</v>
      </c>
      <c r="C538" t="s">
        <v>19</v>
      </c>
      <c r="D538" t="s">
        <v>51</v>
      </c>
      <c r="E538">
        <v>337944</v>
      </c>
      <c r="F538">
        <v>282087</v>
      </c>
      <c r="G538">
        <v>749822</v>
      </c>
      <c r="H538">
        <v>37389</v>
      </c>
      <c r="I538">
        <v>1336</v>
      </c>
      <c r="J538">
        <v>2637</v>
      </c>
      <c r="K538">
        <f t="shared" si="16"/>
        <v>14.662852240620802</v>
      </c>
      <c r="L538">
        <v>479602</v>
      </c>
      <c r="M538">
        <v>730825</v>
      </c>
      <c r="N538">
        <f t="shared" si="17"/>
        <v>52.381558041876389</v>
      </c>
      <c r="O538">
        <v>46005</v>
      </c>
      <c r="P538">
        <v>46028</v>
      </c>
      <c r="Q538" t="s">
        <v>78</v>
      </c>
    </row>
    <row r="539" spans="1:17" x14ac:dyDescent="0.3">
      <c r="A539" t="s">
        <v>590</v>
      </c>
      <c r="B539" t="s">
        <v>45</v>
      </c>
      <c r="C539" t="s">
        <v>28</v>
      </c>
      <c r="D539" t="s">
        <v>46</v>
      </c>
      <c r="E539">
        <v>1767355</v>
      </c>
      <c r="F539">
        <v>1354758</v>
      </c>
      <c r="G539">
        <v>1733077</v>
      </c>
      <c r="H539">
        <v>88088</v>
      </c>
      <c r="I539">
        <v>6428</v>
      </c>
      <c r="J539">
        <v>1919</v>
      </c>
      <c r="K539">
        <f t="shared" si="16"/>
        <v>7.1182454726231557</v>
      </c>
      <c r="L539">
        <v>360889</v>
      </c>
      <c r="M539">
        <v>1579483</v>
      </c>
      <c r="N539">
        <f t="shared" si="17"/>
        <v>337.66448963531724</v>
      </c>
      <c r="O539">
        <v>45774</v>
      </c>
      <c r="P539">
        <v>45783</v>
      </c>
      <c r="Q539" t="s">
        <v>54</v>
      </c>
    </row>
    <row r="540" spans="1:17" x14ac:dyDescent="0.3">
      <c r="A540" t="s">
        <v>591</v>
      </c>
      <c r="B540" t="s">
        <v>75</v>
      </c>
      <c r="C540" t="s">
        <v>37</v>
      </c>
      <c r="D540" t="s">
        <v>40</v>
      </c>
      <c r="E540">
        <v>530093</v>
      </c>
      <c r="F540">
        <v>383807</v>
      </c>
      <c r="G540">
        <v>1121486</v>
      </c>
      <c r="H540">
        <v>38239</v>
      </c>
      <c r="I540">
        <v>4499</v>
      </c>
      <c r="J540">
        <v>1534</v>
      </c>
      <c r="K540">
        <f t="shared" si="16"/>
        <v>11.534964187729772</v>
      </c>
      <c r="L540">
        <v>493459</v>
      </c>
      <c r="M540">
        <v>2391712</v>
      </c>
      <c r="N540">
        <f t="shared" si="17"/>
        <v>384.6830233109539</v>
      </c>
      <c r="O540">
        <v>45791</v>
      </c>
      <c r="P540">
        <v>45804</v>
      </c>
      <c r="Q540" t="s">
        <v>25</v>
      </c>
    </row>
    <row r="541" spans="1:17" x14ac:dyDescent="0.3">
      <c r="A541" t="s">
        <v>592</v>
      </c>
      <c r="B541" t="s">
        <v>57</v>
      </c>
      <c r="C541" t="s">
        <v>43</v>
      </c>
      <c r="D541" t="s">
        <v>46</v>
      </c>
      <c r="E541">
        <v>488371</v>
      </c>
      <c r="F541">
        <v>305810</v>
      </c>
      <c r="G541">
        <v>516942</v>
      </c>
      <c r="H541">
        <v>21694</v>
      </c>
      <c r="I541">
        <v>971</v>
      </c>
      <c r="J541">
        <v>1859</v>
      </c>
      <c r="K541">
        <f t="shared" si="16"/>
        <v>8.0193584251659527</v>
      </c>
      <c r="L541">
        <v>127620</v>
      </c>
      <c r="M541">
        <v>373426</v>
      </c>
      <c r="N541">
        <f t="shared" si="17"/>
        <v>192.60774173327064</v>
      </c>
      <c r="O541">
        <v>45878</v>
      </c>
      <c r="P541">
        <v>45899</v>
      </c>
      <c r="Q541" t="s">
        <v>47</v>
      </c>
    </row>
    <row r="542" spans="1:17" x14ac:dyDescent="0.3">
      <c r="A542" t="s">
        <v>593</v>
      </c>
      <c r="B542" t="s">
        <v>103</v>
      </c>
      <c r="C542" t="s">
        <v>19</v>
      </c>
      <c r="D542" t="s">
        <v>46</v>
      </c>
      <c r="E542">
        <v>1458827</v>
      </c>
      <c r="F542">
        <v>725376</v>
      </c>
      <c r="G542">
        <v>1030390</v>
      </c>
      <c r="H542">
        <v>66425</v>
      </c>
      <c r="I542">
        <v>5321</v>
      </c>
      <c r="J542">
        <v>4103</v>
      </c>
      <c r="K542">
        <f t="shared" si="16"/>
        <v>10.456508073054527</v>
      </c>
      <c r="L542">
        <v>122988</v>
      </c>
      <c r="M542">
        <v>407607</v>
      </c>
      <c r="N542">
        <f t="shared" si="17"/>
        <v>231.42013855010245</v>
      </c>
      <c r="O542">
        <v>45790</v>
      </c>
      <c r="P542">
        <v>45819</v>
      </c>
      <c r="Q542" t="s">
        <v>54</v>
      </c>
    </row>
    <row r="543" spans="1:17" x14ac:dyDescent="0.3">
      <c r="A543" t="s">
        <v>594</v>
      </c>
      <c r="B543" t="s">
        <v>36</v>
      </c>
      <c r="C543" t="s">
        <v>19</v>
      </c>
      <c r="D543" t="s">
        <v>58</v>
      </c>
      <c r="E543">
        <v>1636494</v>
      </c>
      <c r="F543">
        <v>631693</v>
      </c>
      <c r="G543">
        <v>1044766</v>
      </c>
      <c r="H543">
        <v>37589</v>
      </c>
      <c r="I543">
        <v>2988</v>
      </c>
      <c r="J543">
        <v>997</v>
      </c>
      <c r="K543">
        <f t="shared" si="16"/>
        <v>6.581361515799605</v>
      </c>
      <c r="L543">
        <v>143538</v>
      </c>
      <c r="M543">
        <v>319114</v>
      </c>
      <c r="N543">
        <f t="shared" si="17"/>
        <v>122.32022182279256</v>
      </c>
      <c r="O543">
        <v>46049</v>
      </c>
      <c r="P543">
        <v>46068</v>
      </c>
      <c r="Q543" t="s">
        <v>41</v>
      </c>
    </row>
    <row r="544" spans="1:17" x14ac:dyDescent="0.3">
      <c r="A544" t="s">
        <v>595</v>
      </c>
      <c r="B544" t="s">
        <v>57</v>
      </c>
      <c r="C544" t="s">
        <v>33</v>
      </c>
      <c r="D544" t="s">
        <v>72</v>
      </c>
      <c r="E544">
        <v>1412937</v>
      </c>
      <c r="F544">
        <v>510498</v>
      </c>
      <c r="G544">
        <v>1389163</v>
      </c>
      <c r="H544">
        <v>74708</v>
      </c>
      <c r="I544">
        <v>4235</v>
      </c>
      <c r="J544">
        <v>6011</v>
      </c>
      <c r="K544">
        <f t="shared" si="16"/>
        <v>16.641397223887264</v>
      </c>
      <c r="L544">
        <v>112704</v>
      </c>
      <c r="M544">
        <v>503541</v>
      </c>
      <c r="N544">
        <f t="shared" si="17"/>
        <v>346.78183560476998</v>
      </c>
      <c r="O544">
        <v>45765</v>
      </c>
      <c r="P544">
        <v>45782</v>
      </c>
      <c r="Q544" t="s">
        <v>54</v>
      </c>
    </row>
    <row r="545" spans="1:17" x14ac:dyDescent="0.3">
      <c r="A545" t="s">
        <v>596</v>
      </c>
      <c r="B545" t="s">
        <v>27</v>
      </c>
      <c r="C545" t="s">
        <v>28</v>
      </c>
      <c r="D545" t="s">
        <v>29</v>
      </c>
      <c r="E545">
        <v>914432</v>
      </c>
      <c r="F545">
        <v>659017</v>
      </c>
      <c r="G545">
        <v>1957191</v>
      </c>
      <c r="H545">
        <v>81835</v>
      </c>
      <c r="I545">
        <v>3888</v>
      </c>
      <c r="J545">
        <v>2451</v>
      </c>
      <c r="K545">
        <f t="shared" si="16"/>
        <v>13.379624501340635</v>
      </c>
      <c r="L545">
        <v>32905</v>
      </c>
      <c r="M545">
        <v>60164</v>
      </c>
      <c r="N545">
        <f t="shared" si="17"/>
        <v>82.841513447804289</v>
      </c>
      <c r="O545">
        <v>45723</v>
      </c>
      <c r="P545">
        <v>45751</v>
      </c>
      <c r="Q545" t="s">
        <v>34</v>
      </c>
    </row>
    <row r="546" spans="1:17" x14ac:dyDescent="0.3">
      <c r="A546" t="s">
        <v>597</v>
      </c>
      <c r="B546" t="s">
        <v>63</v>
      </c>
      <c r="C546" t="s">
        <v>37</v>
      </c>
      <c r="D546" t="s">
        <v>20</v>
      </c>
      <c r="E546">
        <v>1795784</v>
      </c>
      <c r="F546">
        <v>1239335</v>
      </c>
      <c r="G546">
        <v>2960997</v>
      </c>
      <c r="H546">
        <v>143445</v>
      </c>
      <c r="I546">
        <v>13603</v>
      </c>
      <c r="J546">
        <v>6605</v>
      </c>
      <c r="K546">
        <f t="shared" si="16"/>
        <v>13.204904243001286</v>
      </c>
      <c r="L546">
        <v>472862</v>
      </c>
      <c r="M546">
        <v>1999765</v>
      </c>
      <c r="N546">
        <f t="shared" si="17"/>
        <v>322.90668313376841</v>
      </c>
      <c r="O546">
        <v>45847</v>
      </c>
      <c r="P546">
        <v>45861</v>
      </c>
      <c r="Q546" t="s">
        <v>21</v>
      </c>
    </row>
    <row r="547" spans="1:17" x14ac:dyDescent="0.3">
      <c r="A547" t="s">
        <v>598</v>
      </c>
      <c r="B547" t="s">
        <v>36</v>
      </c>
      <c r="C547" t="s">
        <v>33</v>
      </c>
      <c r="D547" t="s">
        <v>29</v>
      </c>
      <c r="E547">
        <v>243147</v>
      </c>
      <c r="F547">
        <v>187222</v>
      </c>
      <c r="G547">
        <v>259600</v>
      </c>
      <c r="H547">
        <v>26319</v>
      </c>
      <c r="I547">
        <v>3514</v>
      </c>
      <c r="J547">
        <v>2403</v>
      </c>
      <c r="K547">
        <f t="shared" si="16"/>
        <v>17.218061979895523</v>
      </c>
      <c r="L547">
        <v>278541</v>
      </c>
      <c r="M547">
        <v>452498</v>
      </c>
      <c r="N547">
        <f t="shared" si="17"/>
        <v>62.452924345069484</v>
      </c>
      <c r="O547">
        <v>45986</v>
      </c>
      <c r="P547">
        <v>46015</v>
      </c>
      <c r="Q547" t="s">
        <v>78</v>
      </c>
    </row>
    <row r="548" spans="1:17" x14ac:dyDescent="0.3">
      <c r="A548" t="s">
        <v>599</v>
      </c>
      <c r="B548" t="s">
        <v>18</v>
      </c>
      <c r="C548" t="s">
        <v>37</v>
      </c>
      <c r="D548" t="s">
        <v>29</v>
      </c>
      <c r="E548">
        <v>944674</v>
      </c>
      <c r="F548">
        <v>582490</v>
      </c>
      <c r="G548">
        <v>1596373</v>
      </c>
      <c r="H548">
        <v>73676</v>
      </c>
      <c r="I548">
        <v>7556</v>
      </c>
      <c r="J548">
        <v>3714</v>
      </c>
      <c r="K548">
        <f t="shared" si="16"/>
        <v>14.583254648148467</v>
      </c>
      <c r="L548">
        <v>357581</v>
      </c>
      <c r="M548">
        <v>1311480</v>
      </c>
      <c r="N548">
        <f t="shared" si="17"/>
        <v>266.76445336860741</v>
      </c>
      <c r="O548">
        <v>46100</v>
      </c>
      <c r="P548">
        <v>46117</v>
      </c>
      <c r="Q548" t="s">
        <v>21</v>
      </c>
    </row>
    <row r="549" spans="1:17" x14ac:dyDescent="0.3">
      <c r="A549" t="s">
        <v>600</v>
      </c>
      <c r="B549" t="s">
        <v>49</v>
      </c>
      <c r="C549" t="s">
        <v>37</v>
      </c>
      <c r="D549" t="s">
        <v>40</v>
      </c>
      <c r="E549">
        <v>1283900</v>
      </c>
      <c r="F549">
        <v>864397</v>
      </c>
      <c r="G549">
        <v>2159018</v>
      </c>
      <c r="H549">
        <v>82925</v>
      </c>
      <c r="I549">
        <v>10774</v>
      </c>
      <c r="J549">
        <v>2292</v>
      </c>
      <c r="K549">
        <f t="shared" si="16"/>
        <v>11.104966815016711</v>
      </c>
      <c r="L549">
        <v>30902</v>
      </c>
      <c r="M549">
        <v>92123</v>
      </c>
      <c r="N549">
        <f t="shared" si="17"/>
        <v>198.11339071904729</v>
      </c>
      <c r="O549">
        <v>46098</v>
      </c>
      <c r="P549">
        <v>46122</v>
      </c>
      <c r="Q549" t="s">
        <v>21</v>
      </c>
    </row>
    <row r="550" spans="1:17" x14ac:dyDescent="0.3">
      <c r="A550" t="s">
        <v>601</v>
      </c>
      <c r="B550" t="s">
        <v>103</v>
      </c>
      <c r="C550" t="s">
        <v>28</v>
      </c>
      <c r="D550" t="s">
        <v>46</v>
      </c>
      <c r="E550">
        <v>1565575</v>
      </c>
      <c r="F550">
        <v>663608</v>
      </c>
      <c r="G550">
        <v>1614855</v>
      </c>
      <c r="H550">
        <v>53524</v>
      </c>
      <c r="I550">
        <v>6203</v>
      </c>
      <c r="J550">
        <v>4064</v>
      </c>
      <c r="K550">
        <f t="shared" si="16"/>
        <v>9.6127533121963573</v>
      </c>
      <c r="L550">
        <v>18722</v>
      </c>
      <c r="M550">
        <v>24811</v>
      </c>
      <c r="N550">
        <f t="shared" si="17"/>
        <v>32.523234697147743</v>
      </c>
      <c r="O550">
        <v>45956</v>
      </c>
      <c r="P550">
        <v>45970</v>
      </c>
      <c r="Q550" t="s">
        <v>34</v>
      </c>
    </row>
    <row r="551" spans="1:17" x14ac:dyDescent="0.3">
      <c r="A551" t="s">
        <v>602</v>
      </c>
      <c r="B551" t="s">
        <v>63</v>
      </c>
      <c r="C551" t="s">
        <v>37</v>
      </c>
      <c r="D551" t="s">
        <v>46</v>
      </c>
      <c r="E551">
        <v>1844106</v>
      </c>
      <c r="F551">
        <v>1530399</v>
      </c>
      <c r="G551">
        <v>3523829</v>
      </c>
      <c r="H551">
        <v>140732</v>
      </c>
      <c r="I551">
        <v>13019</v>
      </c>
      <c r="J551">
        <v>11295</v>
      </c>
      <c r="K551">
        <f t="shared" si="16"/>
        <v>10.784507830964344</v>
      </c>
      <c r="L551">
        <v>444832</v>
      </c>
      <c r="M551">
        <v>2029470</v>
      </c>
      <c r="N551">
        <f t="shared" si="17"/>
        <v>356.23291489820878</v>
      </c>
      <c r="O551">
        <v>45780</v>
      </c>
      <c r="P551">
        <v>45790</v>
      </c>
      <c r="Q551" t="s">
        <v>78</v>
      </c>
    </row>
    <row r="552" spans="1:17" x14ac:dyDescent="0.3">
      <c r="A552" t="s">
        <v>603</v>
      </c>
      <c r="B552" t="s">
        <v>23</v>
      </c>
      <c r="C552" t="s">
        <v>37</v>
      </c>
      <c r="D552" t="s">
        <v>58</v>
      </c>
      <c r="E552">
        <v>1603050</v>
      </c>
      <c r="F552">
        <v>615821</v>
      </c>
      <c r="G552">
        <v>1716999</v>
      </c>
      <c r="H552">
        <v>42602</v>
      </c>
      <c r="I552">
        <v>5810</v>
      </c>
      <c r="J552">
        <v>1297</v>
      </c>
      <c r="K552">
        <f t="shared" si="16"/>
        <v>8.0719884511895508</v>
      </c>
      <c r="L552">
        <v>127748</v>
      </c>
      <c r="M552">
        <v>430088</v>
      </c>
      <c r="N552">
        <f t="shared" si="17"/>
        <v>236.66906722610136</v>
      </c>
      <c r="O552">
        <v>45687</v>
      </c>
      <c r="P552">
        <v>45716</v>
      </c>
      <c r="Q552" t="s">
        <v>25</v>
      </c>
    </row>
    <row r="553" spans="1:17" x14ac:dyDescent="0.3">
      <c r="A553" t="s">
        <v>604</v>
      </c>
      <c r="B553" t="s">
        <v>61</v>
      </c>
      <c r="C553" t="s">
        <v>28</v>
      </c>
      <c r="D553" t="s">
        <v>72</v>
      </c>
      <c r="E553">
        <v>1924471</v>
      </c>
      <c r="F553">
        <v>1156182</v>
      </c>
      <c r="G553">
        <v>1736819</v>
      </c>
      <c r="H553">
        <v>35330</v>
      </c>
      <c r="I553">
        <v>4579</v>
      </c>
      <c r="J553">
        <v>1692</v>
      </c>
      <c r="K553">
        <f t="shared" si="16"/>
        <v>3.5981359336159877</v>
      </c>
      <c r="L553">
        <v>223924</v>
      </c>
      <c r="M553">
        <v>751114</v>
      </c>
      <c r="N553">
        <f t="shared" si="17"/>
        <v>235.43255747485756</v>
      </c>
      <c r="O553">
        <v>45937</v>
      </c>
      <c r="P553">
        <v>45967</v>
      </c>
      <c r="Q553" t="s">
        <v>21</v>
      </c>
    </row>
    <row r="554" spans="1:17" x14ac:dyDescent="0.3">
      <c r="A554" t="s">
        <v>605</v>
      </c>
      <c r="B554" t="s">
        <v>53</v>
      </c>
      <c r="C554" t="s">
        <v>19</v>
      </c>
      <c r="D554" t="s">
        <v>40</v>
      </c>
      <c r="E554">
        <v>73966</v>
      </c>
      <c r="F554">
        <v>37806</v>
      </c>
      <c r="G554">
        <v>54545</v>
      </c>
      <c r="H554">
        <v>2486</v>
      </c>
      <c r="I554">
        <v>298</v>
      </c>
      <c r="J554">
        <v>76</v>
      </c>
      <c r="K554">
        <f t="shared" si="16"/>
        <v>7.5649367825212934</v>
      </c>
      <c r="L554">
        <v>334065</v>
      </c>
      <c r="M554">
        <v>760381</v>
      </c>
      <c r="N554">
        <f t="shared" si="17"/>
        <v>127.61468576474637</v>
      </c>
      <c r="O554">
        <v>46053</v>
      </c>
      <c r="P554">
        <v>46081</v>
      </c>
      <c r="Q554" t="s">
        <v>25</v>
      </c>
    </row>
    <row r="555" spans="1:17" x14ac:dyDescent="0.3">
      <c r="A555" t="s">
        <v>606</v>
      </c>
      <c r="B555" t="s">
        <v>39</v>
      </c>
      <c r="C555" t="s">
        <v>28</v>
      </c>
      <c r="D555" t="s">
        <v>40</v>
      </c>
      <c r="E555">
        <v>1541654</v>
      </c>
      <c r="F555">
        <v>979097</v>
      </c>
      <c r="G555">
        <v>2862794</v>
      </c>
      <c r="H555">
        <v>51795</v>
      </c>
      <c r="I555">
        <v>7498</v>
      </c>
      <c r="J555">
        <v>3056</v>
      </c>
      <c r="K555">
        <f t="shared" si="16"/>
        <v>6.3680105239828126</v>
      </c>
      <c r="L555">
        <v>436250</v>
      </c>
      <c r="M555">
        <v>1015452</v>
      </c>
      <c r="N555">
        <f t="shared" si="17"/>
        <v>132.76836676217764</v>
      </c>
      <c r="O555">
        <v>46113</v>
      </c>
      <c r="P555">
        <v>46129</v>
      </c>
      <c r="Q555" t="s">
        <v>25</v>
      </c>
    </row>
    <row r="556" spans="1:17" x14ac:dyDescent="0.3">
      <c r="A556" t="s">
        <v>607</v>
      </c>
      <c r="B556" t="s">
        <v>27</v>
      </c>
      <c r="C556" t="s">
        <v>37</v>
      </c>
      <c r="D556" t="s">
        <v>46</v>
      </c>
      <c r="E556">
        <v>1832214</v>
      </c>
      <c r="F556">
        <v>1273689</v>
      </c>
      <c r="G556">
        <v>3380102</v>
      </c>
      <c r="H556">
        <v>41618</v>
      </c>
      <c r="I556">
        <v>5335</v>
      </c>
      <c r="J556">
        <v>3144</v>
      </c>
      <c r="K556">
        <f t="shared" si="16"/>
        <v>3.9332207469798353</v>
      </c>
      <c r="L556">
        <v>73723</v>
      </c>
      <c r="M556">
        <v>145632</v>
      </c>
      <c r="N556">
        <f t="shared" si="17"/>
        <v>97.53943816719341</v>
      </c>
      <c r="O556">
        <v>46009</v>
      </c>
      <c r="P556">
        <v>46019</v>
      </c>
      <c r="Q556" t="s">
        <v>34</v>
      </c>
    </row>
    <row r="557" spans="1:17" x14ac:dyDescent="0.3">
      <c r="A557" t="s">
        <v>608</v>
      </c>
      <c r="B557" t="s">
        <v>103</v>
      </c>
      <c r="C557" t="s">
        <v>19</v>
      </c>
      <c r="D557" t="s">
        <v>20</v>
      </c>
      <c r="E557">
        <v>223478</v>
      </c>
      <c r="F557">
        <v>172611</v>
      </c>
      <c r="G557">
        <v>356852</v>
      </c>
      <c r="H557">
        <v>11150</v>
      </c>
      <c r="I557">
        <v>1213</v>
      </c>
      <c r="J557">
        <v>543</v>
      </c>
      <c r="K557">
        <f t="shared" si="16"/>
        <v>7.4769278898795557</v>
      </c>
      <c r="L557">
        <v>12496</v>
      </c>
      <c r="M557">
        <v>25855</v>
      </c>
      <c r="N557">
        <f t="shared" si="17"/>
        <v>106.90620998719591</v>
      </c>
      <c r="O557">
        <v>45892</v>
      </c>
      <c r="P557">
        <v>45922</v>
      </c>
      <c r="Q557" t="s">
        <v>54</v>
      </c>
    </row>
    <row r="558" spans="1:17" x14ac:dyDescent="0.3">
      <c r="A558" t="s">
        <v>609</v>
      </c>
      <c r="B558" t="s">
        <v>61</v>
      </c>
      <c r="C558" t="s">
        <v>19</v>
      </c>
      <c r="D558" t="s">
        <v>51</v>
      </c>
      <c r="E558">
        <v>595104</v>
      </c>
      <c r="F558">
        <v>483433</v>
      </c>
      <c r="G558">
        <v>1259087</v>
      </c>
      <c r="H558">
        <v>61437</v>
      </c>
      <c r="I558">
        <v>2634</v>
      </c>
      <c r="J558">
        <v>5574</v>
      </c>
      <c r="K558">
        <f t="shared" si="16"/>
        <v>14.406339658235993</v>
      </c>
      <c r="L558">
        <v>202876</v>
      </c>
      <c r="M558">
        <v>618010</v>
      </c>
      <c r="N558">
        <f t="shared" si="17"/>
        <v>204.62449969439461</v>
      </c>
      <c r="O558">
        <v>45720</v>
      </c>
      <c r="P558">
        <v>45738</v>
      </c>
      <c r="Q558" t="s">
        <v>25</v>
      </c>
    </row>
    <row r="559" spans="1:17" x14ac:dyDescent="0.3">
      <c r="A559" t="s">
        <v>610</v>
      </c>
      <c r="B559" t="s">
        <v>103</v>
      </c>
      <c r="C559" t="s">
        <v>43</v>
      </c>
      <c r="D559" t="s">
        <v>29</v>
      </c>
      <c r="E559">
        <v>1365114</v>
      </c>
      <c r="F559">
        <v>756039</v>
      </c>
      <c r="G559">
        <v>892698</v>
      </c>
      <c r="H559">
        <v>71870</v>
      </c>
      <c r="I559">
        <v>4175</v>
      </c>
      <c r="J559">
        <v>5390</v>
      </c>
      <c r="K559">
        <f t="shared" si="16"/>
        <v>10.771269736085042</v>
      </c>
      <c r="L559">
        <v>51004</v>
      </c>
      <c r="M559">
        <v>217055</v>
      </c>
      <c r="N559">
        <f t="shared" si="17"/>
        <v>325.56466159516901</v>
      </c>
      <c r="O559">
        <v>45667</v>
      </c>
      <c r="P559">
        <v>45694</v>
      </c>
      <c r="Q559" t="s">
        <v>21</v>
      </c>
    </row>
    <row r="560" spans="1:17" x14ac:dyDescent="0.3">
      <c r="A560" t="s">
        <v>611</v>
      </c>
      <c r="B560" t="s">
        <v>27</v>
      </c>
      <c r="C560" t="s">
        <v>19</v>
      </c>
      <c r="D560" t="s">
        <v>40</v>
      </c>
      <c r="E560">
        <v>415762</v>
      </c>
      <c r="F560">
        <v>324310</v>
      </c>
      <c r="G560">
        <v>794400</v>
      </c>
      <c r="H560">
        <v>25505</v>
      </c>
      <c r="I560">
        <v>952</v>
      </c>
      <c r="J560">
        <v>1192</v>
      </c>
      <c r="K560">
        <f t="shared" si="16"/>
        <v>8.5254848755820056</v>
      </c>
      <c r="L560">
        <v>89159</v>
      </c>
      <c r="M560">
        <v>104415</v>
      </c>
      <c r="N560">
        <f t="shared" si="17"/>
        <v>17.111003936787089</v>
      </c>
      <c r="O560">
        <v>45780</v>
      </c>
      <c r="P560">
        <v>45810</v>
      </c>
      <c r="Q560" t="s">
        <v>78</v>
      </c>
    </row>
    <row r="561" spans="1:17" x14ac:dyDescent="0.3">
      <c r="A561" t="s">
        <v>612</v>
      </c>
      <c r="B561" t="s">
        <v>49</v>
      </c>
      <c r="C561" t="s">
        <v>33</v>
      </c>
      <c r="D561" t="s">
        <v>58</v>
      </c>
      <c r="E561">
        <v>1078710</v>
      </c>
      <c r="F561">
        <v>805247</v>
      </c>
      <c r="G561">
        <v>1046321</v>
      </c>
      <c r="H561">
        <v>85802</v>
      </c>
      <c r="I561">
        <v>6911</v>
      </c>
      <c r="J561">
        <v>7891</v>
      </c>
      <c r="K561">
        <f t="shared" si="16"/>
        <v>12.493557877272439</v>
      </c>
      <c r="L561">
        <v>266465</v>
      </c>
      <c r="M561">
        <v>1024738</v>
      </c>
      <c r="N561">
        <f t="shared" si="17"/>
        <v>284.56757923179407</v>
      </c>
      <c r="O561">
        <v>46149</v>
      </c>
      <c r="P561">
        <v>46156</v>
      </c>
      <c r="Q561" t="s">
        <v>78</v>
      </c>
    </row>
    <row r="562" spans="1:17" x14ac:dyDescent="0.3">
      <c r="A562" t="s">
        <v>613</v>
      </c>
      <c r="B562" t="s">
        <v>61</v>
      </c>
      <c r="C562" t="s">
        <v>28</v>
      </c>
      <c r="D562" t="s">
        <v>72</v>
      </c>
      <c r="E562">
        <v>571028</v>
      </c>
      <c r="F562">
        <v>286348</v>
      </c>
      <c r="G562">
        <v>374726</v>
      </c>
      <c r="H562">
        <v>32915</v>
      </c>
      <c r="I562">
        <v>4569</v>
      </c>
      <c r="J562">
        <v>1305</v>
      </c>
      <c r="K562">
        <f t="shared" si="16"/>
        <v>13.546104739687372</v>
      </c>
      <c r="L562">
        <v>444410</v>
      </c>
      <c r="M562">
        <v>1629103</v>
      </c>
      <c r="N562">
        <f t="shared" si="17"/>
        <v>266.57658468531309</v>
      </c>
      <c r="O562">
        <v>45908</v>
      </c>
      <c r="P562">
        <v>45915</v>
      </c>
      <c r="Q562" t="s">
        <v>21</v>
      </c>
    </row>
    <row r="563" spans="1:17" x14ac:dyDescent="0.3">
      <c r="A563" t="s">
        <v>614</v>
      </c>
      <c r="B563" t="s">
        <v>103</v>
      </c>
      <c r="C563" t="s">
        <v>28</v>
      </c>
      <c r="D563" t="s">
        <v>29</v>
      </c>
      <c r="E563">
        <v>1503403</v>
      </c>
      <c r="F563">
        <v>1330619</v>
      </c>
      <c r="G563">
        <v>3796078</v>
      </c>
      <c r="H563">
        <v>91495</v>
      </c>
      <c r="I563">
        <v>7376</v>
      </c>
      <c r="J563">
        <v>7569</v>
      </c>
      <c r="K563">
        <f t="shared" si="16"/>
        <v>7.9992845435094493</v>
      </c>
      <c r="L563">
        <v>12248</v>
      </c>
      <c r="M563">
        <v>41132</v>
      </c>
      <c r="N563">
        <f t="shared" si="17"/>
        <v>235.82625734813848</v>
      </c>
      <c r="O563">
        <v>45713</v>
      </c>
      <c r="P563">
        <v>45742</v>
      </c>
      <c r="Q563" t="s">
        <v>34</v>
      </c>
    </row>
    <row r="564" spans="1:17" x14ac:dyDescent="0.3">
      <c r="A564" t="s">
        <v>615</v>
      </c>
      <c r="B564" t="s">
        <v>39</v>
      </c>
      <c r="C564" t="s">
        <v>28</v>
      </c>
      <c r="D564" t="s">
        <v>72</v>
      </c>
      <c r="E564">
        <v>141713</v>
      </c>
      <c r="F564">
        <v>91126</v>
      </c>
      <c r="G564">
        <v>233555</v>
      </c>
      <c r="H564">
        <v>6919</v>
      </c>
      <c r="I564">
        <v>510</v>
      </c>
      <c r="J564">
        <v>550</v>
      </c>
      <c r="K564">
        <f t="shared" si="16"/>
        <v>8.7560081645194554</v>
      </c>
      <c r="L564">
        <v>470550</v>
      </c>
      <c r="M564">
        <v>1480858</v>
      </c>
      <c r="N564">
        <f t="shared" si="17"/>
        <v>214.70789501647008</v>
      </c>
      <c r="O564">
        <v>45956</v>
      </c>
      <c r="P564">
        <v>45971</v>
      </c>
      <c r="Q564" t="s">
        <v>30</v>
      </c>
    </row>
    <row r="565" spans="1:17" x14ac:dyDescent="0.3">
      <c r="A565" t="s">
        <v>616</v>
      </c>
      <c r="B565" t="s">
        <v>63</v>
      </c>
      <c r="C565" t="s">
        <v>43</v>
      </c>
      <c r="D565" t="s">
        <v>24</v>
      </c>
      <c r="E565">
        <v>483075</v>
      </c>
      <c r="F565">
        <v>142253</v>
      </c>
      <c r="G565">
        <v>272229</v>
      </c>
      <c r="H565">
        <v>9149</v>
      </c>
      <c r="I565">
        <v>535</v>
      </c>
      <c r="J565">
        <v>781</v>
      </c>
      <c r="K565">
        <f t="shared" si="16"/>
        <v>7.3566111083773285</v>
      </c>
      <c r="L565">
        <v>141668</v>
      </c>
      <c r="M565">
        <v>357529</v>
      </c>
      <c r="N565">
        <f t="shared" si="17"/>
        <v>152.37103650789169</v>
      </c>
      <c r="O565">
        <v>45796</v>
      </c>
      <c r="P565">
        <v>45805</v>
      </c>
      <c r="Q565" t="s">
        <v>21</v>
      </c>
    </row>
    <row r="566" spans="1:17" x14ac:dyDescent="0.3">
      <c r="A566" t="s">
        <v>617</v>
      </c>
      <c r="B566" t="s">
        <v>32</v>
      </c>
      <c r="C566" t="s">
        <v>28</v>
      </c>
      <c r="D566" t="s">
        <v>72</v>
      </c>
      <c r="E566">
        <v>1348097</v>
      </c>
      <c r="F566">
        <v>658205</v>
      </c>
      <c r="G566">
        <v>1038274</v>
      </c>
      <c r="H566">
        <v>23937</v>
      </c>
      <c r="I566">
        <v>1087</v>
      </c>
      <c r="J566">
        <v>542</v>
      </c>
      <c r="K566">
        <f t="shared" si="16"/>
        <v>3.8842002111804073</v>
      </c>
      <c r="L566">
        <v>282984</v>
      </c>
      <c r="M566">
        <v>1270131</v>
      </c>
      <c r="N566">
        <f t="shared" si="17"/>
        <v>348.83491646170808</v>
      </c>
      <c r="O566">
        <v>45908</v>
      </c>
      <c r="P566">
        <v>45916</v>
      </c>
      <c r="Q566" t="s">
        <v>47</v>
      </c>
    </row>
    <row r="567" spans="1:17" x14ac:dyDescent="0.3">
      <c r="A567" t="s">
        <v>618</v>
      </c>
      <c r="B567" t="s">
        <v>45</v>
      </c>
      <c r="C567" t="s">
        <v>28</v>
      </c>
      <c r="D567" t="s">
        <v>20</v>
      </c>
      <c r="E567">
        <v>1413650</v>
      </c>
      <c r="F567">
        <v>1138346</v>
      </c>
      <c r="G567">
        <v>2373308</v>
      </c>
      <c r="H567">
        <v>73632</v>
      </c>
      <c r="I567">
        <v>8459</v>
      </c>
      <c r="J567">
        <v>5857</v>
      </c>
      <c r="K567">
        <f t="shared" si="16"/>
        <v>7.7259462413009752</v>
      </c>
      <c r="L567">
        <v>86551</v>
      </c>
      <c r="M567">
        <v>101439</v>
      </c>
      <c r="N567">
        <f t="shared" si="17"/>
        <v>17.201418816651454</v>
      </c>
      <c r="O567">
        <v>46114</v>
      </c>
      <c r="P567">
        <v>46136</v>
      </c>
      <c r="Q567" t="s">
        <v>78</v>
      </c>
    </row>
    <row r="568" spans="1:17" x14ac:dyDescent="0.3">
      <c r="A568" t="s">
        <v>619</v>
      </c>
      <c r="B568" t="s">
        <v>36</v>
      </c>
      <c r="C568" t="s">
        <v>19</v>
      </c>
      <c r="D568" t="s">
        <v>58</v>
      </c>
      <c r="E568">
        <v>863437</v>
      </c>
      <c r="F568">
        <v>367476</v>
      </c>
      <c r="G568">
        <v>752206</v>
      </c>
      <c r="H568">
        <v>20062</v>
      </c>
      <c r="I568">
        <v>847</v>
      </c>
      <c r="J568">
        <v>1298</v>
      </c>
      <c r="K568">
        <f t="shared" si="16"/>
        <v>6.0431157408919223</v>
      </c>
      <c r="L568">
        <v>449288</v>
      </c>
      <c r="M568">
        <v>633733</v>
      </c>
      <c r="N568">
        <f t="shared" si="17"/>
        <v>41.052732323142394</v>
      </c>
      <c r="O568">
        <v>46101</v>
      </c>
      <c r="P568">
        <v>46131</v>
      </c>
      <c r="Q568" t="s">
        <v>25</v>
      </c>
    </row>
    <row r="569" spans="1:17" x14ac:dyDescent="0.3">
      <c r="A569" t="s">
        <v>620</v>
      </c>
      <c r="B569" t="s">
        <v>75</v>
      </c>
      <c r="C569" t="s">
        <v>37</v>
      </c>
      <c r="D569" t="s">
        <v>72</v>
      </c>
      <c r="E569">
        <v>311871</v>
      </c>
      <c r="F569">
        <v>182266</v>
      </c>
      <c r="G569">
        <v>358432</v>
      </c>
      <c r="H569">
        <v>14130</v>
      </c>
      <c r="I569">
        <v>862</v>
      </c>
      <c r="J569">
        <v>945</v>
      </c>
      <c r="K569">
        <f t="shared" si="16"/>
        <v>8.7438139861521069</v>
      </c>
      <c r="L569">
        <v>300000</v>
      </c>
      <c r="M569">
        <v>493774</v>
      </c>
      <c r="N569">
        <f t="shared" si="17"/>
        <v>64.591333333333338</v>
      </c>
      <c r="O569">
        <v>45818</v>
      </c>
      <c r="P569">
        <v>45838</v>
      </c>
      <c r="Q569" t="s">
        <v>34</v>
      </c>
    </row>
    <row r="570" spans="1:17" x14ac:dyDescent="0.3">
      <c r="A570" t="s">
        <v>621</v>
      </c>
      <c r="B570" t="s">
        <v>80</v>
      </c>
      <c r="C570" t="s">
        <v>33</v>
      </c>
      <c r="D570" t="s">
        <v>24</v>
      </c>
      <c r="E570">
        <v>1821305</v>
      </c>
      <c r="F570">
        <v>1063614</v>
      </c>
      <c r="G570">
        <v>1379480</v>
      </c>
      <c r="H570">
        <v>37643</v>
      </c>
      <c r="I570">
        <v>3550</v>
      </c>
      <c r="J570">
        <v>2927</v>
      </c>
      <c r="K570">
        <f t="shared" si="16"/>
        <v>4.1481214049457797</v>
      </c>
      <c r="L570">
        <v>317287</v>
      </c>
      <c r="M570">
        <v>920109</v>
      </c>
      <c r="N570">
        <f t="shared" si="17"/>
        <v>189.99265649081116</v>
      </c>
      <c r="O570">
        <v>45751</v>
      </c>
      <c r="P570">
        <v>45767</v>
      </c>
      <c r="Q570" t="s">
        <v>25</v>
      </c>
    </row>
    <row r="571" spans="1:17" x14ac:dyDescent="0.3">
      <c r="A571" t="s">
        <v>622</v>
      </c>
      <c r="B571" t="s">
        <v>53</v>
      </c>
      <c r="C571" t="s">
        <v>43</v>
      </c>
      <c r="D571" t="s">
        <v>72</v>
      </c>
      <c r="E571">
        <v>1437631</v>
      </c>
      <c r="F571">
        <v>879546</v>
      </c>
      <c r="G571">
        <v>1454737</v>
      </c>
      <c r="H571">
        <v>118071</v>
      </c>
      <c r="I571">
        <v>14145</v>
      </c>
      <c r="J571">
        <v>5695</v>
      </c>
      <c r="K571">
        <f t="shared" si="16"/>
        <v>15.67979389366787</v>
      </c>
      <c r="L571">
        <v>225660</v>
      </c>
      <c r="M571">
        <v>1075097</v>
      </c>
      <c r="N571">
        <f t="shared" si="17"/>
        <v>376.42338030665604</v>
      </c>
      <c r="O571">
        <v>45835</v>
      </c>
      <c r="P571">
        <v>45842</v>
      </c>
      <c r="Q571" t="s">
        <v>78</v>
      </c>
    </row>
    <row r="572" spans="1:17" x14ac:dyDescent="0.3">
      <c r="A572" t="s">
        <v>623</v>
      </c>
      <c r="B572" t="s">
        <v>23</v>
      </c>
      <c r="C572" t="s">
        <v>43</v>
      </c>
      <c r="D572" t="s">
        <v>29</v>
      </c>
      <c r="E572">
        <v>1085129</v>
      </c>
      <c r="F572">
        <v>451893</v>
      </c>
      <c r="G572">
        <v>550970</v>
      </c>
      <c r="H572">
        <v>53051</v>
      </c>
      <c r="I572">
        <v>5950</v>
      </c>
      <c r="J572">
        <v>4896</v>
      </c>
      <c r="K572">
        <f t="shared" si="16"/>
        <v>14.139851690555066</v>
      </c>
      <c r="L572">
        <v>203278</v>
      </c>
      <c r="M572">
        <v>572968</v>
      </c>
      <c r="N572">
        <f t="shared" si="17"/>
        <v>181.86424502405575</v>
      </c>
      <c r="O572">
        <v>45865</v>
      </c>
      <c r="P572">
        <v>45892</v>
      </c>
      <c r="Q572" t="s">
        <v>41</v>
      </c>
    </row>
    <row r="573" spans="1:17" x14ac:dyDescent="0.3">
      <c r="A573" t="s">
        <v>624</v>
      </c>
      <c r="B573" t="s">
        <v>18</v>
      </c>
      <c r="C573" t="s">
        <v>37</v>
      </c>
      <c r="D573" t="s">
        <v>40</v>
      </c>
      <c r="E573">
        <v>970329</v>
      </c>
      <c r="F573">
        <v>336329</v>
      </c>
      <c r="G573">
        <v>810250</v>
      </c>
      <c r="H573">
        <v>29472</v>
      </c>
      <c r="I573">
        <v>1327</v>
      </c>
      <c r="J573">
        <v>1161</v>
      </c>
      <c r="K573">
        <f t="shared" si="16"/>
        <v>9.502600132608249</v>
      </c>
      <c r="L573">
        <v>193757</v>
      </c>
      <c r="M573">
        <v>389106</v>
      </c>
      <c r="N573">
        <f t="shared" si="17"/>
        <v>100.82164773401736</v>
      </c>
      <c r="O573">
        <v>45986</v>
      </c>
      <c r="P573">
        <v>46010</v>
      </c>
      <c r="Q573" t="s">
        <v>78</v>
      </c>
    </row>
    <row r="574" spans="1:17" x14ac:dyDescent="0.3">
      <c r="A574" t="s">
        <v>625</v>
      </c>
      <c r="B574" t="s">
        <v>18</v>
      </c>
      <c r="C574" t="s">
        <v>19</v>
      </c>
      <c r="D574" t="s">
        <v>51</v>
      </c>
      <c r="E574">
        <v>816374</v>
      </c>
      <c r="F574">
        <v>707739</v>
      </c>
      <c r="G574">
        <v>2109322</v>
      </c>
      <c r="H574">
        <v>32014</v>
      </c>
      <c r="I574">
        <v>2375</v>
      </c>
      <c r="J574">
        <v>3187</v>
      </c>
      <c r="K574">
        <f t="shared" si="16"/>
        <v>5.309301875408873</v>
      </c>
      <c r="L574">
        <v>387838</v>
      </c>
      <c r="M574">
        <v>821604</v>
      </c>
      <c r="N574">
        <f t="shared" si="17"/>
        <v>111.842057766387</v>
      </c>
      <c r="O574">
        <v>45983</v>
      </c>
      <c r="P574">
        <v>45995</v>
      </c>
      <c r="Q574" t="s">
        <v>25</v>
      </c>
    </row>
    <row r="575" spans="1:17" x14ac:dyDescent="0.3">
      <c r="A575" t="s">
        <v>626</v>
      </c>
      <c r="B575" t="s">
        <v>32</v>
      </c>
      <c r="C575" t="s">
        <v>19</v>
      </c>
      <c r="D575" t="s">
        <v>72</v>
      </c>
      <c r="E575">
        <v>1802309</v>
      </c>
      <c r="F575">
        <v>1050586</v>
      </c>
      <c r="G575">
        <v>1768415</v>
      </c>
      <c r="H575">
        <v>107267</v>
      </c>
      <c r="I575">
        <v>9971</v>
      </c>
      <c r="J575">
        <v>2919</v>
      </c>
      <c r="K575">
        <f t="shared" si="16"/>
        <v>11.4371407957083</v>
      </c>
      <c r="L575">
        <v>148106</v>
      </c>
      <c r="M575">
        <v>439068</v>
      </c>
      <c r="N575">
        <f t="shared" si="17"/>
        <v>196.45524151621137</v>
      </c>
      <c r="O575">
        <v>45980</v>
      </c>
      <c r="P575">
        <v>46004</v>
      </c>
      <c r="Q575" t="s">
        <v>41</v>
      </c>
    </row>
    <row r="576" spans="1:17" x14ac:dyDescent="0.3">
      <c r="A576" t="s">
        <v>627</v>
      </c>
      <c r="B576" t="s">
        <v>23</v>
      </c>
      <c r="C576" t="s">
        <v>43</v>
      </c>
      <c r="D576" t="s">
        <v>24</v>
      </c>
      <c r="E576">
        <v>1977364</v>
      </c>
      <c r="F576">
        <v>521616</v>
      </c>
      <c r="G576">
        <v>1014797</v>
      </c>
      <c r="H576">
        <v>50720</v>
      </c>
      <c r="I576">
        <v>6983</v>
      </c>
      <c r="J576">
        <v>2739</v>
      </c>
      <c r="K576">
        <f t="shared" si="16"/>
        <v>11.587451305174689</v>
      </c>
      <c r="L576">
        <v>282121</v>
      </c>
      <c r="M576">
        <v>1266560</v>
      </c>
      <c r="N576">
        <f t="shared" si="17"/>
        <v>348.94212057946771</v>
      </c>
      <c r="O576">
        <v>45692</v>
      </c>
      <c r="P576">
        <v>45704</v>
      </c>
      <c r="Q576" t="s">
        <v>30</v>
      </c>
    </row>
    <row r="577" spans="1:17" x14ac:dyDescent="0.3">
      <c r="A577" t="s">
        <v>628</v>
      </c>
      <c r="B577" t="s">
        <v>32</v>
      </c>
      <c r="C577" t="s">
        <v>19</v>
      </c>
      <c r="D577" t="s">
        <v>51</v>
      </c>
      <c r="E577">
        <v>1269104</v>
      </c>
      <c r="F577">
        <v>602827</v>
      </c>
      <c r="G577">
        <v>948575</v>
      </c>
      <c r="H577">
        <v>20722</v>
      </c>
      <c r="I577">
        <v>2968</v>
      </c>
      <c r="J577">
        <v>1855</v>
      </c>
      <c r="K577">
        <f t="shared" si="16"/>
        <v>4.2375341515890961</v>
      </c>
      <c r="L577">
        <v>288287</v>
      </c>
      <c r="M577">
        <v>574984</v>
      </c>
      <c r="N577">
        <f t="shared" si="17"/>
        <v>99.448466285333708</v>
      </c>
      <c r="O577">
        <v>45900</v>
      </c>
      <c r="P577">
        <v>45907</v>
      </c>
      <c r="Q577" t="s">
        <v>41</v>
      </c>
    </row>
    <row r="578" spans="1:17" x14ac:dyDescent="0.3">
      <c r="A578" t="s">
        <v>629</v>
      </c>
      <c r="B578" t="s">
        <v>63</v>
      </c>
      <c r="C578" t="s">
        <v>28</v>
      </c>
      <c r="D578" t="s">
        <v>46</v>
      </c>
      <c r="E578">
        <v>1908144</v>
      </c>
      <c r="F578">
        <v>1049391</v>
      </c>
      <c r="G578">
        <v>2831520</v>
      </c>
      <c r="H578">
        <v>107745</v>
      </c>
      <c r="I578">
        <v>9208</v>
      </c>
      <c r="J578">
        <v>8109</v>
      </c>
      <c r="K578">
        <f t="shared" ref="K578:K641" si="18">((H578+I578+J578)/F578)*100</f>
        <v>11.917578862406861</v>
      </c>
      <c r="L578">
        <v>382389</v>
      </c>
      <c r="M578">
        <v>1211667</v>
      </c>
      <c r="N578">
        <f t="shared" ref="N578:N641" si="19">((M578-L578)/L578)*100</f>
        <v>216.86764002102569</v>
      </c>
      <c r="O578">
        <v>46043</v>
      </c>
      <c r="P578">
        <v>46069</v>
      </c>
      <c r="Q578" t="s">
        <v>25</v>
      </c>
    </row>
    <row r="579" spans="1:17" x14ac:dyDescent="0.3">
      <c r="A579" t="s">
        <v>630</v>
      </c>
      <c r="B579" t="s">
        <v>61</v>
      </c>
      <c r="C579" t="s">
        <v>37</v>
      </c>
      <c r="D579" t="s">
        <v>58</v>
      </c>
      <c r="E579">
        <v>1257318</v>
      </c>
      <c r="F579">
        <v>1050727</v>
      </c>
      <c r="G579">
        <v>2108689</v>
      </c>
      <c r="H579">
        <v>47019</v>
      </c>
      <c r="I579">
        <v>4452</v>
      </c>
      <c r="J579">
        <v>3352</v>
      </c>
      <c r="K579">
        <f t="shared" si="18"/>
        <v>5.2176255107178173</v>
      </c>
      <c r="L579">
        <v>50888</v>
      </c>
      <c r="M579">
        <v>149226</v>
      </c>
      <c r="N579">
        <f t="shared" si="19"/>
        <v>193.24398679452918</v>
      </c>
      <c r="O579">
        <v>46112</v>
      </c>
      <c r="P579">
        <v>46121</v>
      </c>
      <c r="Q579" t="s">
        <v>47</v>
      </c>
    </row>
    <row r="580" spans="1:17" x14ac:dyDescent="0.3">
      <c r="A580" t="s">
        <v>631</v>
      </c>
      <c r="B580" t="s">
        <v>53</v>
      </c>
      <c r="C580" t="s">
        <v>19</v>
      </c>
      <c r="D580" t="s">
        <v>24</v>
      </c>
      <c r="E580">
        <v>1656087</v>
      </c>
      <c r="F580">
        <v>781221</v>
      </c>
      <c r="G580">
        <v>2001384</v>
      </c>
      <c r="H580">
        <v>42867</v>
      </c>
      <c r="I580">
        <v>4567</v>
      </c>
      <c r="J580">
        <v>2904</v>
      </c>
      <c r="K580">
        <f t="shared" si="18"/>
        <v>6.4435031828381462</v>
      </c>
      <c r="L580">
        <v>97764</v>
      </c>
      <c r="M580">
        <v>225771</v>
      </c>
      <c r="N580">
        <f t="shared" si="19"/>
        <v>130.9346998895299</v>
      </c>
      <c r="O580">
        <v>46044</v>
      </c>
      <c r="P580">
        <v>46058</v>
      </c>
      <c r="Q580" t="s">
        <v>41</v>
      </c>
    </row>
    <row r="581" spans="1:17" x14ac:dyDescent="0.3">
      <c r="A581" t="s">
        <v>632</v>
      </c>
      <c r="B581" t="s">
        <v>27</v>
      </c>
      <c r="C581" t="s">
        <v>33</v>
      </c>
      <c r="D581" t="s">
        <v>72</v>
      </c>
      <c r="E581">
        <v>1306472</v>
      </c>
      <c r="F581">
        <v>815064</v>
      </c>
      <c r="G581">
        <v>2320719</v>
      </c>
      <c r="H581">
        <v>41767</v>
      </c>
      <c r="I581">
        <v>3972</v>
      </c>
      <c r="J581">
        <v>2772</v>
      </c>
      <c r="K581">
        <f t="shared" si="18"/>
        <v>5.9518025578359488</v>
      </c>
      <c r="L581">
        <v>360811</v>
      </c>
      <c r="M581">
        <v>1801298</v>
      </c>
      <c r="N581">
        <f t="shared" si="19"/>
        <v>399.23588804110739</v>
      </c>
      <c r="O581">
        <v>46121</v>
      </c>
      <c r="P581">
        <v>46132</v>
      </c>
      <c r="Q581" t="s">
        <v>47</v>
      </c>
    </row>
    <row r="582" spans="1:17" x14ac:dyDescent="0.3">
      <c r="A582" t="s">
        <v>633</v>
      </c>
      <c r="B582" t="s">
        <v>23</v>
      </c>
      <c r="C582" t="s">
        <v>33</v>
      </c>
      <c r="D582" t="s">
        <v>20</v>
      </c>
      <c r="E582">
        <v>1466212</v>
      </c>
      <c r="F582">
        <v>510535</v>
      </c>
      <c r="G582">
        <v>1387018</v>
      </c>
      <c r="H582">
        <v>22216</v>
      </c>
      <c r="I582">
        <v>1863</v>
      </c>
      <c r="J582">
        <v>1425</v>
      </c>
      <c r="K582">
        <f t="shared" si="18"/>
        <v>4.9955438902327955</v>
      </c>
      <c r="L582">
        <v>87903</v>
      </c>
      <c r="M582">
        <v>305385</v>
      </c>
      <c r="N582">
        <f t="shared" si="19"/>
        <v>247.41135114842496</v>
      </c>
      <c r="O582">
        <v>45968</v>
      </c>
      <c r="P582">
        <v>45990</v>
      </c>
      <c r="Q582" t="s">
        <v>54</v>
      </c>
    </row>
    <row r="583" spans="1:17" x14ac:dyDescent="0.3">
      <c r="A583" t="s">
        <v>634</v>
      </c>
      <c r="B583" t="s">
        <v>80</v>
      </c>
      <c r="C583" t="s">
        <v>43</v>
      </c>
      <c r="D583" t="s">
        <v>24</v>
      </c>
      <c r="E583">
        <v>1433269</v>
      </c>
      <c r="F583">
        <v>869375</v>
      </c>
      <c r="G583">
        <v>1534475</v>
      </c>
      <c r="H583">
        <v>37585</v>
      </c>
      <c r="I583">
        <v>1468</v>
      </c>
      <c r="J583">
        <v>3216</v>
      </c>
      <c r="K583">
        <f t="shared" si="18"/>
        <v>4.8619985621854784</v>
      </c>
      <c r="L583">
        <v>393752</v>
      </c>
      <c r="M583">
        <v>1352360</v>
      </c>
      <c r="N583">
        <f t="shared" si="19"/>
        <v>243.45476340437637</v>
      </c>
      <c r="O583">
        <v>45751</v>
      </c>
      <c r="P583">
        <v>45759</v>
      </c>
      <c r="Q583" t="s">
        <v>34</v>
      </c>
    </row>
    <row r="584" spans="1:17" x14ac:dyDescent="0.3">
      <c r="A584" t="s">
        <v>635</v>
      </c>
      <c r="B584" t="s">
        <v>45</v>
      </c>
      <c r="C584" t="s">
        <v>43</v>
      </c>
      <c r="D584" t="s">
        <v>40</v>
      </c>
      <c r="E584">
        <v>494449</v>
      </c>
      <c r="F584">
        <v>337239</v>
      </c>
      <c r="G584">
        <v>756358</v>
      </c>
      <c r="H584">
        <v>18223</v>
      </c>
      <c r="I584">
        <v>2692</v>
      </c>
      <c r="J584">
        <v>618</v>
      </c>
      <c r="K584">
        <f t="shared" si="18"/>
        <v>6.3850859479478936</v>
      </c>
      <c r="L584">
        <v>289082</v>
      </c>
      <c r="M584">
        <v>1229569</v>
      </c>
      <c r="N584">
        <f t="shared" si="19"/>
        <v>325.33571789319296</v>
      </c>
      <c r="O584">
        <v>46069</v>
      </c>
      <c r="P584">
        <v>46090</v>
      </c>
      <c r="Q584" t="s">
        <v>30</v>
      </c>
    </row>
    <row r="585" spans="1:17" x14ac:dyDescent="0.3">
      <c r="A585" t="s">
        <v>636</v>
      </c>
      <c r="B585" t="s">
        <v>57</v>
      </c>
      <c r="C585" t="s">
        <v>19</v>
      </c>
      <c r="D585" t="s">
        <v>24</v>
      </c>
      <c r="E585">
        <v>1634472</v>
      </c>
      <c r="F585">
        <v>1147013</v>
      </c>
      <c r="G585">
        <v>1706706</v>
      </c>
      <c r="H585">
        <v>127784</v>
      </c>
      <c r="I585">
        <v>9686</v>
      </c>
      <c r="J585">
        <v>11401</v>
      </c>
      <c r="K585">
        <f t="shared" si="18"/>
        <v>12.979015930944113</v>
      </c>
      <c r="L585">
        <v>270430</v>
      </c>
      <c r="M585">
        <v>1132377</v>
      </c>
      <c r="N585">
        <f t="shared" si="19"/>
        <v>318.73201937654846</v>
      </c>
      <c r="O585">
        <v>45822</v>
      </c>
      <c r="P585">
        <v>45837</v>
      </c>
      <c r="Q585" t="s">
        <v>41</v>
      </c>
    </row>
    <row r="586" spans="1:17" x14ac:dyDescent="0.3">
      <c r="A586" t="s">
        <v>637</v>
      </c>
      <c r="B586" t="s">
        <v>49</v>
      </c>
      <c r="C586" t="s">
        <v>37</v>
      </c>
      <c r="D586" t="s">
        <v>29</v>
      </c>
      <c r="E586">
        <v>434066</v>
      </c>
      <c r="F586">
        <v>115454</v>
      </c>
      <c r="G586">
        <v>236468</v>
      </c>
      <c r="H586">
        <v>6314</v>
      </c>
      <c r="I586">
        <v>893</v>
      </c>
      <c r="J586">
        <v>359</v>
      </c>
      <c r="K586">
        <f t="shared" si="18"/>
        <v>6.5532593067368818</v>
      </c>
      <c r="L586">
        <v>319733</v>
      </c>
      <c r="M586">
        <v>694875</v>
      </c>
      <c r="N586">
        <f t="shared" si="19"/>
        <v>117.32977202853631</v>
      </c>
      <c r="O586">
        <v>46028</v>
      </c>
      <c r="P586">
        <v>46049</v>
      </c>
      <c r="Q586" t="s">
        <v>41</v>
      </c>
    </row>
    <row r="587" spans="1:17" x14ac:dyDescent="0.3">
      <c r="A587" t="s">
        <v>638</v>
      </c>
      <c r="B587" t="s">
        <v>103</v>
      </c>
      <c r="C587" t="s">
        <v>33</v>
      </c>
      <c r="D587" t="s">
        <v>40</v>
      </c>
      <c r="E587">
        <v>1836150</v>
      </c>
      <c r="F587">
        <v>1102857</v>
      </c>
      <c r="G587">
        <v>1436617</v>
      </c>
      <c r="H587">
        <v>130102</v>
      </c>
      <c r="I587">
        <v>14467</v>
      </c>
      <c r="J587">
        <v>4563</v>
      </c>
      <c r="K587">
        <f t="shared" si="18"/>
        <v>13.522333357815203</v>
      </c>
      <c r="L587">
        <v>343461</v>
      </c>
      <c r="M587">
        <v>943860</v>
      </c>
      <c r="N587">
        <f t="shared" si="19"/>
        <v>174.80849354075133</v>
      </c>
      <c r="O587">
        <v>45946</v>
      </c>
      <c r="P587">
        <v>45957</v>
      </c>
      <c r="Q587" t="s">
        <v>34</v>
      </c>
    </row>
    <row r="588" spans="1:17" x14ac:dyDescent="0.3">
      <c r="A588" t="s">
        <v>639</v>
      </c>
      <c r="B588" t="s">
        <v>32</v>
      </c>
      <c r="C588" t="s">
        <v>37</v>
      </c>
      <c r="D588" t="s">
        <v>29</v>
      </c>
      <c r="E588">
        <v>1654752</v>
      </c>
      <c r="F588">
        <v>915190</v>
      </c>
      <c r="G588">
        <v>1969394</v>
      </c>
      <c r="H588">
        <v>134929</v>
      </c>
      <c r="I588">
        <v>13512</v>
      </c>
      <c r="J588">
        <v>4390</v>
      </c>
      <c r="K588">
        <f t="shared" si="18"/>
        <v>16.699373900501534</v>
      </c>
      <c r="L588">
        <v>241499</v>
      </c>
      <c r="M588">
        <v>690363</v>
      </c>
      <c r="N588">
        <f t="shared" si="19"/>
        <v>185.86577998252579</v>
      </c>
      <c r="O588">
        <v>45879</v>
      </c>
      <c r="P588">
        <v>45904</v>
      </c>
      <c r="Q588" t="s">
        <v>47</v>
      </c>
    </row>
    <row r="589" spans="1:17" x14ac:dyDescent="0.3">
      <c r="A589" t="s">
        <v>640</v>
      </c>
      <c r="B589" t="s">
        <v>39</v>
      </c>
      <c r="C589" t="s">
        <v>37</v>
      </c>
      <c r="D589" t="s">
        <v>72</v>
      </c>
      <c r="E589">
        <v>1195434</v>
      </c>
      <c r="F589">
        <v>377914</v>
      </c>
      <c r="G589">
        <v>964234</v>
      </c>
      <c r="H589">
        <v>33487</v>
      </c>
      <c r="I589">
        <v>1071</v>
      </c>
      <c r="J589">
        <v>1151</v>
      </c>
      <c r="K589">
        <f t="shared" si="18"/>
        <v>9.448975163661574</v>
      </c>
      <c r="L589">
        <v>202518</v>
      </c>
      <c r="M589">
        <v>287640</v>
      </c>
      <c r="N589">
        <f t="shared" si="19"/>
        <v>42.031819393831661</v>
      </c>
      <c r="O589">
        <v>45840</v>
      </c>
      <c r="P589">
        <v>45853</v>
      </c>
      <c r="Q589" t="s">
        <v>47</v>
      </c>
    </row>
    <row r="590" spans="1:17" x14ac:dyDescent="0.3">
      <c r="A590" t="s">
        <v>641</v>
      </c>
      <c r="B590" t="s">
        <v>75</v>
      </c>
      <c r="C590" t="s">
        <v>19</v>
      </c>
      <c r="D590" t="s">
        <v>51</v>
      </c>
      <c r="E590">
        <v>1707041</v>
      </c>
      <c r="F590">
        <v>1236008</v>
      </c>
      <c r="G590">
        <v>2154125</v>
      </c>
      <c r="H590">
        <v>75934</v>
      </c>
      <c r="I590">
        <v>11316</v>
      </c>
      <c r="J590">
        <v>6333</v>
      </c>
      <c r="K590">
        <f t="shared" si="18"/>
        <v>7.5713911236820479</v>
      </c>
      <c r="L590">
        <v>432243</v>
      </c>
      <c r="M590">
        <v>487868</v>
      </c>
      <c r="N590">
        <f t="shared" si="19"/>
        <v>12.86891864067203</v>
      </c>
      <c r="O590">
        <v>45671</v>
      </c>
      <c r="P590">
        <v>45699</v>
      </c>
      <c r="Q590" t="s">
        <v>41</v>
      </c>
    </row>
    <row r="591" spans="1:17" x14ac:dyDescent="0.3">
      <c r="A591" t="s">
        <v>642</v>
      </c>
      <c r="B591" t="s">
        <v>32</v>
      </c>
      <c r="C591" t="s">
        <v>37</v>
      </c>
      <c r="D591" t="s">
        <v>46</v>
      </c>
      <c r="E591">
        <v>1125193</v>
      </c>
      <c r="F591">
        <v>564195</v>
      </c>
      <c r="G591">
        <v>712087</v>
      </c>
      <c r="H591">
        <v>80842</v>
      </c>
      <c r="I591">
        <v>3515</v>
      </c>
      <c r="J591">
        <v>3337</v>
      </c>
      <c r="K591">
        <f t="shared" si="18"/>
        <v>15.543207578939905</v>
      </c>
      <c r="L591">
        <v>170420</v>
      </c>
      <c r="M591">
        <v>411745</v>
      </c>
      <c r="N591">
        <f t="shared" si="19"/>
        <v>141.60603215585027</v>
      </c>
      <c r="O591">
        <v>46130</v>
      </c>
      <c r="P591">
        <v>46137</v>
      </c>
      <c r="Q591" t="s">
        <v>25</v>
      </c>
    </row>
    <row r="592" spans="1:17" x14ac:dyDescent="0.3">
      <c r="A592" t="s">
        <v>643</v>
      </c>
      <c r="B592" t="s">
        <v>75</v>
      </c>
      <c r="C592" t="s">
        <v>19</v>
      </c>
      <c r="D592" t="s">
        <v>29</v>
      </c>
      <c r="E592">
        <v>262584</v>
      </c>
      <c r="F592">
        <v>152615</v>
      </c>
      <c r="G592">
        <v>429352</v>
      </c>
      <c r="H592">
        <v>6175</v>
      </c>
      <c r="I592">
        <v>424</v>
      </c>
      <c r="J592">
        <v>227</v>
      </c>
      <c r="K592">
        <f t="shared" si="18"/>
        <v>4.4726927235199687</v>
      </c>
      <c r="L592">
        <v>387909</v>
      </c>
      <c r="M592">
        <v>1383402</v>
      </c>
      <c r="N592">
        <f t="shared" si="19"/>
        <v>256.63054994857043</v>
      </c>
      <c r="O592">
        <v>45791</v>
      </c>
      <c r="P592">
        <v>45820</v>
      </c>
      <c r="Q592" t="s">
        <v>47</v>
      </c>
    </row>
    <row r="593" spans="1:17" x14ac:dyDescent="0.3">
      <c r="A593" t="s">
        <v>644</v>
      </c>
      <c r="B593" t="s">
        <v>27</v>
      </c>
      <c r="C593" t="s">
        <v>33</v>
      </c>
      <c r="D593" t="s">
        <v>58</v>
      </c>
      <c r="E593">
        <v>287799</v>
      </c>
      <c r="F593">
        <v>226231</v>
      </c>
      <c r="G593">
        <v>339849</v>
      </c>
      <c r="H593">
        <v>19155</v>
      </c>
      <c r="I593">
        <v>2402</v>
      </c>
      <c r="J593">
        <v>1592</v>
      </c>
      <c r="K593">
        <f t="shared" si="18"/>
        <v>10.232461510579896</v>
      </c>
      <c r="L593">
        <v>185108</v>
      </c>
      <c r="M593">
        <v>312326</v>
      </c>
      <c r="N593">
        <f t="shared" si="19"/>
        <v>68.726365148994091</v>
      </c>
      <c r="O593">
        <v>45934</v>
      </c>
      <c r="P593">
        <v>45959</v>
      </c>
      <c r="Q593" t="s">
        <v>41</v>
      </c>
    </row>
    <row r="594" spans="1:17" x14ac:dyDescent="0.3">
      <c r="A594" t="s">
        <v>645</v>
      </c>
      <c r="B594" t="s">
        <v>49</v>
      </c>
      <c r="C594" t="s">
        <v>43</v>
      </c>
      <c r="D594" t="s">
        <v>24</v>
      </c>
      <c r="E594">
        <v>1829923</v>
      </c>
      <c r="F594">
        <v>1326086</v>
      </c>
      <c r="G594">
        <v>3951720</v>
      </c>
      <c r="H594">
        <v>142714</v>
      </c>
      <c r="I594">
        <v>17103</v>
      </c>
      <c r="J594">
        <v>11823</v>
      </c>
      <c r="K594">
        <f t="shared" si="18"/>
        <v>12.943353598484563</v>
      </c>
      <c r="L594">
        <v>459765</v>
      </c>
      <c r="M594">
        <v>1339344</v>
      </c>
      <c r="N594">
        <f t="shared" si="19"/>
        <v>191.31056082998924</v>
      </c>
      <c r="O594">
        <v>46008</v>
      </c>
      <c r="P594">
        <v>46016</v>
      </c>
      <c r="Q594" t="s">
        <v>41</v>
      </c>
    </row>
    <row r="595" spans="1:17" x14ac:dyDescent="0.3">
      <c r="A595" t="s">
        <v>646</v>
      </c>
      <c r="B595" t="s">
        <v>63</v>
      </c>
      <c r="C595" t="s">
        <v>43</v>
      </c>
      <c r="D595" t="s">
        <v>58</v>
      </c>
      <c r="E595">
        <v>728024</v>
      </c>
      <c r="F595">
        <v>253003</v>
      </c>
      <c r="G595">
        <v>437312</v>
      </c>
      <c r="H595">
        <v>36611</v>
      </c>
      <c r="I595">
        <v>2991</v>
      </c>
      <c r="J595">
        <v>947</v>
      </c>
      <c r="K595">
        <f t="shared" si="18"/>
        <v>16.027082682814036</v>
      </c>
      <c r="L595">
        <v>285165</v>
      </c>
      <c r="M595">
        <v>534152</v>
      </c>
      <c r="N595">
        <f t="shared" si="19"/>
        <v>87.31330983816386</v>
      </c>
      <c r="O595">
        <v>45946</v>
      </c>
      <c r="P595">
        <v>45975</v>
      </c>
      <c r="Q595" t="s">
        <v>47</v>
      </c>
    </row>
    <row r="596" spans="1:17" x14ac:dyDescent="0.3">
      <c r="A596" t="s">
        <v>647</v>
      </c>
      <c r="B596" t="s">
        <v>75</v>
      </c>
      <c r="C596" t="s">
        <v>19</v>
      </c>
      <c r="D596" t="s">
        <v>46</v>
      </c>
      <c r="E596">
        <v>1841155</v>
      </c>
      <c r="F596">
        <v>887576</v>
      </c>
      <c r="G596">
        <v>1219516</v>
      </c>
      <c r="H596">
        <v>124575</v>
      </c>
      <c r="I596">
        <v>16408</v>
      </c>
      <c r="J596">
        <v>4753</v>
      </c>
      <c r="K596">
        <f t="shared" si="18"/>
        <v>16.419551677828149</v>
      </c>
      <c r="L596">
        <v>189302</v>
      </c>
      <c r="M596">
        <v>249236</v>
      </c>
      <c r="N596">
        <f t="shared" si="19"/>
        <v>31.660521283451835</v>
      </c>
      <c r="O596">
        <v>46060</v>
      </c>
      <c r="P596">
        <v>46071</v>
      </c>
      <c r="Q596" t="s">
        <v>34</v>
      </c>
    </row>
    <row r="597" spans="1:17" x14ac:dyDescent="0.3">
      <c r="A597" t="s">
        <v>648</v>
      </c>
      <c r="B597" t="s">
        <v>57</v>
      </c>
      <c r="C597" t="s">
        <v>19</v>
      </c>
      <c r="D597" t="s">
        <v>58</v>
      </c>
      <c r="E597">
        <v>1531544</v>
      </c>
      <c r="F597">
        <v>561365</v>
      </c>
      <c r="G597">
        <v>904473</v>
      </c>
      <c r="H597">
        <v>20719</v>
      </c>
      <c r="I597">
        <v>1111</v>
      </c>
      <c r="J597">
        <v>1092</v>
      </c>
      <c r="K597">
        <f t="shared" si="18"/>
        <v>4.0832613362072809</v>
      </c>
      <c r="L597">
        <v>230104</v>
      </c>
      <c r="M597">
        <v>773737</v>
      </c>
      <c r="N597">
        <f t="shared" si="19"/>
        <v>236.25534540903246</v>
      </c>
      <c r="O597">
        <v>45824</v>
      </c>
      <c r="P597">
        <v>45839</v>
      </c>
      <c r="Q597" t="s">
        <v>21</v>
      </c>
    </row>
    <row r="598" spans="1:17" x14ac:dyDescent="0.3">
      <c r="A598" t="s">
        <v>649</v>
      </c>
      <c r="B598" t="s">
        <v>49</v>
      </c>
      <c r="C598" t="s">
        <v>37</v>
      </c>
      <c r="D598" t="s">
        <v>46</v>
      </c>
      <c r="E598">
        <v>1861718</v>
      </c>
      <c r="F598">
        <v>1167892</v>
      </c>
      <c r="G598">
        <v>1682575</v>
      </c>
      <c r="H598">
        <v>55720</v>
      </c>
      <c r="I598">
        <v>3978</v>
      </c>
      <c r="J598">
        <v>3895</v>
      </c>
      <c r="K598">
        <f t="shared" si="18"/>
        <v>5.4451096505498793</v>
      </c>
      <c r="L598">
        <v>112376</v>
      </c>
      <c r="M598">
        <v>128560</v>
      </c>
      <c r="N598">
        <f t="shared" si="19"/>
        <v>14.401651598206023</v>
      </c>
      <c r="O598">
        <v>45702</v>
      </c>
      <c r="P598">
        <v>45713</v>
      </c>
      <c r="Q598" t="s">
        <v>30</v>
      </c>
    </row>
    <row r="599" spans="1:17" x14ac:dyDescent="0.3">
      <c r="A599" t="s">
        <v>650</v>
      </c>
      <c r="B599" t="s">
        <v>57</v>
      </c>
      <c r="C599" t="s">
        <v>37</v>
      </c>
      <c r="D599" t="s">
        <v>51</v>
      </c>
      <c r="E599">
        <v>1850497</v>
      </c>
      <c r="F599">
        <v>1357995</v>
      </c>
      <c r="G599">
        <v>2473396</v>
      </c>
      <c r="H599">
        <v>86302</v>
      </c>
      <c r="I599">
        <v>2851</v>
      </c>
      <c r="J599">
        <v>3936</v>
      </c>
      <c r="K599">
        <f t="shared" si="18"/>
        <v>6.8548853272655643</v>
      </c>
      <c r="L599">
        <v>225747</v>
      </c>
      <c r="M599">
        <v>1111531</v>
      </c>
      <c r="N599">
        <f t="shared" si="19"/>
        <v>392.37907923471852</v>
      </c>
      <c r="O599">
        <v>46116</v>
      </c>
      <c r="P599">
        <v>46140</v>
      </c>
      <c r="Q599" t="s">
        <v>21</v>
      </c>
    </row>
    <row r="600" spans="1:17" x14ac:dyDescent="0.3">
      <c r="A600" t="s">
        <v>651</v>
      </c>
      <c r="B600" t="s">
        <v>103</v>
      </c>
      <c r="C600" t="s">
        <v>43</v>
      </c>
      <c r="D600" t="s">
        <v>29</v>
      </c>
      <c r="E600">
        <v>1517458</v>
      </c>
      <c r="F600">
        <v>663124</v>
      </c>
      <c r="G600">
        <v>747052</v>
      </c>
      <c r="H600">
        <v>76770</v>
      </c>
      <c r="I600">
        <v>4808</v>
      </c>
      <c r="J600">
        <v>1675</v>
      </c>
      <c r="K600">
        <f t="shared" si="18"/>
        <v>12.554665492426755</v>
      </c>
      <c r="L600">
        <v>192728</v>
      </c>
      <c r="M600">
        <v>484745</v>
      </c>
      <c r="N600">
        <f t="shared" si="19"/>
        <v>151.51768295213981</v>
      </c>
      <c r="O600">
        <v>46035</v>
      </c>
      <c r="P600">
        <v>46058</v>
      </c>
      <c r="Q600" t="s">
        <v>41</v>
      </c>
    </row>
    <row r="601" spans="1:17" x14ac:dyDescent="0.3">
      <c r="A601" t="s">
        <v>652</v>
      </c>
      <c r="B601" t="s">
        <v>75</v>
      </c>
      <c r="C601" t="s">
        <v>19</v>
      </c>
      <c r="D601" t="s">
        <v>72</v>
      </c>
      <c r="E601">
        <v>1471199</v>
      </c>
      <c r="F601">
        <v>1201511</v>
      </c>
      <c r="G601">
        <v>2715808</v>
      </c>
      <c r="H601">
        <v>143679</v>
      </c>
      <c r="I601">
        <v>8665</v>
      </c>
      <c r="J601">
        <v>6736</v>
      </c>
      <c r="K601">
        <f t="shared" si="18"/>
        <v>13.239995305910639</v>
      </c>
      <c r="L601">
        <v>47935</v>
      </c>
      <c r="M601">
        <v>235370</v>
      </c>
      <c r="N601">
        <f t="shared" si="19"/>
        <v>391.01908834880567</v>
      </c>
      <c r="O601">
        <v>46145</v>
      </c>
      <c r="P601">
        <v>46165</v>
      </c>
      <c r="Q601" t="s">
        <v>54</v>
      </c>
    </row>
    <row r="602" spans="1:17" x14ac:dyDescent="0.3">
      <c r="A602" t="s">
        <v>653</v>
      </c>
      <c r="B602" t="s">
        <v>39</v>
      </c>
      <c r="C602" t="s">
        <v>43</v>
      </c>
      <c r="D602" t="s">
        <v>40</v>
      </c>
      <c r="E602">
        <v>733417</v>
      </c>
      <c r="F602">
        <v>538524</v>
      </c>
      <c r="G602">
        <v>1206677</v>
      </c>
      <c r="H602">
        <v>75663</v>
      </c>
      <c r="I602">
        <v>4493</v>
      </c>
      <c r="J602">
        <v>2180</v>
      </c>
      <c r="K602">
        <f t="shared" si="18"/>
        <v>15.289197881617161</v>
      </c>
      <c r="L602">
        <v>450693</v>
      </c>
      <c r="M602">
        <v>989775</v>
      </c>
      <c r="N602">
        <f t="shared" si="19"/>
        <v>119.61179783133973</v>
      </c>
      <c r="O602">
        <v>45746</v>
      </c>
      <c r="P602">
        <v>45760</v>
      </c>
      <c r="Q602" t="s">
        <v>78</v>
      </c>
    </row>
    <row r="603" spans="1:17" x14ac:dyDescent="0.3">
      <c r="A603" t="s">
        <v>654</v>
      </c>
      <c r="B603" t="s">
        <v>53</v>
      </c>
      <c r="C603" t="s">
        <v>43</v>
      </c>
      <c r="D603" t="s">
        <v>46</v>
      </c>
      <c r="E603">
        <v>1548708</v>
      </c>
      <c r="F603">
        <v>751515</v>
      </c>
      <c r="G603">
        <v>1633711</v>
      </c>
      <c r="H603">
        <v>29929</v>
      </c>
      <c r="I603">
        <v>3023</v>
      </c>
      <c r="J603">
        <v>1461</v>
      </c>
      <c r="K603">
        <f t="shared" si="18"/>
        <v>4.5791501167641364</v>
      </c>
      <c r="L603">
        <v>48235</v>
      </c>
      <c r="M603">
        <v>197682</v>
      </c>
      <c r="N603">
        <f t="shared" si="19"/>
        <v>309.83103555509484</v>
      </c>
      <c r="O603">
        <v>45842</v>
      </c>
      <c r="P603">
        <v>45849</v>
      </c>
      <c r="Q603" t="s">
        <v>41</v>
      </c>
    </row>
    <row r="604" spans="1:17" x14ac:dyDescent="0.3">
      <c r="A604" t="s">
        <v>655</v>
      </c>
      <c r="B604" t="s">
        <v>63</v>
      </c>
      <c r="C604" t="s">
        <v>19</v>
      </c>
      <c r="D604" t="s">
        <v>29</v>
      </c>
      <c r="E604">
        <v>1824256</v>
      </c>
      <c r="F604">
        <v>743902</v>
      </c>
      <c r="G604">
        <v>1273520</v>
      </c>
      <c r="H604">
        <v>55422</v>
      </c>
      <c r="I604">
        <v>6034</v>
      </c>
      <c r="J604">
        <v>4270</v>
      </c>
      <c r="K604">
        <f t="shared" si="18"/>
        <v>8.835303574933258</v>
      </c>
      <c r="L604">
        <v>175523</v>
      </c>
      <c r="M604">
        <v>519693</v>
      </c>
      <c r="N604">
        <f t="shared" si="19"/>
        <v>196.08256467813334</v>
      </c>
      <c r="O604">
        <v>46101</v>
      </c>
      <c r="P604">
        <v>46115</v>
      </c>
      <c r="Q604" t="s">
        <v>78</v>
      </c>
    </row>
    <row r="605" spans="1:17" x14ac:dyDescent="0.3">
      <c r="A605" t="s">
        <v>656</v>
      </c>
      <c r="B605" t="s">
        <v>36</v>
      </c>
      <c r="C605" t="s">
        <v>28</v>
      </c>
      <c r="D605" t="s">
        <v>58</v>
      </c>
      <c r="E605">
        <v>174031</v>
      </c>
      <c r="F605">
        <v>113231</v>
      </c>
      <c r="G605">
        <v>190235</v>
      </c>
      <c r="H605">
        <v>2800</v>
      </c>
      <c r="I605">
        <v>127</v>
      </c>
      <c r="J605">
        <v>245</v>
      </c>
      <c r="K605">
        <f t="shared" si="18"/>
        <v>2.80135298637299</v>
      </c>
      <c r="L605">
        <v>260276</v>
      </c>
      <c r="M605">
        <v>891448</v>
      </c>
      <c r="N605">
        <f t="shared" si="19"/>
        <v>242.50103736034055</v>
      </c>
      <c r="O605">
        <v>45894</v>
      </c>
      <c r="P605">
        <v>45923</v>
      </c>
      <c r="Q605" t="s">
        <v>78</v>
      </c>
    </row>
    <row r="606" spans="1:17" x14ac:dyDescent="0.3">
      <c r="A606" t="s">
        <v>657</v>
      </c>
      <c r="B606" t="s">
        <v>49</v>
      </c>
      <c r="C606" t="s">
        <v>28</v>
      </c>
      <c r="D606" t="s">
        <v>24</v>
      </c>
      <c r="E606">
        <v>852234</v>
      </c>
      <c r="F606">
        <v>384038</v>
      </c>
      <c r="G606">
        <v>917494</v>
      </c>
      <c r="H606">
        <v>31602</v>
      </c>
      <c r="I606">
        <v>1667</v>
      </c>
      <c r="J606">
        <v>2075</v>
      </c>
      <c r="K606">
        <f t="shared" si="18"/>
        <v>9.2032559277988124</v>
      </c>
      <c r="L606">
        <v>346708</v>
      </c>
      <c r="M606">
        <v>997965</v>
      </c>
      <c r="N606">
        <f t="shared" si="19"/>
        <v>187.84019982232886</v>
      </c>
      <c r="O606">
        <v>45672</v>
      </c>
      <c r="P606">
        <v>45683</v>
      </c>
      <c r="Q606" t="s">
        <v>21</v>
      </c>
    </row>
    <row r="607" spans="1:17" x14ac:dyDescent="0.3">
      <c r="A607" t="s">
        <v>658</v>
      </c>
      <c r="B607" t="s">
        <v>49</v>
      </c>
      <c r="C607" t="s">
        <v>19</v>
      </c>
      <c r="D607" t="s">
        <v>24</v>
      </c>
      <c r="E607">
        <v>1106257</v>
      </c>
      <c r="F607">
        <v>673085</v>
      </c>
      <c r="G607">
        <v>1373417</v>
      </c>
      <c r="H607">
        <v>21407</v>
      </c>
      <c r="I607">
        <v>2221</v>
      </c>
      <c r="J607">
        <v>1640</v>
      </c>
      <c r="K607">
        <f t="shared" si="18"/>
        <v>3.7540578084491556</v>
      </c>
      <c r="L607">
        <v>390940</v>
      </c>
      <c r="M607">
        <v>835004</v>
      </c>
      <c r="N607">
        <f t="shared" si="19"/>
        <v>113.5887860029672</v>
      </c>
      <c r="O607">
        <v>45918</v>
      </c>
      <c r="P607">
        <v>45925</v>
      </c>
      <c r="Q607" t="s">
        <v>25</v>
      </c>
    </row>
    <row r="608" spans="1:17" x14ac:dyDescent="0.3">
      <c r="A608" t="s">
        <v>659</v>
      </c>
      <c r="B608" t="s">
        <v>53</v>
      </c>
      <c r="C608" t="s">
        <v>43</v>
      </c>
      <c r="D608" t="s">
        <v>46</v>
      </c>
      <c r="E608">
        <v>92659</v>
      </c>
      <c r="F608">
        <v>64568</v>
      </c>
      <c r="G608">
        <v>151102</v>
      </c>
      <c r="H608">
        <v>2430</v>
      </c>
      <c r="I608">
        <v>187</v>
      </c>
      <c r="J608">
        <v>205</v>
      </c>
      <c r="K608">
        <f t="shared" si="18"/>
        <v>4.3705860488167509</v>
      </c>
      <c r="L608">
        <v>468174</v>
      </c>
      <c r="M608">
        <v>2126106</v>
      </c>
      <c r="N608">
        <f t="shared" si="19"/>
        <v>354.12731164054389</v>
      </c>
      <c r="O608">
        <v>46073</v>
      </c>
      <c r="P608">
        <v>46098</v>
      </c>
      <c r="Q608" t="s">
        <v>41</v>
      </c>
    </row>
    <row r="609" spans="1:17" x14ac:dyDescent="0.3">
      <c r="A609" t="s">
        <v>660</v>
      </c>
      <c r="B609" t="s">
        <v>18</v>
      </c>
      <c r="C609" t="s">
        <v>28</v>
      </c>
      <c r="D609" t="s">
        <v>24</v>
      </c>
      <c r="E609">
        <v>1994899</v>
      </c>
      <c r="F609">
        <v>1529872</v>
      </c>
      <c r="G609">
        <v>2288108</v>
      </c>
      <c r="H609">
        <v>101685</v>
      </c>
      <c r="I609">
        <v>5931</v>
      </c>
      <c r="J609">
        <v>9621</v>
      </c>
      <c r="K609">
        <f t="shared" si="18"/>
        <v>7.6631901230952648</v>
      </c>
      <c r="L609">
        <v>148458</v>
      </c>
      <c r="M609">
        <v>192617</v>
      </c>
      <c r="N609">
        <f t="shared" si="19"/>
        <v>29.745113095959802</v>
      </c>
      <c r="O609">
        <v>46023</v>
      </c>
      <c r="P609">
        <v>46039</v>
      </c>
      <c r="Q609" t="s">
        <v>34</v>
      </c>
    </row>
    <row r="610" spans="1:17" x14ac:dyDescent="0.3">
      <c r="A610" t="s">
        <v>661</v>
      </c>
      <c r="B610" t="s">
        <v>63</v>
      </c>
      <c r="C610" t="s">
        <v>33</v>
      </c>
      <c r="D610" t="s">
        <v>72</v>
      </c>
      <c r="E610">
        <v>53925</v>
      </c>
      <c r="F610">
        <v>21040</v>
      </c>
      <c r="G610">
        <v>52179</v>
      </c>
      <c r="H610">
        <v>1172</v>
      </c>
      <c r="I610">
        <v>117</v>
      </c>
      <c r="J610">
        <v>113</v>
      </c>
      <c r="K610">
        <f t="shared" si="18"/>
        <v>6.663498098859316</v>
      </c>
      <c r="L610">
        <v>303996</v>
      </c>
      <c r="M610">
        <v>532458</v>
      </c>
      <c r="N610">
        <f t="shared" si="19"/>
        <v>75.152962538980773</v>
      </c>
      <c r="O610">
        <v>45716</v>
      </c>
      <c r="P610">
        <v>45746</v>
      </c>
      <c r="Q610" t="s">
        <v>25</v>
      </c>
    </row>
    <row r="611" spans="1:17" x14ac:dyDescent="0.3">
      <c r="A611" t="s">
        <v>662</v>
      </c>
      <c r="B611" t="s">
        <v>39</v>
      </c>
      <c r="C611" t="s">
        <v>43</v>
      </c>
      <c r="D611" t="s">
        <v>40</v>
      </c>
      <c r="E611">
        <v>448959</v>
      </c>
      <c r="F611">
        <v>339384</v>
      </c>
      <c r="G611">
        <v>459039</v>
      </c>
      <c r="H611">
        <v>22773</v>
      </c>
      <c r="I611">
        <v>2848</v>
      </c>
      <c r="J611">
        <v>698</v>
      </c>
      <c r="K611">
        <f t="shared" si="18"/>
        <v>7.7549324658793575</v>
      </c>
      <c r="L611">
        <v>137553</v>
      </c>
      <c r="M611">
        <v>178428</v>
      </c>
      <c r="N611">
        <f t="shared" si="19"/>
        <v>29.715818629909922</v>
      </c>
      <c r="O611">
        <v>45752</v>
      </c>
      <c r="P611">
        <v>45769</v>
      </c>
      <c r="Q611" t="s">
        <v>30</v>
      </c>
    </row>
    <row r="612" spans="1:17" x14ac:dyDescent="0.3">
      <c r="A612" t="s">
        <v>663</v>
      </c>
      <c r="B612" t="s">
        <v>39</v>
      </c>
      <c r="C612" t="s">
        <v>33</v>
      </c>
      <c r="D612" t="s">
        <v>72</v>
      </c>
      <c r="E612">
        <v>1155769</v>
      </c>
      <c r="F612">
        <v>912842</v>
      </c>
      <c r="G612">
        <v>1441390</v>
      </c>
      <c r="H612">
        <v>114078</v>
      </c>
      <c r="I612">
        <v>7718</v>
      </c>
      <c r="J612">
        <v>2399</v>
      </c>
      <c r="K612">
        <f t="shared" si="18"/>
        <v>13.605311762605139</v>
      </c>
      <c r="L612">
        <v>53067</v>
      </c>
      <c r="M612">
        <v>234401</v>
      </c>
      <c r="N612">
        <f t="shared" si="19"/>
        <v>341.70765259012194</v>
      </c>
      <c r="O612">
        <v>46128</v>
      </c>
      <c r="P612">
        <v>46140</v>
      </c>
      <c r="Q612" t="s">
        <v>30</v>
      </c>
    </row>
    <row r="613" spans="1:17" x14ac:dyDescent="0.3">
      <c r="A613" t="s">
        <v>664</v>
      </c>
      <c r="B613" t="s">
        <v>45</v>
      </c>
      <c r="C613" t="s">
        <v>33</v>
      </c>
      <c r="D613" t="s">
        <v>20</v>
      </c>
      <c r="E613">
        <v>518872</v>
      </c>
      <c r="F613">
        <v>342466</v>
      </c>
      <c r="G613">
        <v>489891</v>
      </c>
      <c r="H613">
        <v>38651</v>
      </c>
      <c r="I613">
        <v>5308</v>
      </c>
      <c r="J613">
        <v>989</v>
      </c>
      <c r="K613">
        <f t="shared" si="18"/>
        <v>13.124806550139285</v>
      </c>
      <c r="L613">
        <v>352728</v>
      </c>
      <c r="M613">
        <v>1163115</v>
      </c>
      <c r="N613">
        <f t="shared" si="19"/>
        <v>229.74841804449886</v>
      </c>
      <c r="O613">
        <v>45941</v>
      </c>
      <c r="P613">
        <v>45961</v>
      </c>
      <c r="Q613" t="s">
        <v>78</v>
      </c>
    </row>
    <row r="614" spans="1:17" x14ac:dyDescent="0.3">
      <c r="A614" t="s">
        <v>665</v>
      </c>
      <c r="B614" t="s">
        <v>27</v>
      </c>
      <c r="C614" t="s">
        <v>19</v>
      </c>
      <c r="D614" t="s">
        <v>46</v>
      </c>
      <c r="E614">
        <v>376407</v>
      </c>
      <c r="F614">
        <v>268463</v>
      </c>
      <c r="G614">
        <v>480902</v>
      </c>
      <c r="H614">
        <v>32371</v>
      </c>
      <c r="I614">
        <v>4170</v>
      </c>
      <c r="J614">
        <v>2726</v>
      </c>
      <c r="K614">
        <f t="shared" si="18"/>
        <v>14.626596588729173</v>
      </c>
      <c r="L614">
        <v>240154</v>
      </c>
      <c r="M614">
        <v>918607</v>
      </c>
      <c r="N614">
        <f t="shared" si="19"/>
        <v>282.50747437061221</v>
      </c>
      <c r="O614">
        <v>45685</v>
      </c>
      <c r="P614">
        <v>45711</v>
      </c>
      <c r="Q614" t="s">
        <v>25</v>
      </c>
    </row>
    <row r="615" spans="1:17" x14ac:dyDescent="0.3">
      <c r="A615" t="s">
        <v>666</v>
      </c>
      <c r="B615" t="s">
        <v>63</v>
      </c>
      <c r="C615" t="s">
        <v>37</v>
      </c>
      <c r="D615" t="s">
        <v>46</v>
      </c>
      <c r="E615">
        <v>1335473</v>
      </c>
      <c r="F615">
        <v>531309</v>
      </c>
      <c r="G615">
        <v>617889</v>
      </c>
      <c r="H615">
        <v>54881</v>
      </c>
      <c r="I615">
        <v>7457</v>
      </c>
      <c r="J615">
        <v>4241</v>
      </c>
      <c r="K615">
        <f t="shared" si="18"/>
        <v>12.531125954952769</v>
      </c>
      <c r="L615">
        <v>331185</v>
      </c>
      <c r="M615">
        <v>908979</v>
      </c>
      <c r="N615">
        <f t="shared" si="19"/>
        <v>174.46261153131934</v>
      </c>
      <c r="O615">
        <v>45857</v>
      </c>
      <c r="P615">
        <v>45875</v>
      </c>
      <c r="Q615" t="s">
        <v>41</v>
      </c>
    </row>
    <row r="616" spans="1:17" x14ac:dyDescent="0.3">
      <c r="A616" t="s">
        <v>667</v>
      </c>
      <c r="B616" t="s">
        <v>39</v>
      </c>
      <c r="C616" t="s">
        <v>37</v>
      </c>
      <c r="D616" t="s">
        <v>51</v>
      </c>
      <c r="E616">
        <v>216468</v>
      </c>
      <c r="F616">
        <v>61738</v>
      </c>
      <c r="G616">
        <v>105306</v>
      </c>
      <c r="H616">
        <v>1496</v>
      </c>
      <c r="I616">
        <v>170</v>
      </c>
      <c r="J616">
        <v>97</v>
      </c>
      <c r="K616">
        <f t="shared" si="18"/>
        <v>2.8556156662023389</v>
      </c>
      <c r="L616">
        <v>407079</v>
      </c>
      <c r="M616">
        <v>512702</v>
      </c>
      <c r="N616">
        <f t="shared" si="19"/>
        <v>25.946560741281179</v>
      </c>
      <c r="O616">
        <v>46043</v>
      </c>
      <c r="P616">
        <v>46066</v>
      </c>
      <c r="Q616" t="s">
        <v>47</v>
      </c>
    </row>
    <row r="617" spans="1:17" x14ac:dyDescent="0.3">
      <c r="A617" t="s">
        <v>668</v>
      </c>
      <c r="B617" t="s">
        <v>80</v>
      </c>
      <c r="C617" t="s">
        <v>33</v>
      </c>
      <c r="D617" t="s">
        <v>20</v>
      </c>
      <c r="E617">
        <v>1276850</v>
      </c>
      <c r="F617">
        <v>467358</v>
      </c>
      <c r="G617">
        <v>1004004</v>
      </c>
      <c r="H617">
        <v>47984</v>
      </c>
      <c r="I617">
        <v>3624</v>
      </c>
      <c r="J617">
        <v>4542</v>
      </c>
      <c r="K617">
        <f t="shared" si="18"/>
        <v>12.014344463986923</v>
      </c>
      <c r="L617">
        <v>82605</v>
      </c>
      <c r="M617">
        <v>313673</v>
      </c>
      <c r="N617">
        <f t="shared" si="19"/>
        <v>279.72640881302584</v>
      </c>
      <c r="O617">
        <v>46117</v>
      </c>
      <c r="P617">
        <v>46145</v>
      </c>
      <c r="Q617" t="s">
        <v>78</v>
      </c>
    </row>
    <row r="618" spans="1:17" x14ac:dyDescent="0.3">
      <c r="A618" t="s">
        <v>669</v>
      </c>
      <c r="B618" t="s">
        <v>23</v>
      </c>
      <c r="C618" t="s">
        <v>28</v>
      </c>
      <c r="D618" t="s">
        <v>72</v>
      </c>
      <c r="E618">
        <v>1425090</v>
      </c>
      <c r="F618">
        <v>477240</v>
      </c>
      <c r="G618">
        <v>1336135</v>
      </c>
      <c r="H618">
        <v>27572</v>
      </c>
      <c r="I618">
        <v>2828</v>
      </c>
      <c r="J618">
        <v>1531</v>
      </c>
      <c r="K618">
        <f t="shared" si="18"/>
        <v>6.6907635571201078</v>
      </c>
      <c r="L618">
        <v>452171</v>
      </c>
      <c r="M618">
        <v>798056</v>
      </c>
      <c r="N618">
        <f t="shared" si="19"/>
        <v>76.494290876681617</v>
      </c>
      <c r="O618">
        <v>45863</v>
      </c>
      <c r="P618">
        <v>45879</v>
      </c>
      <c r="Q618" t="s">
        <v>54</v>
      </c>
    </row>
    <row r="619" spans="1:17" x14ac:dyDescent="0.3">
      <c r="A619" t="s">
        <v>670</v>
      </c>
      <c r="B619" t="s">
        <v>36</v>
      </c>
      <c r="C619" t="s">
        <v>33</v>
      </c>
      <c r="D619" t="s">
        <v>40</v>
      </c>
      <c r="E619">
        <v>1629652</v>
      </c>
      <c r="F619">
        <v>820100</v>
      </c>
      <c r="G619">
        <v>941471</v>
      </c>
      <c r="H619">
        <v>17866</v>
      </c>
      <c r="I619">
        <v>1898</v>
      </c>
      <c r="J619">
        <v>615</v>
      </c>
      <c r="K619">
        <f t="shared" si="18"/>
        <v>2.4849408608706254</v>
      </c>
      <c r="L619">
        <v>103291</v>
      </c>
      <c r="M619">
        <v>516010</v>
      </c>
      <c r="N619">
        <f t="shared" si="19"/>
        <v>399.56917834080411</v>
      </c>
      <c r="O619">
        <v>45769</v>
      </c>
      <c r="P619">
        <v>45777</v>
      </c>
      <c r="Q619" t="s">
        <v>30</v>
      </c>
    </row>
    <row r="620" spans="1:17" x14ac:dyDescent="0.3">
      <c r="A620" t="s">
        <v>671</v>
      </c>
      <c r="B620" t="s">
        <v>32</v>
      </c>
      <c r="C620" t="s">
        <v>33</v>
      </c>
      <c r="D620" t="s">
        <v>72</v>
      </c>
      <c r="E620">
        <v>493960</v>
      </c>
      <c r="F620">
        <v>371318</v>
      </c>
      <c r="G620">
        <v>1054636</v>
      </c>
      <c r="H620">
        <v>40130</v>
      </c>
      <c r="I620">
        <v>4657</v>
      </c>
      <c r="J620">
        <v>3036</v>
      </c>
      <c r="K620">
        <f t="shared" si="18"/>
        <v>12.879257132700273</v>
      </c>
      <c r="L620">
        <v>194570</v>
      </c>
      <c r="M620">
        <v>252407</v>
      </c>
      <c r="N620">
        <f t="shared" si="19"/>
        <v>29.725548645731614</v>
      </c>
      <c r="O620">
        <v>45798</v>
      </c>
      <c r="P620">
        <v>45819</v>
      </c>
      <c r="Q620" t="s">
        <v>78</v>
      </c>
    </row>
    <row r="621" spans="1:17" x14ac:dyDescent="0.3">
      <c r="A621" t="s">
        <v>672</v>
      </c>
      <c r="B621" t="s">
        <v>80</v>
      </c>
      <c r="C621" t="s">
        <v>19</v>
      </c>
      <c r="D621" t="s">
        <v>40</v>
      </c>
      <c r="E621">
        <v>1850474</v>
      </c>
      <c r="F621">
        <v>1407557</v>
      </c>
      <c r="G621">
        <v>3452867</v>
      </c>
      <c r="H621">
        <v>64709</v>
      </c>
      <c r="I621">
        <v>6140</v>
      </c>
      <c r="J621">
        <v>2631</v>
      </c>
      <c r="K621">
        <f t="shared" si="18"/>
        <v>5.2203924956502643</v>
      </c>
      <c r="L621">
        <v>482844</v>
      </c>
      <c r="M621">
        <v>1297025</v>
      </c>
      <c r="N621">
        <f t="shared" si="19"/>
        <v>168.62195657396592</v>
      </c>
      <c r="O621">
        <v>46030</v>
      </c>
      <c r="P621">
        <v>46056</v>
      </c>
      <c r="Q621" t="s">
        <v>34</v>
      </c>
    </row>
    <row r="622" spans="1:17" x14ac:dyDescent="0.3">
      <c r="A622" t="s">
        <v>673</v>
      </c>
      <c r="B622" t="s">
        <v>75</v>
      </c>
      <c r="C622" t="s">
        <v>43</v>
      </c>
      <c r="D622" t="s">
        <v>46</v>
      </c>
      <c r="E622">
        <v>405124</v>
      </c>
      <c r="F622">
        <v>202704</v>
      </c>
      <c r="G622">
        <v>590696</v>
      </c>
      <c r="H622">
        <v>18296</v>
      </c>
      <c r="I622">
        <v>1730</v>
      </c>
      <c r="J622">
        <v>1552</v>
      </c>
      <c r="K622">
        <f t="shared" si="18"/>
        <v>10.645078538164023</v>
      </c>
      <c r="L622">
        <v>278804</v>
      </c>
      <c r="M622">
        <v>350345</v>
      </c>
      <c r="N622">
        <f t="shared" si="19"/>
        <v>25.659961836989424</v>
      </c>
      <c r="O622">
        <v>45677</v>
      </c>
      <c r="P622">
        <v>45694</v>
      </c>
      <c r="Q622" t="s">
        <v>30</v>
      </c>
    </row>
    <row r="623" spans="1:17" x14ac:dyDescent="0.3">
      <c r="A623" t="s">
        <v>674</v>
      </c>
      <c r="B623" t="s">
        <v>49</v>
      </c>
      <c r="C623" t="s">
        <v>33</v>
      </c>
      <c r="D623" t="s">
        <v>46</v>
      </c>
      <c r="E623">
        <v>1957019</v>
      </c>
      <c r="F623">
        <v>771003</v>
      </c>
      <c r="G623">
        <v>2244683</v>
      </c>
      <c r="H623">
        <v>114141</v>
      </c>
      <c r="I623">
        <v>12391</v>
      </c>
      <c r="J623">
        <v>6715</v>
      </c>
      <c r="K623">
        <f t="shared" si="18"/>
        <v>17.282293324409892</v>
      </c>
      <c r="L623">
        <v>182863</v>
      </c>
      <c r="M623">
        <v>891068</v>
      </c>
      <c r="N623">
        <f t="shared" si="19"/>
        <v>387.28720408174422</v>
      </c>
      <c r="O623">
        <v>45688</v>
      </c>
      <c r="P623">
        <v>45713</v>
      </c>
      <c r="Q623" t="s">
        <v>30</v>
      </c>
    </row>
    <row r="624" spans="1:17" x14ac:dyDescent="0.3">
      <c r="A624" t="s">
        <v>675</v>
      </c>
      <c r="B624" t="s">
        <v>27</v>
      </c>
      <c r="C624" t="s">
        <v>37</v>
      </c>
      <c r="D624" t="s">
        <v>51</v>
      </c>
      <c r="E624">
        <v>56439</v>
      </c>
      <c r="F624">
        <v>14734</v>
      </c>
      <c r="G624">
        <v>25575</v>
      </c>
      <c r="H624">
        <v>978</v>
      </c>
      <c r="I624">
        <v>107</v>
      </c>
      <c r="J624">
        <v>29</v>
      </c>
      <c r="K624">
        <f t="shared" si="18"/>
        <v>7.5607438577439927</v>
      </c>
      <c r="L624">
        <v>287458</v>
      </c>
      <c r="M624">
        <v>1289032</v>
      </c>
      <c r="N624">
        <f t="shared" si="19"/>
        <v>348.42446548713201</v>
      </c>
      <c r="O624">
        <v>46119</v>
      </c>
      <c r="P624">
        <v>46146</v>
      </c>
      <c r="Q624" t="s">
        <v>34</v>
      </c>
    </row>
    <row r="625" spans="1:17" x14ac:dyDescent="0.3">
      <c r="A625" t="s">
        <v>676</v>
      </c>
      <c r="B625" t="s">
        <v>61</v>
      </c>
      <c r="C625" t="s">
        <v>37</v>
      </c>
      <c r="D625" t="s">
        <v>51</v>
      </c>
      <c r="E625">
        <v>135068</v>
      </c>
      <c r="F625">
        <v>98316</v>
      </c>
      <c r="G625">
        <v>120147</v>
      </c>
      <c r="H625">
        <v>2498</v>
      </c>
      <c r="I625">
        <v>253</v>
      </c>
      <c r="J625">
        <v>248</v>
      </c>
      <c r="K625">
        <f t="shared" si="18"/>
        <v>3.0503682004963584</v>
      </c>
      <c r="L625">
        <v>488827</v>
      </c>
      <c r="M625">
        <v>1271781</v>
      </c>
      <c r="N625">
        <f t="shared" si="19"/>
        <v>160.16995787875874</v>
      </c>
      <c r="O625">
        <v>45761</v>
      </c>
      <c r="P625">
        <v>45773</v>
      </c>
      <c r="Q625" t="s">
        <v>34</v>
      </c>
    </row>
    <row r="626" spans="1:17" x14ac:dyDescent="0.3">
      <c r="A626" t="s">
        <v>677</v>
      </c>
      <c r="B626" t="s">
        <v>63</v>
      </c>
      <c r="C626" t="s">
        <v>37</v>
      </c>
      <c r="D626" t="s">
        <v>29</v>
      </c>
      <c r="E626">
        <v>591086</v>
      </c>
      <c r="F626">
        <v>522685</v>
      </c>
      <c r="G626">
        <v>1120616</v>
      </c>
      <c r="H626">
        <v>39643</v>
      </c>
      <c r="I626">
        <v>3133</v>
      </c>
      <c r="J626">
        <v>3625</v>
      </c>
      <c r="K626">
        <f t="shared" si="18"/>
        <v>8.877430957460037</v>
      </c>
      <c r="L626">
        <v>189353</v>
      </c>
      <c r="M626">
        <v>856735</v>
      </c>
      <c r="N626">
        <f t="shared" si="19"/>
        <v>352.45388243122636</v>
      </c>
      <c r="O626">
        <v>46045</v>
      </c>
      <c r="P626">
        <v>46074</v>
      </c>
      <c r="Q626" t="s">
        <v>47</v>
      </c>
    </row>
    <row r="627" spans="1:17" x14ac:dyDescent="0.3">
      <c r="A627" t="s">
        <v>678</v>
      </c>
      <c r="B627" t="s">
        <v>36</v>
      </c>
      <c r="C627" t="s">
        <v>19</v>
      </c>
      <c r="D627" t="s">
        <v>40</v>
      </c>
      <c r="E627">
        <v>207454</v>
      </c>
      <c r="F627">
        <v>128523</v>
      </c>
      <c r="G627">
        <v>335305</v>
      </c>
      <c r="H627">
        <v>3849</v>
      </c>
      <c r="I627">
        <v>545</v>
      </c>
      <c r="J627">
        <v>195</v>
      </c>
      <c r="K627">
        <f t="shared" si="18"/>
        <v>3.5705671358433904</v>
      </c>
      <c r="L627">
        <v>463126</v>
      </c>
      <c r="M627">
        <v>1332620</v>
      </c>
      <c r="N627">
        <f t="shared" si="19"/>
        <v>187.74458786593712</v>
      </c>
      <c r="O627">
        <v>46019</v>
      </c>
      <c r="P627">
        <v>46035</v>
      </c>
      <c r="Q627" t="s">
        <v>25</v>
      </c>
    </row>
    <row r="628" spans="1:17" x14ac:dyDescent="0.3">
      <c r="A628" t="s">
        <v>679</v>
      </c>
      <c r="B628" t="s">
        <v>18</v>
      </c>
      <c r="C628" t="s">
        <v>33</v>
      </c>
      <c r="D628" t="s">
        <v>58</v>
      </c>
      <c r="E628">
        <v>1424147</v>
      </c>
      <c r="F628">
        <v>361879</v>
      </c>
      <c r="G628">
        <v>767389</v>
      </c>
      <c r="H628">
        <v>12123</v>
      </c>
      <c r="I628">
        <v>1404</v>
      </c>
      <c r="J628">
        <v>753</v>
      </c>
      <c r="K628">
        <f t="shared" si="18"/>
        <v>3.9460703715882937</v>
      </c>
      <c r="L628">
        <v>179968</v>
      </c>
      <c r="M628">
        <v>429161</v>
      </c>
      <c r="N628">
        <f t="shared" si="19"/>
        <v>138.46517158605977</v>
      </c>
      <c r="O628">
        <v>46157</v>
      </c>
      <c r="P628">
        <v>46172</v>
      </c>
      <c r="Q628" t="s">
        <v>21</v>
      </c>
    </row>
    <row r="629" spans="1:17" x14ac:dyDescent="0.3">
      <c r="A629" t="s">
        <v>680</v>
      </c>
      <c r="B629" t="s">
        <v>18</v>
      </c>
      <c r="C629" t="s">
        <v>28</v>
      </c>
      <c r="D629" t="s">
        <v>40</v>
      </c>
      <c r="E629">
        <v>602047</v>
      </c>
      <c r="F629">
        <v>225837</v>
      </c>
      <c r="G629">
        <v>665712</v>
      </c>
      <c r="H629">
        <v>8132</v>
      </c>
      <c r="I629">
        <v>286</v>
      </c>
      <c r="J629">
        <v>350</v>
      </c>
      <c r="K629">
        <f t="shared" si="18"/>
        <v>3.8824461890655653</v>
      </c>
      <c r="L629">
        <v>427403</v>
      </c>
      <c r="M629">
        <v>1189262</v>
      </c>
      <c r="N629">
        <f t="shared" si="19"/>
        <v>178.25307730642976</v>
      </c>
      <c r="O629">
        <v>45793</v>
      </c>
      <c r="P629">
        <v>45814</v>
      </c>
      <c r="Q629" t="s">
        <v>41</v>
      </c>
    </row>
    <row r="630" spans="1:17" x14ac:dyDescent="0.3">
      <c r="A630" t="s">
        <v>681</v>
      </c>
      <c r="B630" t="s">
        <v>80</v>
      </c>
      <c r="C630" t="s">
        <v>37</v>
      </c>
      <c r="D630" t="s">
        <v>40</v>
      </c>
      <c r="E630">
        <v>1678131</v>
      </c>
      <c r="F630">
        <v>825927</v>
      </c>
      <c r="G630">
        <v>1208748</v>
      </c>
      <c r="H630">
        <v>36527</v>
      </c>
      <c r="I630">
        <v>5191</v>
      </c>
      <c r="J630">
        <v>1218</v>
      </c>
      <c r="K630">
        <f t="shared" si="18"/>
        <v>5.1985223875717832</v>
      </c>
      <c r="L630">
        <v>433298</v>
      </c>
      <c r="M630">
        <v>1554721</v>
      </c>
      <c r="N630">
        <f t="shared" si="19"/>
        <v>258.81102612982289</v>
      </c>
      <c r="O630">
        <v>45933</v>
      </c>
      <c r="P630">
        <v>45955</v>
      </c>
      <c r="Q630" t="s">
        <v>34</v>
      </c>
    </row>
    <row r="631" spans="1:17" x14ac:dyDescent="0.3">
      <c r="A631" t="s">
        <v>682</v>
      </c>
      <c r="B631" t="s">
        <v>18</v>
      </c>
      <c r="C631" t="s">
        <v>19</v>
      </c>
      <c r="D631" t="s">
        <v>72</v>
      </c>
      <c r="E631">
        <v>1157105</v>
      </c>
      <c r="F631">
        <v>661554</v>
      </c>
      <c r="G631">
        <v>1104861</v>
      </c>
      <c r="H631">
        <v>98758</v>
      </c>
      <c r="I631">
        <v>6629</v>
      </c>
      <c r="J631">
        <v>6519</v>
      </c>
      <c r="K631">
        <f t="shared" si="18"/>
        <v>16.915625935297797</v>
      </c>
      <c r="L631">
        <v>262692</v>
      </c>
      <c r="M631">
        <v>328270</v>
      </c>
      <c r="N631">
        <f t="shared" si="19"/>
        <v>24.963835975210515</v>
      </c>
      <c r="O631">
        <v>45769</v>
      </c>
      <c r="P631">
        <v>45785</v>
      </c>
      <c r="Q631" t="s">
        <v>54</v>
      </c>
    </row>
    <row r="632" spans="1:17" x14ac:dyDescent="0.3">
      <c r="A632" t="s">
        <v>683</v>
      </c>
      <c r="B632" t="s">
        <v>18</v>
      </c>
      <c r="C632" t="s">
        <v>37</v>
      </c>
      <c r="D632" t="s">
        <v>24</v>
      </c>
      <c r="E632">
        <v>1087545</v>
      </c>
      <c r="F632">
        <v>879298</v>
      </c>
      <c r="G632">
        <v>2096088</v>
      </c>
      <c r="H632">
        <v>36924</v>
      </c>
      <c r="I632">
        <v>2348</v>
      </c>
      <c r="J632">
        <v>1653</v>
      </c>
      <c r="K632">
        <f t="shared" si="18"/>
        <v>4.654281028729736</v>
      </c>
      <c r="L632">
        <v>302409</v>
      </c>
      <c r="M632">
        <v>1217398</v>
      </c>
      <c r="N632">
        <f t="shared" si="19"/>
        <v>302.56672255124681</v>
      </c>
      <c r="O632">
        <v>45680</v>
      </c>
      <c r="P632">
        <v>45691</v>
      </c>
      <c r="Q632" t="s">
        <v>34</v>
      </c>
    </row>
    <row r="633" spans="1:17" x14ac:dyDescent="0.3">
      <c r="A633" t="s">
        <v>684</v>
      </c>
      <c r="B633" t="s">
        <v>27</v>
      </c>
      <c r="C633" t="s">
        <v>43</v>
      </c>
      <c r="D633" t="s">
        <v>20</v>
      </c>
      <c r="E633">
        <v>78005</v>
      </c>
      <c r="F633">
        <v>67604</v>
      </c>
      <c r="G633">
        <v>101132</v>
      </c>
      <c r="H633">
        <v>6237</v>
      </c>
      <c r="I633">
        <v>401</v>
      </c>
      <c r="J633">
        <v>152</v>
      </c>
      <c r="K633">
        <f t="shared" si="18"/>
        <v>10.043784391456127</v>
      </c>
      <c r="L633">
        <v>397583</v>
      </c>
      <c r="M633">
        <v>1925551</v>
      </c>
      <c r="N633">
        <f t="shared" si="19"/>
        <v>384.31421866629108</v>
      </c>
      <c r="O633">
        <v>45770</v>
      </c>
      <c r="P633">
        <v>45780</v>
      </c>
      <c r="Q633" t="s">
        <v>30</v>
      </c>
    </row>
    <row r="634" spans="1:17" x14ac:dyDescent="0.3">
      <c r="A634" t="s">
        <v>685</v>
      </c>
      <c r="B634" t="s">
        <v>45</v>
      </c>
      <c r="C634" t="s">
        <v>19</v>
      </c>
      <c r="D634" t="s">
        <v>46</v>
      </c>
      <c r="E634">
        <v>1709614</v>
      </c>
      <c r="F634">
        <v>1526675</v>
      </c>
      <c r="G634">
        <v>3698099</v>
      </c>
      <c r="H634">
        <v>35856</v>
      </c>
      <c r="I634">
        <v>2377</v>
      </c>
      <c r="J634">
        <v>2499</v>
      </c>
      <c r="K634">
        <f t="shared" si="18"/>
        <v>2.6680203710678434</v>
      </c>
      <c r="L634">
        <v>393678</v>
      </c>
      <c r="M634">
        <v>1939028</v>
      </c>
      <c r="N634">
        <f t="shared" si="19"/>
        <v>392.54162030898351</v>
      </c>
      <c r="O634">
        <v>45891</v>
      </c>
      <c r="P634">
        <v>45913</v>
      </c>
      <c r="Q634" t="s">
        <v>21</v>
      </c>
    </row>
    <row r="635" spans="1:17" x14ac:dyDescent="0.3">
      <c r="A635" t="s">
        <v>686</v>
      </c>
      <c r="B635" t="s">
        <v>23</v>
      </c>
      <c r="C635" t="s">
        <v>43</v>
      </c>
      <c r="D635" t="s">
        <v>46</v>
      </c>
      <c r="E635">
        <v>805906</v>
      </c>
      <c r="F635">
        <v>701369</v>
      </c>
      <c r="G635">
        <v>986354</v>
      </c>
      <c r="H635">
        <v>96299</v>
      </c>
      <c r="I635">
        <v>12467</v>
      </c>
      <c r="J635">
        <v>3739</v>
      </c>
      <c r="K635">
        <f t="shared" si="18"/>
        <v>16.040771690793289</v>
      </c>
      <c r="L635">
        <v>283380</v>
      </c>
      <c r="M635">
        <v>582733</v>
      </c>
      <c r="N635">
        <f t="shared" si="19"/>
        <v>105.63660103041852</v>
      </c>
      <c r="O635">
        <v>46134</v>
      </c>
      <c r="P635">
        <v>46157</v>
      </c>
      <c r="Q635" t="s">
        <v>21</v>
      </c>
    </row>
    <row r="636" spans="1:17" x14ac:dyDescent="0.3">
      <c r="A636" t="s">
        <v>687</v>
      </c>
      <c r="B636" t="s">
        <v>23</v>
      </c>
      <c r="C636" t="s">
        <v>43</v>
      </c>
      <c r="D636" t="s">
        <v>51</v>
      </c>
      <c r="E636">
        <v>1281570</v>
      </c>
      <c r="F636">
        <v>995930</v>
      </c>
      <c r="G636">
        <v>2732046</v>
      </c>
      <c r="H636">
        <v>57828</v>
      </c>
      <c r="I636">
        <v>2029</v>
      </c>
      <c r="J636">
        <v>3740</v>
      </c>
      <c r="K636">
        <f t="shared" si="18"/>
        <v>6.3856897573122611</v>
      </c>
      <c r="L636">
        <v>442701</v>
      </c>
      <c r="M636">
        <v>1571976</v>
      </c>
      <c r="N636">
        <f t="shared" si="19"/>
        <v>255.08751956738297</v>
      </c>
      <c r="O636">
        <v>45917</v>
      </c>
      <c r="P636">
        <v>45925</v>
      </c>
      <c r="Q636" t="s">
        <v>54</v>
      </c>
    </row>
    <row r="637" spans="1:17" x14ac:dyDescent="0.3">
      <c r="A637" t="s">
        <v>688</v>
      </c>
      <c r="B637" t="s">
        <v>39</v>
      </c>
      <c r="C637" t="s">
        <v>19</v>
      </c>
      <c r="D637" t="s">
        <v>58</v>
      </c>
      <c r="E637">
        <v>139496</v>
      </c>
      <c r="F637">
        <v>81256</v>
      </c>
      <c r="G637">
        <v>210821</v>
      </c>
      <c r="H637">
        <v>11609</v>
      </c>
      <c r="I637">
        <v>901</v>
      </c>
      <c r="J637">
        <v>310</v>
      </c>
      <c r="K637">
        <f t="shared" si="18"/>
        <v>15.777296445800925</v>
      </c>
      <c r="L637">
        <v>66150</v>
      </c>
      <c r="M637">
        <v>123860</v>
      </c>
      <c r="N637">
        <f t="shared" si="19"/>
        <v>87.241118669690096</v>
      </c>
      <c r="O637">
        <v>45687</v>
      </c>
      <c r="P637">
        <v>45712</v>
      </c>
      <c r="Q637" t="s">
        <v>78</v>
      </c>
    </row>
    <row r="638" spans="1:17" x14ac:dyDescent="0.3">
      <c r="A638" t="s">
        <v>689</v>
      </c>
      <c r="B638" t="s">
        <v>27</v>
      </c>
      <c r="C638" t="s">
        <v>43</v>
      </c>
      <c r="D638" t="s">
        <v>46</v>
      </c>
      <c r="E638">
        <v>514313</v>
      </c>
      <c r="F638">
        <v>251444</v>
      </c>
      <c r="G638">
        <v>369133</v>
      </c>
      <c r="H638">
        <v>24230</v>
      </c>
      <c r="I638">
        <v>1098</v>
      </c>
      <c r="J638">
        <v>1638</v>
      </c>
      <c r="K638">
        <f t="shared" si="18"/>
        <v>10.724455544773388</v>
      </c>
      <c r="L638">
        <v>91283</v>
      </c>
      <c r="M638">
        <v>275369</v>
      </c>
      <c r="N638">
        <f t="shared" si="19"/>
        <v>201.66515123297876</v>
      </c>
      <c r="O638">
        <v>46059</v>
      </c>
      <c r="P638">
        <v>46080</v>
      </c>
      <c r="Q638" t="s">
        <v>30</v>
      </c>
    </row>
    <row r="639" spans="1:17" x14ac:dyDescent="0.3">
      <c r="A639" t="s">
        <v>690</v>
      </c>
      <c r="B639" t="s">
        <v>32</v>
      </c>
      <c r="C639" t="s">
        <v>28</v>
      </c>
      <c r="D639" t="s">
        <v>40</v>
      </c>
      <c r="E639">
        <v>1119519</v>
      </c>
      <c r="F639">
        <v>939956</v>
      </c>
      <c r="G639">
        <v>1301915</v>
      </c>
      <c r="H639">
        <v>62306</v>
      </c>
      <c r="I639">
        <v>8957</v>
      </c>
      <c r="J639">
        <v>4572</v>
      </c>
      <c r="K639">
        <f t="shared" si="18"/>
        <v>8.0679308393158831</v>
      </c>
      <c r="L639">
        <v>179220</v>
      </c>
      <c r="M639">
        <v>421477</v>
      </c>
      <c r="N639">
        <f t="shared" si="19"/>
        <v>135.1729717665439</v>
      </c>
      <c r="O639">
        <v>46110</v>
      </c>
      <c r="P639">
        <v>46135</v>
      </c>
      <c r="Q639" t="s">
        <v>34</v>
      </c>
    </row>
    <row r="640" spans="1:17" x14ac:dyDescent="0.3">
      <c r="A640" t="s">
        <v>691</v>
      </c>
      <c r="B640" t="s">
        <v>61</v>
      </c>
      <c r="C640" t="s">
        <v>33</v>
      </c>
      <c r="D640" t="s">
        <v>29</v>
      </c>
      <c r="E640">
        <v>782195</v>
      </c>
      <c r="F640">
        <v>248302</v>
      </c>
      <c r="G640">
        <v>666178</v>
      </c>
      <c r="H640">
        <v>29951</v>
      </c>
      <c r="I640">
        <v>3807</v>
      </c>
      <c r="J640">
        <v>1049</v>
      </c>
      <c r="K640">
        <f t="shared" si="18"/>
        <v>14.01801032613511</v>
      </c>
      <c r="L640">
        <v>262189</v>
      </c>
      <c r="M640">
        <v>589627</v>
      </c>
      <c r="N640">
        <f t="shared" si="19"/>
        <v>124.8862461811899</v>
      </c>
      <c r="O640">
        <v>45955</v>
      </c>
      <c r="P640">
        <v>45981</v>
      </c>
      <c r="Q640" t="s">
        <v>30</v>
      </c>
    </row>
    <row r="641" spans="1:17" x14ac:dyDescent="0.3">
      <c r="A641" t="s">
        <v>692</v>
      </c>
      <c r="B641" t="s">
        <v>18</v>
      </c>
      <c r="C641" t="s">
        <v>43</v>
      </c>
      <c r="D641" t="s">
        <v>40</v>
      </c>
      <c r="E641">
        <v>1049631</v>
      </c>
      <c r="F641">
        <v>915168</v>
      </c>
      <c r="G641">
        <v>1085755</v>
      </c>
      <c r="H641">
        <v>112634</v>
      </c>
      <c r="I641">
        <v>10412</v>
      </c>
      <c r="J641">
        <v>11134</v>
      </c>
      <c r="K641">
        <f t="shared" si="18"/>
        <v>14.661788873736844</v>
      </c>
      <c r="L641">
        <v>415001</v>
      </c>
      <c r="M641">
        <v>1119271</v>
      </c>
      <c r="N641">
        <f t="shared" si="19"/>
        <v>169.70320553444449</v>
      </c>
      <c r="O641">
        <v>45859</v>
      </c>
      <c r="P641">
        <v>45873</v>
      </c>
      <c r="Q641" t="s">
        <v>47</v>
      </c>
    </row>
    <row r="642" spans="1:17" x14ac:dyDescent="0.3">
      <c r="A642" t="s">
        <v>693</v>
      </c>
      <c r="B642" t="s">
        <v>63</v>
      </c>
      <c r="C642" t="s">
        <v>37</v>
      </c>
      <c r="D642" t="s">
        <v>29</v>
      </c>
      <c r="E642">
        <v>1971439</v>
      </c>
      <c r="F642">
        <v>1479031</v>
      </c>
      <c r="G642">
        <v>2107828</v>
      </c>
      <c r="H642">
        <v>197201</v>
      </c>
      <c r="I642">
        <v>27486</v>
      </c>
      <c r="J642">
        <v>10449</v>
      </c>
      <c r="K642">
        <f t="shared" ref="K642:K705" si="20">((H642+I642+J642)/F642)*100</f>
        <v>15.897976445388906</v>
      </c>
      <c r="L642">
        <v>28456</v>
      </c>
      <c r="M642">
        <v>121499</v>
      </c>
      <c r="N642">
        <f t="shared" ref="N642:N705" si="21">((M642-L642)/L642)*100</f>
        <v>326.97146471745856</v>
      </c>
      <c r="O642">
        <v>45683</v>
      </c>
      <c r="P642">
        <v>45707</v>
      </c>
      <c r="Q642" t="s">
        <v>47</v>
      </c>
    </row>
    <row r="643" spans="1:17" x14ac:dyDescent="0.3">
      <c r="A643" t="s">
        <v>694</v>
      </c>
      <c r="B643" t="s">
        <v>80</v>
      </c>
      <c r="C643" t="s">
        <v>37</v>
      </c>
      <c r="D643" t="s">
        <v>20</v>
      </c>
      <c r="E643">
        <v>1436589</v>
      </c>
      <c r="F643">
        <v>905429</v>
      </c>
      <c r="G643">
        <v>1535999</v>
      </c>
      <c r="H643">
        <v>22421</v>
      </c>
      <c r="I643">
        <v>2960</v>
      </c>
      <c r="J643">
        <v>1934</v>
      </c>
      <c r="K643">
        <f t="shared" si="20"/>
        <v>3.0168019800558632</v>
      </c>
      <c r="L643">
        <v>112897</v>
      </c>
      <c r="M643">
        <v>439274</v>
      </c>
      <c r="N643">
        <f t="shared" si="21"/>
        <v>289.09271282673586</v>
      </c>
      <c r="O643">
        <v>45825</v>
      </c>
      <c r="P643">
        <v>45850</v>
      </c>
      <c r="Q643" t="s">
        <v>41</v>
      </c>
    </row>
    <row r="644" spans="1:17" x14ac:dyDescent="0.3">
      <c r="A644" t="s">
        <v>695</v>
      </c>
      <c r="B644" t="s">
        <v>80</v>
      </c>
      <c r="C644" t="s">
        <v>19</v>
      </c>
      <c r="D644" t="s">
        <v>72</v>
      </c>
      <c r="E644">
        <v>1991099</v>
      </c>
      <c r="F644">
        <v>835235</v>
      </c>
      <c r="G644">
        <v>1987308</v>
      </c>
      <c r="H644">
        <v>35700</v>
      </c>
      <c r="I644">
        <v>4739</v>
      </c>
      <c r="J644">
        <v>2326</v>
      </c>
      <c r="K644">
        <f t="shared" si="20"/>
        <v>5.1201158955264088</v>
      </c>
      <c r="L644">
        <v>141534</v>
      </c>
      <c r="M644">
        <v>346813</v>
      </c>
      <c r="N644">
        <f t="shared" si="21"/>
        <v>145.03864795738127</v>
      </c>
      <c r="O644">
        <v>45748</v>
      </c>
      <c r="P644">
        <v>45764</v>
      </c>
      <c r="Q644" t="s">
        <v>30</v>
      </c>
    </row>
    <row r="645" spans="1:17" x14ac:dyDescent="0.3">
      <c r="A645" t="s">
        <v>696</v>
      </c>
      <c r="B645" t="s">
        <v>18</v>
      </c>
      <c r="C645" t="s">
        <v>28</v>
      </c>
      <c r="D645" t="s">
        <v>29</v>
      </c>
      <c r="E645">
        <v>1672180</v>
      </c>
      <c r="F645">
        <v>944612</v>
      </c>
      <c r="G645">
        <v>2247369</v>
      </c>
      <c r="H645">
        <v>93783</v>
      </c>
      <c r="I645">
        <v>9501</v>
      </c>
      <c r="J645">
        <v>8840</v>
      </c>
      <c r="K645">
        <f t="shared" si="20"/>
        <v>11.869847090657327</v>
      </c>
      <c r="L645">
        <v>455573</v>
      </c>
      <c r="M645">
        <v>740755</v>
      </c>
      <c r="N645">
        <f t="shared" si="21"/>
        <v>62.598529763616369</v>
      </c>
      <c r="O645">
        <v>46136</v>
      </c>
      <c r="P645">
        <v>46152</v>
      </c>
      <c r="Q645" t="s">
        <v>30</v>
      </c>
    </row>
    <row r="646" spans="1:17" x14ac:dyDescent="0.3">
      <c r="A646" t="s">
        <v>697</v>
      </c>
      <c r="B646" t="s">
        <v>53</v>
      </c>
      <c r="C646" t="s">
        <v>37</v>
      </c>
      <c r="D646" t="s">
        <v>58</v>
      </c>
      <c r="E646">
        <v>1624058</v>
      </c>
      <c r="F646">
        <v>799394</v>
      </c>
      <c r="G646">
        <v>2266559</v>
      </c>
      <c r="H646">
        <v>39478</v>
      </c>
      <c r="I646">
        <v>2645</v>
      </c>
      <c r="J646">
        <v>3874</v>
      </c>
      <c r="K646">
        <f t="shared" si="20"/>
        <v>5.7539836426092759</v>
      </c>
      <c r="L646">
        <v>78189</v>
      </c>
      <c r="M646">
        <v>353822</v>
      </c>
      <c r="N646">
        <f t="shared" si="21"/>
        <v>352.52145442453542</v>
      </c>
      <c r="O646">
        <v>45989</v>
      </c>
      <c r="P646">
        <v>46012</v>
      </c>
      <c r="Q646" t="s">
        <v>47</v>
      </c>
    </row>
    <row r="647" spans="1:17" x14ac:dyDescent="0.3">
      <c r="A647" t="s">
        <v>698</v>
      </c>
      <c r="B647" t="s">
        <v>103</v>
      </c>
      <c r="C647" t="s">
        <v>37</v>
      </c>
      <c r="D647" t="s">
        <v>72</v>
      </c>
      <c r="E647">
        <v>1604921</v>
      </c>
      <c r="F647">
        <v>414978</v>
      </c>
      <c r="G647">
        <v>1114535</v>
      </c>
      <c r="H647">
        <v>8509</v>
      </c>
      <c r="I647">
        <v>554</v>
      </c>
      <c r="J647">
        <v>283</v>
      </c>
      <c r="K647">
        <f t="shared" si="20"/>
        <v>2.2521675847876272</v>
      </c>
      <c r="L647">
        <v>233511</v>
      </c>
      <c r="M647">
        <v>1023530</v>
      </c>
      <c r="N647">
        <f t="shared" si="21"/>
        <v>338.32196341928216</v>
      </c>
      <c r="O647">
        <v>45933</v>
      </c>
      <c r="P647">
        <v>45946</v>
      </c>
      <c r="Q647" t="s">
        <v>30</v>
      </c>
    </row>
    <row r="648" spans="1:17" x14ac:dyDescent="0.3">
      <c r="A648" t="s">
        <v>699</v>
      </c>
      <c r="B648" t="s">
        <v>103</v>
      </c>
      <c r="C648" t="s">
        <v>33</v>
      </c>
      <c r="D648" t="s">
        <v>58</v>
      </c>
      <c r="E648">
        <v>1792638</v>
      </c>
      <c r="F648">
        <v>1264988</v>
      </c>
      <c r="G648">
        <v>1522553</v>
      </c>
      <c r="H648">
        <v>140474</v>
      </c>
      <c r="I648">
        <v>18424</v>
      </c>
      <c r="J648">
        <v>10130</v>
      </c>
      <c r="K648">
        <f t="shared" si="20"/>
        <v>13.362023987579331</v>
      </c>
      <c r="L648">
        <v>29693</v>
      </c>
      <c r="M648">
        <v>63365</v>
      </c>
      <c r="N648">
        <f t="shared" si="21"/>
        <v>113.40046475600309</v>
      </c>
      <c r="O648">
        <v>45676</v>
      </c>
      <c r="P648">
        <v>45703</v>
      </c>
      <c r="Q648" t="s">
        <v>34</v>
      </c>
    </row>
    <row r="649" spans="1:17" x14ac:dyDescent="0.3">
      <c r="A649" t="s">
        <v>700</v>
      </c>
      <c r="B649" t="s">
        <v>45</v>
      </c>
      <c r="C649" t="s">
        <v>37</v>
      </c>
      <c r="D649" t="s">
        <v>46</v>
      </c>
      <c r="E649">
        <v>604435</v>
      </c>
      <c r="F649">
        <v>438510</v>
      </c>
      <c r="G649">
        <v>1287269</v>
      </c>
      <c r="H649">
        <v>55603</v>
      </c>
      <c r="I649">
        <v>5682</v>
      </c>
      <c r="J649">
        <v>2003</v>
      </c>
      <c r="K649">
        <f t="shared" si="20"/>
        <v>14.432510090989945</v>
      </c>
      <c r="L649">
        <v>336167</v>
      </c>
      <c r="M649">
        <v>689747</v>
      </c>
      <c r="N649">
        <f t="shared" si="21"/>
        <v>105.17986595947848</v>
      </c>
      <c r="O649">
        <v>45762</v>
      </c>
      <c r="P649">
        <v>45785</v>
      </c>
      <c r="Q649" t="s">
        <v>21</v>
      </c>
    </row>
    <row r="650" spans="1:17" x14ac:dyDescent="0.3">
      <c r="A650" t="s">
        <v>701</v>
      </c>
      <c r="B650" t="s">
        <v>49</v>
      </c>
      <c r="C650" t="s">
        <v>37</v>
      </c>
      <c r="D650" t="s">
        <v>24</v>
      </c>
      <c r="E650">
        <v>1173969</v>
      </c>
      <c r="F650">
        <v>356556</v>
      </c>
      <c r="G650">
        <v>644749</v>
      </c>
      <c r="H650">
        <v>37863</v>
      </c>
      <c r="I650">
        <v>3019</v>
      </c>
      <c r="J650">
        <v>1898</v>
      </c>
      <c r="K650">
        <f t="shared" si="20"/>
        <v>11.998115303065997</v>
      </c>
      <c r="L650">
        <v>38274</v>
      </c>
      <c r="M650">
        <v>134433</v>
      </c>
      <c r="N650">
        <f t="shared" si="21"/>
        <v>251.23843862674403</v>
      </c>
      <c r="O650">
        <v>46158</v>
      </c>
      <c r="P650">
        <v>46176</v>
      </c>
      <c r="Q650" t="s">
        <v>78</v>
      </c>
    </row>
    <row r="651" spans="1:17" x14ac:dyDescent="0.3">
      <c r="A651" t="s">
        <v>702</v>
      </c>
      <c r="B651" t="s">
        <v>75</v>
      </c>
      <c r="C651" t="s">
        <v>19</v>
      </c>
      <c r="D651" t="s">
        <v>24</v>
      </c>
      <c r="E651">
        <v>1753576</v>
      </c>
      <c r="F651">
        <v>1176315</v>
      </c>
      <c r="G651">
        <v>2212078</v>
      </c>
      <c r="H651">
        <v>140400</v>
      </c>
      <c r="I651">
        <v>17758</v>
      </c>
      <c r="J651">
        <v>3806</v>
      </c>
      <c r="K651">
        <f t="shared" si="20"/>
        <v>13.768760918631489</v>
      </c>
      <c r="L651">
        <v>247397</v>
      </c>
      <c r="M651">
        <v>499128</v>
      </c>
      <c r="N651">
        <f t="shared" si="21"/>
        <v>101.75184015974325</v>
      </c>
      <c r="O651">
        <v>45872</v>
      </c>
      <c r="P651">
        <v>45891</v>
      </c>
      <c r="Q651" t="s">
        <v>78</v>
      </c>
    </row>
    <row r="652" spans="1:17" x14ac:dyDescent="0.3">
      <c r="A652" t="s">
        <v>703</v>
      </c>
      <c r="B652" t="s">
        <v>18</v>
      </c>
      <c r="C652" t="s">
        <v>19</v>
      </c>
      <c r="D652" t="s">
        <v>24</v>
      </c>
      <c r="E652">
        <v>1952585</v>
      </c>
      <c r="F652">
        <v>539963</v>
      </c>
      <c r="G652">
        <v>1231040</v>
      </c>
      <c r="H652">
        <v>61223</v>
      </c>
      <c r="I652">
        <v>4054</v>
      </c>
      <c r="J652">
        <v>4770</v>
      </c>
      <c r="K652">
        <f t="shared" si="20"/>
        <v>12.972555526952773</v>
      </c>
      <c r="L652">
        <v>305662</v>
      </c>
      <c r="M652">
        <v>958249</v>
      </c>
      <c r="N652">
        <f t="shared" si="21"/>
        <v>213.49955179250281</v>
      </c>
      <c r="O652">
        <v>46098</v>
      </c>
      <c r="P652">
        <v>46108</v>
      </c>
      <c r="Q652" t="s">
        <v>41</v>
      </c>
    </row>
    <row r="653" spans="1:17" x14ac:dyDescent="0.3">
      <c r="A653" t="s">
        <v>704</v>
      </c>
      <c r="B653" t="s">
        <v>18</v>
      </c>
      <c r="C653" t="s">
        <v>43</v>
      </c>
      <c r="D653" t="s">
        <v>24</v>
      </c>
      <c r="E653">
        <v>552887</v>
      </c>
      <c r="F653">
        <v>218792</v>
      </c>
      <c r="G653">
        <v>394025</v>
      </c>
      <c r="H653">
        <v>11721</v>
      </c>
      <c r="I653">
        <v>1309</v>
      </c>
      <c r="J653">
        <v>1134</v>
      </c>
      <c r="K653">
        <f t="shared" si="20"/>
        <v>6.4737284727046696</v>
      </c>
      <c r="L653">
        <v>308208</v>
      </c>
      <c r="M653">
        <v>1068890</v>
      </c>
      <c r="N653">
        <f t="shared" si="21"/>
        <v>246.80799979234803</v>
      </c>
      <c r="O653">
        <v>45741</v>
      </c>
      <c r="P653">
        <v>45768</v>
      </c>
      <c r="Q653" t="s">
        <v>34</v>
      </c>
    </row>
    <row r="654" spans="1:17" x14ac:dyDescent="0.3">
      <c r="A654" t="s">
        <v>705</v>
      </c>
      <c r="B654" t="s">
        <v>57</v>
      </c>
      <c r="C654" t="s">
        <v>28</v>
      </c>
      <c r="D654" t="s">
        <v>29</v>
      </c>
      <c r="E654">
        <v>1595274</v>
      </c>
      <c r="F654">
        <v>962190</v>
      </c>
      <c r="G654">
        <v>2693432</v>
      </c>
      <c r="H654">
        <v>69309</v>
      </c>
      <c r="I654">
        <v>8399</v>
      </c>
      <c r="J654">
        <v>5448</v>
      </c>
      <c r="K654">
        <f t="shared" si="20"/>
        <v>8.6423679314896216</v>
      </c>
      <c r="L654">
        <v>61006</v>
      </c>
      <c r="M654">
        <v>137495</v>
      </c>
      <c r="N654">
        <f t="shared" si="21"/>
        <v>125.37947087171754</v>
      </c>
      <c r="O654">
        <v>45927</v>
      </c>
      <c r="P654">
        <v>45935</v>
      </c>
      <c r="Q654" t="s">
        <v>30</v>
      </c>
    </row>
    <row r="655" spans="1:17" x14ac:dyDescent="0.3">
      <c r="A655" t="s">
        <v>706</v>
      </c>
      <c r="B655" t="s">
        <v>53</v>
      </c>
      <c r="C655" t="s">
        <v>19</v>
      </c>
      <c r="D655" t="s">
        <v>29</v>
      </c>
      <c r="E655">
        <v>411945</v>
      </c>
      <c r="F655">
        <v>140288</v>
      </c>
      <c r="G655">
        <v>234177</v>
      </c>
      <c r="H655">
        <v>15226</v>
      </c>
      <c r="I655">
        <v>2125</v>
      </c>
      <c r="J655">
        <v>1397</v>
      </c>
      <c r="K655">
        <f t="shared" si="20"/>
        <v>13.363937043795621</v>
      </c>
      <c r="L655">
        <v>353934</v>
      </c>
      <c r="M655">
        <v>1119465</v>
      </c>
      <c r="N655">
        <f t="shared" si="21"/>
        <v>216.2920205462035</v>
      </c>
      <c r="O655">
        <v>45658</v>
      </c>
      <c r="P655">
        <v>45674</v>
      </c>
      <c r="Q655" t="s">
        <v>54</v>
      </c>
    </row>
    <row r="656" spans="1:17" x14ac:dyDescent="0.3">
      <c r="A656" t="s">
        <v>707</v>
      </c>
      <c r="B656" t="s">
        <v>23</v>
      </c>
      <c r="C656" t="s">
        <v>37</v>
      </c>
      <c r="D656" t="s">
        <v>72</v>
      </c>
      <c r="E656">
        <v>354456</v>
      </c>
      <c r="F656">
        <v>159661</v>
      </c>
      <c r="G656">
        <v>187607</v>
      </c>
      <c r="H656">
        <v>12540</v>
      </c>
      <c r="I656">
        <v>1064</v>
      </c>
      <c r="J656">
        <v>919</v>
      </c>
      <c r="K656">
        <f t="shared" si="20"/>
        <v>9.0961474624360363</v>
      </c>
      <c r="L656">
        <v>58762</v>
      </c>
      <c r="M656">
        <v>274718</v>
      </c>
      <c r="N656">
        <f t="shared" si="21"/>
        <v>367.50961505735</v>
      </c>
      <c r="O656">
        <v>45883</v>
      </c>
      <c r="P656">
        <v>45898</v>
      </c>
      <c r="Q656" t="s">
        <v>30</v>
      </c>
    </row>
    <row r="657" spans="1:17" x14ac:dyDescent="0.3">
      <c r="A657" t="s">
        <v>708</v>
      </c>
      <c r="B657" t="s">
        <v>23</v>
      </c>
      <c r="C657" t="s">
        <v>28</v>
      </c>
      <c r="D657" t="s">
        <v>72</v>
      </c>
      <c r="E657">
        <v>676816</v>
      </c>
      <c r="F657">
        <v>555411</v>
      </c>
      <c r="G657">
        <v>1088050</v>
      </c>
      <c r="H657">
        <v>73625</v>
      </c>
      <c r="I657">
        <v>8999</v>
      </c>
      <c r="J657">
        <v>6887</v>
      </c>
      <c r="K657">
        <f t="shared" si="20"/>
        <v>16.11617342832605</v>
      </c>
      <c r="L657">
        <v>114510</v>
      </c>
      <c r="M657">
        <v>520977</v>
      </c>
      <c r="N657">
        <f t="shared" si="21"/>
        <v>354.96201205134923</v>
      </c>
      <c r="O657">
        <v>45991</v>
      </c>
      <c r="P657">
        <v>46009</v>
      </c>
      <c r="Q657" t="s">
        <v>41</v>
      </c>
    </row>
    <row r="658" spans="1:17" x14ac:dyDescent="0.3">
      <c r="A658" t="s">
        <v>709</v>
      </c>
      <c r="B658" t="s">
        <v>49</v>
      </c>
      <c r="C658" t="s">
        <v>43</v>
      </c>
      <c r="D658" t="s">
        <v>46</v>
      </c>
      <c r="E658">
        <v>1744122</v>
      </c>
      <c r="F658">
        <v>730559</v>
      </c>
      <c r="G658">
        <v>1464969</v>
      </c>
      <c r="H658">
        <v>101317</v>
      </c>
      <c r="I658">
        <v>7202</v>
      </c>
      <c r="J658">
        <v>8656</v>
      </c>
      <c r="K658">
        <f t="shared" si="20"/>
        <v>16.039087876543853</v>
      </c>
      <c r="L658">
        <v>129141</v>
      </c>
      <c r="M658">
        <v>572812</v>
      </c>
      <c r="N658">
        <f t="shared" si="21"/>
        <v>343.55549360776206</v>
      </c>
      <c r="O658">
        <v>46119</v>
      </c>
      <c r="P658">
        <v>46138</v>
      </c>
      <c r="Q658" t="s">
        <v>25</v>
      </c>
    </row>
    <row r="659" spans="1:17" x14ac:dyDescent="0.3">
      <c r="A659" t="s">
        <v>710</v>
      </c>
      <c r="B659" t="s">
        <v>27</v>
      </c>
      <c r="C659" t="s">
        <v>19</v>
      </c>
      <c r="D659" t="s">
        <v>29</v>
      </c>
      <c r="E659">
        <v>1792991</v>
      </c>
      <c r="F659">
        <v>1581969</v>
      </c>
      <c r="G659">
        <v>4689499</v>
      </c>
      <c r="H659">
        <v>153684</v>
      </c>
      <c r="I659">
        <v>4835</v>
      </c>
      <c r="J659">
        <v>12223</v>
      </c>
      <c r="K659">
        <f t="shared" si="20"/>
        <v>10.793005425517189</v>
      </c>
      <c r="L659">
        <v>322713</v>
      </c>
      <c r="M659">
        <v>416869</v>
      </c>
      <c r="N659">
        <f t="shared" si="21"/>
        <v>29.176388927622998</v>
      </c>
      <c r="O659">
        <v>45892</v>
      </c>
      <c r="P659">
        <v>45919</v>
      </c>
      <c r="Q659" t="s">
        <v>54</v>
      </c>
    </row>
    <row r="660" spans="1:17" x14ac:dyDescent="0.3">
      <c r="A660" t="s">
        <v>711</v>
      </c>
      <c r="B660" t="s">
        <v>53</v>
      </c>
      <c r="C660" t="s">
        <v>43</v>
      </c>
      <c r="D660" t="s">
        <v>72</v>
      </c>
      <c r="E660">
        <v>279294</v>
      </c>
      <c r="F660">
        <v>162116</v>
      </c>
      <c r="G660">
        <v>348013</v>
      </c>
      <c r="H660">
        <v>19549</v>
      </c>
      <c r="I660">
        <v>833</v>
      </c>
      <c r="J660">
        <v>689</v>
      </c>
      <c r="K660">
        <f t="shared" si="20"/>
        <v>12.997483283574724</v>
      </c>
      <c r="L660">
        <v>262652</v>
      </c>
      <c r="M660">
        <v>577385</v>
      </c>
      <c r="N660">
        <f t="shared" si="21"/>
        <v>119.8288990755829</v>
      </c>
      <c r="O660">
        <v>45706</v>
      </c>
      <c r="P660">
        <v>45732</v>
      </c>
      <c r="Q660" t="s">
        <v>41</v>
      </c>
    </row>
    <row r="661" spans="1:17" x14ac:dyDescent="0.3">
      <c r="A661" t="s">
        <v>712</v>
      </c>
      <c r="B661" t="s">
        <v>61</v>
      </c>
      <c r="C661" t="s">
        <v>33</v>
      </c>
      <c r="D661" t="s">
        <v>46</v>
      </c>
      <c r="E661">
        <v>1908421</v>
      </c>
      <c r="F661">
        <v>637091</v>
      </c>
      <c r="G661">
        <v>1720054</v>
      </c>
      <c r="H661">
        <v>59194</v>
      </c>
      <c r="I661">
        <v>2810</v>
      </c>
      <c r="J661">
        <v>2548</v>
      </c>
      <c r="K661">
        <f t="shared" si="20"/>
        <v>10.132304490253356</v>
      </c>
      <c r="L661">
        <v>23792</v>
      </c>
      <c r="M661">
        <v>115405</v>
      </c>
      <c r="N661">
        <f t="shared" si="21"/>
        <v>385.05800268997984</v>
      </c>
      <c r="O661">
        <v>46079</v>
      </c>
      <c r="P661">
        <v>46096</v>
      </c>
      <c r="Q661" t="s">
        <v>54</v>
      </c>
    </row>
    <row r="662" spans="1:17" x14ac:dyDescent="0.3">
      <c r="A662" t="s">
        <v>713</v>
      </c>
      <c r="B662" t="s">
        <v>61</v>
      </c>
      <c r="C662" t="s">
        <v>37</v>
      </c>
      <c r="D662" t="s">
        <v>72</v>
      </c>
      <c r="E662">
        <v>756672</v>
      </c>
      <c r="F662">
        <v>499212</v>
      </c>
      <c r="G662">
        <v>926244</v>
      </c>
      <c r="H662">
        <v>72369</v>
      </c>
      <c r="I662">
        <v>7283</v>
      </c>
      <c r="J662">
        <v>5941</v>
      </c>
      <c r="K662">
        <f t="shared" si="20"/>
        <v>17.145621499483184</v>
      </c>
      <c r="L662">
        <v>431571</v>
      </c>
      <c r="M662">
        <v>1120471</v>
      </c>
      <c r="N662">
        <f t="shared" si="21"/>
        <v>159.62611018812663</v>
      </c>
      <c r="O662">
        <v>46136</v>
      </c>
      <c r="P662">
        <v>46153</v>
      </c>
      <c r="Q662" t="s">
        <v>41</v>
      </c>
    </row>
    <row r="663" spans="1:17" x14ac:dyDescent="0.3">
      <c r="A663" t="s">
        <v>714</v>
      </c>
      <c r="B663" t="s">
        <v>32</v>
      </c>
      <c r="C663" t="s">
        <v>37</v>
      </c>
      <c r="D663" t="s">
        <v>58</v>
      </c>
      <c r="E663">
        <v>1082312</v>
      </c>
      <c r="F663">
        <v>637701</v>
      </c>
      <c r="G663">
        <v>853545</v>
      </c>
      <c r="H663">
        <v>22781</v>
      </c>
      <c r="I663">
        <v>2882</v>
      </c>
      <c r="J663">
        <v>2060</v>
      </c>
      <c r="K663">
        <f t="shared" si="20"/>
        <v>4.347335193139104</v>
      </c>
      <c r="L663">
        <v>444288</v>
      </c>
      <c r="M663">
        <v>1913100</v>
      </c>
      <c r="N663">
        <f t="shared" si="21"/>
        <v>330.59907087294727</v>
      </c>
      <c r="O663">
        <v>45997</v>
      </c>
      <c r="P663">
        <v>46009</v>
      </c>
      <c r="Q663" t="s">
        <v>30</v>
      </c>
    </row>
    <row r="664" spans="1:17" x14ac:dyDescent="0.3">
      <c r="A664" t="s">
        <v>715</v>
      </c>
      <c r="B664" t="s">
        <v>75</v>
      </c>
      <c r="C664" t="s">
        <v>19</v>
      </c>
      <c r="D664" t="s">
        <v>29</v>
      </c>
      <c r="E664">
        <v>1313853</v>
      </c>
      <c r="F664">
        <v>441111</v>
      </c>
      <c r="G664">
        <v>1155158</v>
      </c>
      <c r="H664">
        <v>38210</v>
      </c>
      <c r="I664">
        <v>4023</v>
      </c>
      <c r="J664">
        <v>2864</v>
      </c>
      <c r="K664">
        <f t="shared" si="20"/>
        <v>10.223503834635727</v>
      </c>
      <c r="L664">
        <v>447714</v>
      </c>
      <c r="M664">
        <v>1260771</v>
      </c>
      <c r="N664">
        <f t="shared" si="21"/>
        <v>181.60187083718625</v>
      </c>
      <c r="O664">
        <v>46075</v>
      </c>
      <c r="P664">
        <v>46098</v>
      </c>
      <c r="Q664" t="s">
        <v>21</v>
      </c>
    </row>
    <row r="665" spans="1:17" x14ac:dyDescent="0.3">
      <c r="A665" t="s">
        <v>716</v>
      </c>
      <c r="B665" t="s">
        <v>45</v>
      </c>
      <c r="C665" t="s">
        <v>37</v>
      </c>
      <c r="D665" t="s">
        <v>58</v>
      </c>
      <c r="E665">
        <v>79481</v>
      </c>
      <c r="F665">
        <v>70007</v>
      </c>
      <c r="G665">
        <v>198120</v>
      </c>
      <c r="H665">
        <v>2253</v>
      </c>
      <c r="I665">
        <v>78</v>
      </c>
      <c r="J665">
        <v>103</v>
      </c>
      <c r="K665">
        <f t="shared" si="20"/>
        <v>3.4767951776250943</v>
      </c>
      <c r="L665">
        <v>226718</v>
      </c>
      <c r="M665">
        <v>689459</v>
      </c>
      <c r="N665">
        <f t="shared" si="21"/>
        <v>204.10421757425524</v>
      </c>
      <c r="O665">
        <v>46122</v>
      </c>
      <c r="P665">
        <v>46138</v>
      </c>
      <c r="Q665" t="s">
        <v>47</v>
      </c>
    </row>
    <row r="666" spans="1:17" x14ac:dyDescent="0.3">
      <c r="A666" t="s">
        <v>717</v>
      </c>
      <c r="B666" t="s">
        <v>36</v>
      </c>
      <c r="C666" t="s">
        <v>37</v>
      </c>
      <c r="D666" t="s">
        <v>46</v>
      </c>
      <c r="E666">
        <v>1350609</v>
      </c>
      <c r="F666">
        <v>1161497</v>
      </c>
      <c r="G666">
        <v>2329385</v>
      </c>
      <c r="H666">
        <v>106130</v>
      </c>
      <c r="I666">
        <v>4859</v>
      </c>
      <c r="J666">
        <v>9799</v>
      </c>
      <c r="K666">
        <f t="shared" si="20"/>
        <v>10.399338095578377</v>
      </c>
      <c r="L666">
        <v>28066</v>
      </c>
      <c r="M666">
        <v>88105</v>
      </c>
      <c r="N666">
        <f t="shared" si="21"/>
        <v>213.92075821278414</v>
      </c>
      <c r="O666">
        <v>45959</v>
      </c>
      <c r="P666">
        <v>45982</v>
      </c>
      <c r="Q666" t="s">
        <v>25</v>
      </c>
    </row>
    <row r="667" spans="1:17" x14ac:dyDescent="0.3">
      <c r="A667" t="s">
        <v>718</v>
      </c>
      <c r="B667" t="s">
        <v>39</v>
      </c>
      <c r="C667" t="s">
        <v>28</v>
      </c>
      <c r="D667" t="s">
        <v>46</v>
      </c>
      <c r="E667">
        <v>127361</v>
      </c>
      <c r="F667">
        <v>55841</v>
      </c>
      <c r="G667">
        <v>89713</v>
      </c>
      <c r="H667">
        <v>3308</v>
      </c>
      <c r="I667">
        <v>257</v>
      </c>
      <c r="J667">
        <v>178</v>
      </c>
      <c r="K667">
        <f t="shared" si="20"/>
        <v>6.7029601905410008</v>
      </c>
      <c r="L667">
        <v>370770</v>
      </c>
      <c r="M667">
        <v>1650198</v>
      </c>
      <c r="N667">
        <f t="shared" si="21"/>
        <v>345.07322598915772</v>
      </c>
      <c r="O667">
        <v>45829</v>
      </c>
      <c r="P667">
        <v>45850</v>
      </c>
      <c r="Q667" t="s">
        <v>54</v>
      </c>
    </row>
    <row r="668" spans="1:17" x14ac:dyDescent="0.3">
      <c r="A668" t="s">
        <v>719</v>
      </c>
      <c r="B668" t="s">
        <v>75</v>
      </c>
      <c r="C668" t="s">
        <v>19</v>
      </c>
      <c r="D668" t="s">
        <v>40</v>
      </c>
      <c r="E668">
        <v>911874</v>
      </c>
      <c r="F668">
        <v>394532</v>
      </c>
      <c r="G668">
        <v>922262</v>
      </c>
      <c r="H668">
        <v>29722</v>
      </c>
      <c r="I668">
        <v>1730</v>
      </c>
      <c r="J668">
        <v>1099</v>
      </c>
      <c r="K668">
        <f t="shared" si="20"/>
        <v>8.2505348108645187</v>
      </c>
      <c r="L668">
        <v>245517</v>
      </c>
      <c r="M668">
        <v>1073856</v>
      </c>
      <c r="N668">
        <f t="shared" si="21"/>
        <v>337.38559855325701</v>
      </c>
      <c r="O668">
        <v>45727</v>
      </c>
      <c r="P668">
        <v>45748</v>
      </c>
      <c r="Q668" t="s">
        <v>21</v>
      </c>
    </row>
    <row r="669" spans="1:17" x14ac:dyDescent="0.3">
      <c r="A669" t="s">
        <v>720</v>
      </c>
      <c r="B669" t="s">
        <v>32</v>
      </c>
      <c r="C669" t="s">
        <v>28</v>
      </c>
      <c r="D669" t="s">
        <v>20</v>
      </c>
      <c r="E669">
        <v>958820</v>
      </c>
      <c r="F669">
        <v>470105</v>
      </c>
      <c r="G669">
        <v>553807</v>
      </c>
      <c r="H669">
        <v>14161</v>
      </c>
      <c r="I669">
        <v>1194</v>
      </c>
      <c r="J669">
        <v>311</v>
      </c>
      <c r="K669">
        <f t="shared" si="20"/>
        <v>3.3324470065198204</v>
      </c>
      <c r="L669">
        <v>258353</v>
      </c>
      <c r="M669">
        <v>659753</v>
      </c>
      <c r="N669">
        <f t="shared" si="21"/>
        <v>155.36881708360266</v>
      </c>
      <c r="O669">
        <v>45786</v>
      </c>
      <c r="P669">
        <v>45808</v>
      </c>
      <c r="Q669" t="s">
        <v>41</v>
      </c>
    </row>
    <row r="670" spans="1:17" x14ac:dyDescent="0.3">
      <c r="A670" t="s">
        <v>721</v>
      </c>
      <c r="B670" t="s">
        <v>63</v>
      </c>
      <c r="C670" t="s">
        <v>19</v>
      </c>
      <c r="D670" t="s">
        <v>58</v>
      </c>
      <c r="E670">
        <v>1093345</v>
      </c>
      <c r="F670">
        <v>416123</v>
      </c>
      <c r="G670">
        <v>897956</v>
      </c>
      <c r="H670">
        <v>14888</v>
      </c>
      <c r="I670">
        <v>1739</v>
      </c>
      <c r="J670">
        <v>1420</v>
      </c>
      <c r="K670">
        <f t="shared" si="20"/>
        <v>4.3369388377955556</v>
      </c>
      <c r="L670">
        <v>163008</v>
      </c>
      <c r="M670">
        <v>285653</v>
      </c>
      <c r="N670">
        <f t="shared" si="21"/>
        <v>75.238638594424813</v>
      </c>
      <c r="O670">
        <v>46035</v>
      </c>
      <c r="P670">
        <v>46061</v>
      </c>
      <c r="Q670" t="s">
        <v>41</v>
      </c>
    </row>
    <row r="671" spans="1:17" x14ac:dyDescent="0.3">
      <c r="A671" t="s">
        <v>722</v>
      </c>
      <c r="B671" t="s">
        <v>75</v>
      </c>
      <c r="C671" t="s">
        <v>43</v>
      </c>
      <c r="D671" t="s">
        <v>20</v>
      </c>
      <c r="E671">
        <v>625302</v>
      </c>
      <c r="F671">
        <v>517137</v>
      </c>
      <c r="G671">
        <v>1078426</v>
      </c>
      <c r="H671">
        <v>29781</v>
      </c>
      <c r="I671">
        <v>3040</v>
      </c>
      <c r="J671">
        <v>2582</v>
      </c>
      <c r="K671">
        <f t="shared" si="20"/>
        <v>6.8459615150337338</v>
      </c>
      <c r="L671">
        <v>191494</v>
      </c>
      <c r="M671">
        <v>696811</v>
      </c>
      <c r="N671">
        <f t="shared" si="21"/>
        <v>263.88137487336417</v>
      </c>
      <c r="O671">
        <v>45945</v>
      </c>
      <c r="P671">
        <v>45969</v>
      </c>
      <c r="Q671" t="s">
        <v>54</v>
      </c>
    </row>
    <row r="672" spans="1:17" x14ac:dyDescent="0.3">
      <c r="A672" t="s">
        <v>723</v>
      </c>
      <c r="B672" t="s">
        <v>39</v>
      </c>
      <c r="C672" t="s">
        <v>28</v>
      </c>
      <c r="D672" t="s">
        <v>51</v>
      </c>
      <c r="E672">
        <v>838994</v>
      </c>
      <c r="F672">
        <v>426592</v>
      </c>
      <c r="G672">
        <v>770647</v>
      </c>
      <c r="H672">
        <v>10493</v>
      </c>
      <c r="I672">
        <v>1492</v>
      </c>
      <c r="J672">
        <v>418</v>
      </c>
      <c r="K672">
        <f t="shared" si="20"/>
        <v>2.9074619308378966</v>
      </c>
      <c r="L672">
        <v>159125</v>
      </c>
      <c r="M672">
        <v>251832</v>
      </c>
      <c r="N672">
        <f t="shared" si="21"/>
        <v>58.260487038491746</v>
      </c>
      <c r="O672">
        <v>45806</v>
      </c>
      <c r="P672">
        <v>45822</v>
      </c>
      <c r="Q672" t="s">
        <v>34</v>
      </c>
    </row>
    <row r="673" spans="1:17" x14ac:dyDescent="0.3">
      <c r="A673" t="s">
        <v>724</v>
      </c>
      <c r="B673" t="s">
        <v>18</v>
      </c>
      <c r="C673" t="s">
        <v>43</v>
      </c>
      <c r="D673" t="s">
        <v>29</v>
      </c>
      <c r="E673">
        <v>1252263</v>
      </c>
      <c r="F673">
        <v>498346</v>
      </c>
      <c r="G673">
        <v>882210</v>
      </c>
      <c r="H673">
        <v>67709</v>
      </c>
      <c r="I673">
        <v>3260</v>
      </c>
      <c r="J673">
        <v>4108</v>
      </c>
      <c r="K673">
        <f t="shared" si="20"/>
        <v>15.065235800026489</v>
      </c>
      <c r="L673">
        <v>344798</v>
      </c>
      <c r="M673">
        <v>1626406</v>
      </c>
      <c r="N673">
        <f t="shared" si="21"/>
        <v>371.69821170656439</v>
      </c>
      <c r="O673">
        <v>46067</v>
      </c>
      <c r="P673">
        <v>46083</v>
      </c>
      <c r="Q673" t="s">
        <v>21</v>
      </c>
    </row>
    <row r="674" spans="1:17" x14ac:dyDescent="0.3">
      <c r="A674" t="s">
        <v>725</v>
      </c>
      <c r="B674" t="s">
        <v>103</v>
      </c>
      <c r="C674" t="s">
        <v>19</v>
      </c>
      <c r="D674" t="s">
        <v>20</v>
      </c>
      <c r="E674">
        <v>1759010</v>
      </c>
      <c r="F674">
        <v>893404</v>
      </c>
      <c r="G674">
        <v>1634114</v>
      </c>
      <c r="H674">
        <v>88997</v>
      </c>
      <c r="I674">
        <v>10076</v>
      </c>
      <c r="J674">
        <v>2541</v>
      </c>
      <c r="K674">
        <f t="shared" si="20"/>
        <v>11.373801773889527</v>
      </c>
      <c r="L674">
        <v>396496</v>
      </c>
      <c r="M674">
        <v>639713</v>
      </c>
      <c r="N674">
        <f t="shared" si="21"/>
        <v>61.341602437351192</v>
      </c>
      <c r="O674">
        <v>45769</v>
      </c>
      <c r="P674">
        <v>45786</v>
      </c>
      <c r="Q674" t="s">
        <v>25</v>
      </c>
    </row>
    <row r="675" spans="1:17" x14ac:dyDescent="0.3">
      <c r="A675" t="s">
        <v>726</v>
      </c>
      <c r="B675" t="s">
        <v>36</v>
      </c>
      <c r="C675" t="s">
        <v>43</v>
      </c>
      <c r="D675" t="s">
        <v>58</v>
      </c>
      <c r="E675">
        <v>347852</v>
      </c>
      <c r="F675">
        <v>157693</v>
      </c>
      <c r="G675">
        <v>217521</v>
      </c>
      <c r="H675">
        <v>10110</v>
      </c>
      <c r="I675">
        <v>395</v>
      </c>
      <c r="J675">
        <v>284</v>
      </c>
      <c r="K675">
        <f t="shared" si="20"/>
        <v>6.8417748409885029</v>
      </c>
      <c r="L675">
        <v>14114</v>
      </c>
      <c r="M675">
        <v>50437</v>
      </c>
      <c r="N675">
        <f t="shared" si="21"/>
        <v>257.3543998866374</v>
      </c>
      <c r="O675">
        <v>46051</v>
      </c>
      <c r="P675">
        <v>46078</v>
      </c>
      <c r="Q675" t="s">
        <v>54</v>
      </c>
    </row>
    <row r="676" spans="1:17" x14ac:dyDescent="0.3">
      <c r="A676" t="s">
        <v>727</v>
      </c>
      <c r="B676" t="s">
        <v>75</v>
      </c>
      <c r="C676" t="s">
        <v>19</v>
      </c>
      <c r="D676" t="s">
        <v>51</v>
      </c>
      <c r="E676">
        <v>1723209</v>
      </c>
      <c r="F676">
        <v>1454661</v>
      </c>
      <c r="G676">
        <v>3162446</v>
      </c>
      <c r="H676">
        <v>62259</v>
      </c>
      <c r="I676">
        <v>6272</v>
      </c>
      <c r="J676">
        <v>3318</v>
      </c>
      <c r="K676">
        <f t="shared" si="20"/>
        <v>4.9392263902036282</v>
      </c>
      <c r="L676">
        <v>339665</v>
      </c>
      <c r="M676">
        <v>740546</v>
      </c>
      <c r="N676">
        <f t="shared" si="21"/>
        <v>118.02246330943724</v>
      </c>
      <c r="O676">
        <v>46125</v>
      </c>
      <c r="P676">
        <v>46153</v>
      </c>
      <c r="Q676" t="s">
        <v>25</v>
      </c>
    </row>
    <row r="677" spans="1:17" x14ac:dyDescent="0.3">
      <c r="A677" t="s">
        <v>728</v>
      </c>
      <c r="B677" t="s">
        <v>23</v>
      </c>
      <c r="C677" t="s">
        <v>43</v>
      </c>
      <c r="D677" t="s">
        <v>51</v>
      </c>
      <c r="E677">
        <v>1147990</v>
      </c>
      <c r="F677">
        <v>458689</v>
      </c>
      <c r="G677">
        <v>596105</v>
      </c>
      <c r="H677">
        <v>22540</v>
      </c>
      <c r="I677">
        <v>3070</v>
      </c>
      <c r="J677">
        <v>2134</v>
      </c>
      <c r="K677">
        <f t="shared" si="20"/>
        <v>6.0485426945054277</v>
      </c>
      <c r="L677">
        <v>214161</v>
      </c>
      <c r="M677">
        <v>759650</v>
      </c>
      <c r="N677">
        <f t="shared" si="21"/>
        <v>254.70977442204696</v>
      </c>
      <c r="O677">
        <v>46144</v>
      </c>
      <c r="P677">
        <v>46174</v>
      </c>
      <c r="Q677" t="s">
        <v>78</v>
      </c>
    </row>
    <row r="678" spans="1:17" x14ac:dyDescent="0.3">
      <c r="A678" t="s">
        <v>729</v>
      </c>
      <c r="B678" t="s">
        <v>53</v>
      </c>
      <c r="C678" t="s">
        <v>37</v>
      </c>
      <c r="D678" t="s">
        <v>24</v>
      </c>
      <c r="E678">
        <v>800907</v>
      </c>
      <c r="F678">
        <v>245200</v>
      </c>
      <c r="G678">
        <v>679711</v>
      </c>
      <c r="H678">
        <v>15717</v>
      </c>
      <c r="I678">
        <v>976</v>
      </c>
      <c r="J678">
        <v>917</v>
      </c>
      <c r="K678">
        <f t="shared" si="20"/>
        <v>7.181892332789559</v>
      </c>
      <c r="L678">
        <v>299512</v>
      </c>
      <c r="M678">
        <v>558669</v>
      </c>
      <c r="N678">
        <f t="shared" si="21"/>
        <v>86.526416303854276</v>
      </c>
      <c r="O678">
        <v>45946</v>
      </c>
      <c r="P678">
        <v>45972</v>
      </c>
      <c r="Q678" t="s">
        <v>21</v>
      </c>
    </row>
    <row r="679" spans="1:17" x14ac:dyDescent="0.3">
      <c r="A679" t="s">
        <v>730</v>
      </c>
      <c r="B679" t="s">
        <v>36</v>
      </c>
      <c r="C679" t="s">
        <v>37</v>
      </c>
      <c r="D679" t="s">
        <v>51</v>
      </c>
      <c r="E679">
        <v>1606534</v>
      </c>
      <c r="F679">
        <v>923130</v>
      </c>
      <c r="G679">
        <v>1134597</v>
      </c>
      <c r="H679">
        <v>109538</v>
      </c>
      <c r="I679">
        <v>12521</v>
      </c>
      <c r="J679">
        <v>9716</v>
      </c>
      <c r="K679">
        <f t="shared" si="20"/>
        <v>14.274804198758574</v>
      </c>
      <c r="L679">
        <v>285187</v>
      </c>
      <c r="M679">
        <v>627836</v>
      </c>
      <c r="N679">
        <f t="shared" si="21"/>
        <v>120.1488847668372</v>
      </c>
      <c r="O679">
        <v>46138</v>
      </c>
      <c r="P679">
        <v>46148</v>
      </c>
      <c r="Q679" t="s">
        <v>30</v>
      </c>
    </row>
    <row r="680" spans="1:17" x14ac:dyDescent="0.3">
      <c r="A680" t="s">
        <v>731</v>
      </c>
      <c r="B680" t="s">
        <v>32</v>
      </c>
      <c r="C680" t="s">
        <v>43</v>
      </c>
      <c r="D680" t="s">
        <v>29</v>
      </c>
      <c r="E680">
        <v>277820</v>
      </c>
      <c r="F680">
        <v>191680</v>
      </c>
      <c r="G680">
        <v>364637</v>
      </c>
      <c r="H680">
        <v>11375</v>
      </c>
      <c r="I680">
        <v>777</v>
      </c>
      <c r="J680">
        <v>876</v>
      </c>
      <c r="K680">
        <f t="shared" si="20"/>
        <v>6.796744574290484</v>
      </c>
      <c r="L680">
        <v>486467</v>
      </c>
      <c r="M680">
        <v>718527</v>
      </c>
      <c r="N680">
        <f t="shared" si="21"/>
        <v>47.703132997716189</v>
      </c>
      <c r="O680">
        <v>45854</v>
      </c>
      <c r="P680">
        <v>45868</v>
      </c>
      <c r="Q680" t="s">
        <v>30</v>
      </c>
    </row>
    <row r="681" spans="1:17" x14ac:dyDescent="0.3">
      <c r="A681" t="s">
        <v>732</v>
      </c>
      <c r="B681" t="s">
        <v>80</v>
      </c>
      <c r="C681" t="s">
        <v>33</v>
      </c>
      <c r="D681" t="s">
        <v>72</v>
      </c>
      <c r="E681">
        <v>1481016</v>
      </c>
      <c r="F681">
        <v>1148324</v>
      </c>
      <c r="G681">
        <v>2025891</v>
      </c>
      <c r="H681">
        <v>126241</v>
      </c>
      <c r="I681">
        <v>9903</v>
      </c>
      <c r="J681">
        <v>5596</v>
      </c>
      <c r="K681">
        <f t="shared" si="20"/>
        <v>12.34320627279409</v>
      </c>
      <c r="L681">
        <v>407394</v>
      </c>
      <c r="M681">
        <v>1074006</v>
      </c>
      <c r="N681">
        <f t="shared" si="21"/>
        <v>163.62833031414306</v>
      </c>
      <c r="O681">
        <v>45723</v>
      </c>
      <c r="P681">
        <v>45733</v>
      </c>
      <c r="Q681" t="s">
        <v>54</v>
      </c>
    </row>
    <row r="682" spans="1:17" x14ac:dyDescent="0.3">
      <c r="A682" t="s">
        <v>733</v>
      </c>
      <c r="B682" t="s">
        <v>57</v>
      </c>
      <c r="C682" t="s">
        <v>19</v>
      </c>
      <c r="D682" t="s">
        <v>51</v>
      </c>
      <c r="E682">
        <v>1147071</v>
      </c>
      <c r="F682">
        <v>753859</v>
      </c>
      <c r="G682">
        <v>875001</v>
      </c>
      <c r="H682">
        <v>80605</v>
      </c>
      <c r="I682">
        <v>11137</v>
      </c>
      <c r="J682">
        <v>5178</v>
      </c>
      <c r="K682">
        <f t="shared" si="20"/>
        <v>12.856515608356469</v>
      </c>
      <c r="L682">
        <v>291157</v>
      </c>
      <c r="M682">
        <v>1018870</v>
      </c>
      <c r="N682">
        <f t="shared" si="21"/>
        <v>249.93834941285974</v>
      </c>
      <c r="O682">
        <v>45700</v>
      </c>
      <c r="P682">
        <v>45722</v>
      </c>
      <c r="Q682" t="s">
        <v>25</v>
      </c>
    </row>
    <row r="683" spans="1:17" x14ac:dyDescent="0.3">
      <c r="A683" t="s">
        <v>734</v>
      </c>
      <c r="B683" t="s">
        <v>45</v>
      </c>
      <c r="C683" t="s">
        <v>28</v>
      </c>
      <c r="D683" t="s">
        <v>29</v>
      </c>
      <c r="E683">
        <v>264022</v>
      </c>
      <c r="F683">
        <v>192725</v>
      </c>
      <c r="G683">
        <v>253125</v>
      </c>
      <c r="H683">
        <v>11348</v>
      </c>
      <c r="I683">
        <v>1267</v>
      </c>
      <c r="J683">
        <v>446</v>
      </c>
      <c r="K683">
        <f t="shared" si="20"/>
        <v>6.7770138798806583</v>
      </c>
      <c r="L683">
        <v>106236</v>
      </c>
      <c r="M683">
        <v>210321</v>
      </c>
      <c r="N683">
        <f t="shared" si="21"/>
        <v>97.975262622839722</v>
      </c>
      <c r="O683">
        <v>45981</v>
      </c>
      <c r="P683">
        <v>46002</v>
      </c>
      <c r="Q683" t="s">
        <v>54</v>
      </c>
    </row>
    <row r="684" spans="1:17" x14ac:dyDescent="0.3">
      <c r="A684" t="s">
        <v>735</v>
      </c>
      <c r="B684" t="s">
        <v>23</v>
      </c>
      <c r="C684" t="s">
        <v>43</v>
      </c>
      <c r="D684" t="s">
        <v>58</v>
      </c>
      <c r="E684">
        <v>1385607</v>
      </c>
      <c r="F684">
        <v>1245080</v>
      </c>
      <c r="G684">
        <v>2673043</v>
      </c>
      <c r="H684">
        <v>173076</v>
      </c>
      <c r="I684">
        <v>9265</v>
      </c>
      <c r="J684">
        <v>14763</v>
      </c>
      <c r="K684">
        <f t="shared" si="20"/>
        <v>15.830629357149743</v>
      </c>
      <c r="L684">
        <v>82587</v>
      </c>
      <c r="M684">
        <v>379411</v>
      </c>
      <c r="N684">
        <f t="shared" si="21"/>
        <v>359.40765495780209</v>
      </c>
      <c r="O684">
        <v>46089</v>
      </c>
      <c r="P684">
        <v>46098</v>
      </c>
      <c r="Q684" t="s">
        <v>21</v>
      </c>
    </row>
    <row r="685" spans="1:17" x14ac:dyDescent="0.3">
      <c r="A685" t="s">
        <v>736</v>
      </c>
      <c r="B685" t="s">
        <v>49</v>
      </c>
      <c r="C685" t="s">
        <v>43</v>
      </c>
      <c r="D685" t="s">
        <v>40</v>
      </c>
      <c r="E685">
        <v>1839310</v>
      </c>
      <c r="F685">
        <v>1179134</v>
      </c>
      <c r="G685">
        <v>3386340</v>
      </c>
      <c r="H685">
        <v>117793</v>
      </c>
      <c r="I685">
        <v>9340</v>
      </c>
      <c r="J685">
        <v>7047</v>
      </c>
      <c r="K685">
        <f t="shared" si="20"/>
        <v>11.379537864229173</v>
      </c>
      <c r="L685">
        <v>50918</v>
      </c>
      <c r="M685">
        <v>159416</v>
      </c>
      <c r="N685">
        <f t="shared" si="21"/>
        <v>213.08378176676226</v>
      </c>
      <c r="O685">
        <v>45786</v>
      </c>
      <c r="P685">
        <v>45795</v>
      </c>
      <c r="Q685" t="s">
        <v>47</v>
      </c>
    </row>
    <row r="686" spans="1:17" x14ac:dyDescent="0.3">
      <c r="A686" t="s">
        <v>737</v>
      </c>
      <c r="B686" t="s">
        <v>75</v>
      </c>
      <c r="C686" t="s">
        <v>28</v>
      </c>
      <c r="D686" t="s">
        <v>58</v>
      </c>
      <c r="E686">
        <v>640507</v>
      </c>
      <c r="F686">
        <v>384195</v>
      </c>
      <c r="G686">
        <v>773979</v>
      </c>
      <c r="H686">
        <v>54115</v>
      </c>
      <c r="I686">
        <v>7504</v>
      </c>
      <c r="J686">
        <v>1184</v>
      </c>
      <c r="K686">
        <f t="shared" si="20"/>
        <v>16.346646885045356</v>
      </c>
      <c r="L686">
        <v>168890</v>
      </c>
      <c r="M686">
        <v>585275</v>
      </c>
      <c r="N686">
        <f t="shared" si="21"/>
        <v>246.54212801231571</v>
      </c>
      <c r="O686">
        <v>45760</v>
      </c>
      <c r="P686">
        <v>45778</v>
      </c>
      <c r="Q686" t="s">
        <v>47</v>
      </c>
    </row>
    <row r="687" spans="1:17" x14ac:dyDescent="0.3">
      <c r="A687" t="s">
        <v>738</v>
      </c>
      <c r="B687" t="s">
        <v>63</v>
      </c>
      <c r="C687" t="s">
        <v>33</v>
      </c>
      <c r="D687" t="s">
        <v>20</v>
      </c>
      <c r="E687">
        <v>1282937</v>
      </c>
      <c r="F687">
        <v>476655</v>
      </c>
      <c r="G687">
        <v>1373470</v>
      </c>
      <c r="H687">
        <v>51164</v>
      </c>
      <c r="I687">
        <v>3705</v>
      </c>
      <c r="J687">
        <v>1058</v>
      </c>
      <c r="K687">
        <f t="shared" si="20"/>
        <v>11.73322423975412</v>
      </c>
      <c r="L687">
        <v>441867</v>
      </c>
      <c r="M687">
        <v>1856549</v>
      </c>
      <c r="N687">
        <f t="shared" si="21"/>
        <v>320.16013868426472</v>
      </c>
      <c r="O687">
        <v>46032</v>
      </c>
      <c r="P687">
        <v>46040</v>
      </c>
      <c r="Q687" t="s">
        <v>30</v>
      </c>
    </row>
    <row r="688" spans="1:17" x14ac:dyDescent="0.3">
      <c r="A688" t="s">
        <v>739</v>
      </c>
      <c r="B688" t="s">
        <v>39</v>
      </c>
      <c r="C688" t="s">
        <v>33</v>
      </c>
      <c r="D688" t="s">
        <v>24</v>
      </c>
      <c r="E688">
        <v>1959193</v>
      </c>
      <c r="F688">
        <v>1371505</v>
      </c>
      <c r="G688">
        <v>3847629</v>
      </c>
      <c r="H688">
        <v>50012</v>
      </c>
      <c r="I688">
        <v>3676</v>
      </c>
      <c r="J688">
        <v>4624</v>
      </c>
      <c r="K688">
        <f t="shared" si="20"/>
        <v>4.2516797240987092</v>
      </c>
      <c r="L688">
        <v>418938</v>
      </c>
      <c r="M688">
        <v>545642</v>
      </c>
      <c r="N688">
        <f t="shared" si="21"/>
        <v>30.244093398068451</v>
      </c>
      <c r="O688">
        <v>45755</v>
      </c>
      <c r="P688">
        <v>45769</v>
      </c>
      <c r="Q688" t="s">
        <v>30</v>
      </c>
    </row>
    <row r="689" spans="1:17" x14ac:dyDescent="0.3">
      <c r="A689" t="s">
        <v>740</v>
      </c>
      <c r="B689" t="s">
        <v>103</v>
      </c>
      <c r="C689" t="s">
        <v>37</v>
      </c>
      <c r="D689" t="s">
        <v>20</v>
      </c>
      <c r="E689">
        <v>1498817</v>
      </c>
      <c r="F689">
        <v>1258747</v>
      </c>
      <c r="G689">
        <v>2593771</v>
      </c>
      <c r="H689">
        <v>97817</v>
      </c>
      <c r="I689">
        <v>9522</v>
      </c>
      <c r="J689">
        <v>8329</v>
      </c>
      <c r="K689">
        <f t="shared" si="20"/>
        <v>9.1891380873201687</v>
      </c>
      <c r="L689">
        <v>99846</v>
      </c>
      <c r="M689">
        <v>310696</v>
      </c>
      <c r="N689">
        <f t="shared" si="21"/>
        <v>211.1752098231276</v>
      </c>
      <c r="O689">
        <v>46076</v>
      </c>
      <c r="P689">
        <v>46093</v>
      </c>
      <c r="Q689" t="s">
        <v>41</v>
      </c>
    </row>
    <row r="690" spans="1:17" x14ac:dyDescent="0.3">
      <c r="A690" t="s">
        <v>741</v>
      </c>
      <c r="B690" t="s">
        <v>27</v>
      </c>
      <c r="C690" t="s">
        <v>19</v>
      </c>
      <c r="D690" t="s">
        <v>58</v>
      </c>
      <c r="E690">
        <v>995334</v>
      </c>
      <c r="F690">
        <v>512817</v>
      </c>
      <c r="G690">
        <v>732178</v>
      </c>
      <c r="H690">
        <v>18415</v>
      </c>
      <c r="I690">
        <v>2496</v>
      </c>
      <c r="J690">
        <v>1071</v>
      </c>
      <c r="K690">
        <f t="shared" si="20"/>
        <v>4.2865193626576339</v>
      </c>
      <c r="L690">
        <v>428537</v>
      </c>
      <c r="M690">
        <v>624594</v>
      </c>
      <c r="N690">
        <f t="shared" si="21"/>
        <v>45.750308608124854</v>
      </c>
      <c r="O690">
        <v>46045</v>
      </c>
      <c r="P690">
        <v>46058</v>
      </c>
      <c r="Q690" t="s">
        <v>41</v>
      </c>
    </row>
    <row r="691" spans="1:17" x14ac:dyDescent="0.3">
      <c r="A691" t="s">
        <v>742</v>
      </c>
      <c r="B691" t="s">
        <v>61</v>
      </c>
      <c r="C691" t="s">
        <v>43</v>
      </c>
      <c r="D691" t="s">
        <v>58</v>
      </c>
      <c r="E691">
        <v>1352212</v>
      </c>
      <c r="F691">
        <v>1186746</v>
      </c>
      <c r="G691">
        <v>2141689</v>
      </c>
      <c r="H691">
        <v>98740</v>
      </c>
      <c r="I691">
        <v>7455</v>
      </c>
      <c r="J691">
        <v>7571</v>
      </c>
      <c r="K691">
        <f t="shared" si="20"/>
        <v>9.5863815846019289</v>
      </c>
      <c r="L691">
        <v>131711</v>
      </c>
      <c r="M691">
        <v>444893</v>
      </c>
      <c r="N691">
        <f t="shared" si="21"/>
        <v>237.77968430882765</v>
      </c>
      <c r="O691">
        <v>46055</v>
      </c>
      <c r="P691">
        <v>46081</v>
      </c>
      <c r="Q691" t="s">
        <v>78</v>
      </c>
    </row>
    <row r="692" spans="1:17" x14ac:dyDescent="0.3">
      <c r="A692" t="s">
        <v>743</v>
      </c>
      <c r="B692" t="s">
        <v>103</v>
      </c>
      <c r="C692" t="s">
        <v>28</v>
      </c>
      <c r="D692" t="s">
        <v>20</v>
      </c>
      <c r="E692">
        <v>1383513</v>
      </c>
      <c r="F692">
        <v>1120439</v>
      </c>
      <c r="G692">
        <v>2276549</v>
      </c>
      <c r="H692">
        <v>124637</v>
      </c>
      <c r="I692">
        <v>11899</v>
      </c>
      <c r="J692">
        <v>9992</v>
      </c>
      <c r="K692">
        <f t="shared" si="20"/>
        <v>13.077731139312359</v>
      </c>
      <c r="L692">
        <v>68588</v>
      </c>
      <c r="M692">
        <v>162713</v>
      </c>
      <c r="N692">
        <f t="shared" si="21"/>
        <v>137.23246048871522</v>
      </c>
      <c r="O692">
        <v>45984</v>
      </c>
      <c r="P692">
        <v>46005</v>
      </c>
      <c r="Q692" t="s">
        <v>30</v>
      </c>
    </row>
    <row r="693" spans="1:17" x14ac:dyDescent="0.3">
      <c r="A693" t="s">
        <v>744</v>
      </c>
      <c r="B693" t="s">
        <v>45</v>
      </c>
      <c r="C693" t="s">
        <v>43</v>
      </c>
      <c r="D693" t="s">
        <v>24</v>
      </c>
      <c r="E693">
        <v>1441693</v>
      </c>
      <c r="F693">
        <v>1123557</v>
      </c>
      <c r="G693">
        <v>3236750</v>
      </c>
      <c r="H693">
        <v>83568</v>
      </c>
      <c r="I693">
        <v>6602</v>
      </c>
      <c r="J693">
        <v>2425</v>
      </c>
      <c r="K693">
        <f t="shared" si="20"/>
        <v>8.2412374272066309</v>
      </c>
      <c r="L693">
        <v>463427</v>
      </c>
      <c r="M693">
        <v>2036181</v>
      </c>
      <c r="N693">
        <f t="shared" si="21"/>
        <v>339.37470194874277</v>
      </c>
      <c r="O693">
        <v>46117</v>
      </c>
      <c r="P693">
        <v>46126</v>
      </c>
      <c r="Q693" t="s">
        <v>54</v>
      </c>
    </row>
    <row r="694" spans="1:17" x14ac:dyDescent="0.3">
      <c r="A694" t="s">
        <v>745</v>
      </c>
      <c r="B694" t="s">
        <v>103</v>
      </c>
      <c r="C694" t="s">
        <v>43</v>
      </c>
      <c r="D694" t="s">
        <v>20</v>
      </c>
      <c r="E694">
        <v>1032431</v>
      </c>
      <c r="F694">
        <v>433701</v>
      </c>
      <c r="G694">
        <v>482173</v>
      </c>
      <c r="H694">
        <v>18211</v>
      </c>
      <c r="I694">
        <v>940</v>
      </c>
      <c r="J694">
        <v>1288</v>
      </c>
      <c r="K694">
        <f t="shared" si="20"/>
        <v>4.7126937682873677</v>
      </c>
      <c r="L694">
        <v>30923</v>
      </c>
      <c r="M694">
        <v>53006</v>
      </c>
      <c r="N694">
        <f t="shared" si="21"/>
        <v>71.412864211105003</v>
      </c>
      <c r="O694">
        <v>46120</v>
      </c>
      <c r="P694">
        <v>46144</v>
      </c>
      <c r="Q694" t="s">
        <v>78</v>
      </c>
    </row>
    <row r="695" spans="1:17" x14ac:dyDescent="0.3">
      <c r="A695" t="s">
        <v>746</v>
      </c>
      <c r="B695" t="s">
        <v>23</v>
      </c>
      <c r="C695" t="s">
        <v>28</v>
      </c>
      <c r="D695" t="s">
        <v>40</v>
      </c>
      <c r="E695">
        <v>1349944</v>
      </c>
      <c r="F695">
        <v>499614</v>
      </c>
      <c r="G695">
        <v>581532</v>
      </c>
      <c r="H695">
        <v>59384</v>
      </c>
      <c r="I695">
        <v>4683</v>
      </c>
      <c r="J695">
        <v>1540</v>
      </c>
      <c r="K695">
        <f t="shared" si="20"/>
        <v>13.131537546986275</v>
      </c>
      <c r="L695">
        <v>225968</v>
      </c>
      <c r="M695">
        <v>261906</v>
      </c>
      <c r="N695">
        <f t="shared" si="21"/>
        <v>15.904021808397651</v>
      </c>
      <c r="O695">
        <v>46064</v>
      </c>
      <c r="P695">
        <v>46076</v>
      </c>
      <c r="Q695" t="s">
        <v>47</v>
      </c>
    </row>
    <row r="696" spans="1:17" x14ac:dyDescent="0.3">
      <c r="A696" t="s">
        <v>747</v>
      </c>
      <c r="B696" t="s">
        <v>18</v>
      </c>
      <c r="C696" t="s">
        <v>33</v>
      </c>
      <c r="D696" t="s">
        <v>20</v>
      </c>
      <c r="E696">
        <v>878418</v>
      </c>
      <c r="F696">
        <v>315186</v>
      </c>
      <c r="G696">
        <v>409894</v>
      </c>
      <c r="H696">
        <v>8266</v>
      </c>
      <c r="I696">
        <v>503</v>
      </c>
      <c r="J696">
        <v>790</v>
      </c>
      <c r="K696">
        <f t="shared" si="20"/>
        <v>3.0328123711078536</v>
      </c>
      <c r="L696">
        <v>174919</v>
      </c>
      <c r="M696">
        <v>645165</v>
      </c>
      <c r="N696">
        <f t="shared" si="21"/>
        <v>268.83643286321097</v>
      </c>
      <c r="O696">
        <v>46075</v>
      </c>
      <c r="P696">
        <v>46096</v>
      </c>
      <c r="Q696" t="s">
        <v>54</v>
      </c>
    </row>
    <row r="697" spans="1:17" x14ac:dyDescent="0.3">
      <c r="A697" t="s">
        <v>748</v>
      </c>
      <c r="B697" t="s">
        <v>39</v>
      </c>
      <c r="C697" t="s">
        <v>37</v>
      </c>
      <c r="D697" t="s">
        <v>24</v>
      </c>
      <c r="E697">
        <v>1210032</v>
      </c>
      <c r="F697">
        <v>896959</v>
      </c>
      <c r="G697">
        <v>2491635</v>
      </c>
      <c r="H697">
        <v>105104</v>
      </c>
      <c r="I697">
        <v>12987</v>
      </c>
      <c r="J697">
        <v>9836</v>
      </c>
      <c r="K697">
        <f t="shared" si="20"/>
        <v>14.262301844342943</v>
      </c>
      <c r="L697">
        <v>283990</v>
      </c>
      <c r="M697">
        <v>519972</v>
      </c>
      <c r="N697">
        <f t="shared" si="21"/>
        <v>83.095179407725624</v>
      </c>
      <c r="O697">
        <v>45777</v>
      </c>
      <c r="P697">
        <v>45806</v>
      </c>
      <c r="Q697" t="s">
        <v>47</v>
      </c>
    </row>
    <row r="698" spans="1:17" x14ac:dyDescent="0.3">
      <c r="A698" t="s">
        <v>749</v>
      </c>
      <c r="B698" t="s">
        <v>45</v>
      </c>
      <c r="C698" t="s">
        <v>33</v>
      </c>
      <c r="D698" t="s">
        <v>20</v>
      </c>
      <c r="E698">
        <v>1900125</v>
      </c>
      <c r="F698">
        <v>1250249</v>
      </c>
      <c r="G698">
        <v>2629082</v>
      </c>
      <c r="H698">
        <v>145181</v>
      </c>
      <c r="I698">
        <v>12274</v>
      </c>
      <c r="J698">
        <v>11316</v>
      </c>
      <c r="K698">
        <f t="shared" si="20"/>
        <v>13.498991000992602</v>
      </c>
      <c r="L698">
        <v>96716</v>
      </c>
      <c r="M698">
        <v>195050</v>
      </c>
      <c r="N698">
        <f t="shared" si="21"/>
        <v>101.67293932751562</v>
      </c>
      <c r="O698">
        <v>45990</v>
      </c>
      <c r="P698">
        <v>46018</v>
      </c>
      <c r="Q698" t="s">
        <v>21</v>
      </c>
    </row>
    <row r="699" spans="1:17" x14ac:dyDescent="0.3">
      <c r="A699" t="s">
        <v>750</v>
      </c>
      <c r="B699" t="s">
        <v>63</v>
      </c>
      <c r="C699" t="s">
        <v>37</v>
      </c>
      <c r="D699" t="s">
        <v>46</v>
      </c>
      <c r="E699">
        <v>770231</v>
      </c>
      <c r="F699">
        <v>496556</v>
      </c>
      <c r="G699">
        <v>941067</v>
      </c>
      <c r="H699">
        <v>71838</v>
      </c>
      <c r="I699">
        <v>7237</v>
      </c>
      <c r="J699">
        <v>2437</v>
      </c>
      <c r="K699">
        <f t="shared" si="20"/>
        <v>16.415469755677105</v>
      </c>
      <c r="L699">
        <v>199118</v>
      </c>
      <c r="M699">
        <v>887985</v>
      </c>
      <c r="N699">
        <f t="shared" si="21"/>
        <v>345.95917998372823</v>
      </c>
      <c r="O699">
        <v>46052</v>
      </c>
      <c r="P699">
        <v>46074</v>
      </c>
      <c r="Q699" t="s">
        <v>30</v>
      </c>
    </row>
    <row r="700" spans="1:17" x14ac:dyDescent="0.3">
      <c r="A700" t="s">
        <v>751</v>
      </c>
      <c r="B700" t="s">
        <v>39</v>
      </c>
      <c r="C700" t="s">
        <v>19</v>
      </c>
      <c r="D700" t="s">
        <v>51</v>
      </c>
      <c r="E700">
        <v>1175561</v>
      </c>
      <c r="F700">
        <v>433802</v>
      </c>
      <c r="G700">
        <v>1045887</v>
      </c>
      <c r="H700">
        <v>29258</v>
      </c>
      <c r="I700">
        <v>3856</v>
      </c>
      <c r="J700">
        <v>633</v>
      </c>
      <c r="K700">
        <f t="shared" si="20"/>
        <v>7.7793555585267011</v>
      </c>
      <c r="L700">
        <v>193451</v>
      </c>
      <c r="M700">
        <v>302263</v>
      </c>
      <c r="N700">
        <f t="shared" si="21"/>
        <v>56.247835369163248</v>
      </c>
      <c r="O700">
        <v>45744</v>
      </c>
      <c r="P700">
        <v>45764</v>
      </c>
      <c r="Q700" t="s">
        <v>41</v>
      </c>
    </row>
    <row r="701" spans="1:17" x14ac:dyDescent="0.3">
      <c r="A701" t="s">
        <v>752</v>
      </c>
      <c r="B701" t="s">
        <v>80</v>
      </c>
      <c r="C701" t="s">
        <v>37</v>
      </c>
      <c r="D701" t="s">
        <v>40</v>
      </c>
      <c r="E701">
        <v>454682</v>
      </c>
      <c r="F701">
        <v>135797</v>
      </c>
      <c r="G701">
        <v>229851</v>
      </c>
      <c r="H701">
        <v>9250</v>
      </c>
      <c r="I701">
        <v>808</v>
      </c>
      <c r="J701">
        <v>320</v>
      </c>
      <c r="K701">
        <f t="shared" si="20"/>
        <v>7.6422895940263773</v>
      </c>
      <c r="L701">
        <v>479471</v>
      </c>
      <c r="M701">
        <v>835739</v>
      </c>
      <c r="N701">
        <f t="shared" si="21"/>
        <v>74.304389629404071</v>
      </c>
      <c r="O701">
        <v>45878</v>
      </c>
      <c r="P701">
        <v>45885</v>
      </c>
      <c r="Q701" t="s">
        <v>54</v>
      </c>
    </row>
    <row r="702" spans="1:17" x14ac:dyDescent="0.3">
      <c r="A702" t="s">
        <v>753</v>
      </c>
      <c r="B702" t="s">
        <v>80</v>
      </c>
      <c r="C702" t="s">
        <v>43</v>
      </c>
      <c r="D702" t="s">
        <v>72</v>
      </c>
      <c r="E702">
        <v>173760</v>
      </c>
      <c r="F702">
        <v>60431</v>
      </c>
      <c r="G702">
        <v>79272</v>
      </c>
      <c r="H702">
        <v>4683</v>
      </c>
      <c r="I702">
        <v>156</v>
      </c>
      <c r="J702">
        <v>218</v>
      </c>
      <c r="K702">
        <f t="shared" si="20"/>
        <v>8.3682216081150411</v>
      </c>
      <c r="L702">
        <v>13947</v>
      </c>
      <c r="M702">
        <v>46190</v>
      </c>
      <c r="N702">
        <f t="shared" si="21"/>
        <v>231.18233311823332</v>
      </c>
      <c r="O702">
        <v>45673</v>
      </c>
      <c r="P702">
        <v>45703</v>
      </c>
      <c r="Q702" t="s">
        <v>30</v>
      </c>
    </row>
    <row r="703" spans="1:17" x14ac:dyDescent="0.3">
      <c r="A703" t="s">
        <v>754</v>
      </c>
      <c r="B703" t="s">
        <v>80</v>
      </c>
      <c r="C703" t="s">
        <v>43</v>
      </c>
      <c r="D703" t="s">
        <v>24</v>
      </c>
      <c r="E703">
        <v>1574130</v>
      </c>
      <c r="F703">
        <v>1122787</v>
      </c>
      <c r="G703">
        <v>1362217</v>
      </c>
      <c r="H703">
        <v>102014</v>
      </c>
      <c r="I703">
        <v>8240</v>
      </c>
      <c r="J703">
        <v>7726</v>
      </c>
      <c r="K703">
        <f t="shared" si="20"/>
        <v>10.507781084034638</v>
      </c>
      <c r="L703">
        <v>491487</v>
      </c>
      <c r="M703">
        <v>1358319</v>
      </c>
      <c r="N703">
        <f t="shared" si="21"/>
        <v>176.36926307308229</v>
      </c>
      <c r="O703">
        <v>46013</v>
      </c>
      <c r="P703">
        <v>46027</v>
      </c>
      <c r="Q703" t="s">
        <v>47</v>
      </c>
    </row>
    <row r="704" spans="1:17" x14ac:dyDescent="0.3">
      <c r="A704" t="s">
        <v>755</v>
      </c>
      <c r="B704" t="s">
        <v>80</v>
      </c>
      <c r="C704" t="s">
        <v>33</v>
      </c>
      <c r="D704" t="s">
        <v>51</v>
      </c>
      <c r="E704">
        <v>690275</v>
      </c>
      <c r="F704">
        <v>467395</v>
      </c>
      <c r="G704">
        <v>775683</v>
      </c>
      <c r="H704">
        <v>41885</v>
      </c>
      <c r="I704">
        <v>2736</v>
      </c>
      <c r="J704">
        <v>3602</v>
      </c>
      <c r="K704">
        <f t="shared" si="20"/>
        <v>10.317397490345426</v>
      </c>
      <c r="L704">
        <v>486255</v>
      </c>
      <c r="M704">
        <v>2144276</v>
      </c>
      <c r="N704">
        <f t="shared" si="21"/>
        <v>340.9776763220944</v>
      </c>
      <c r="O704">
        <v>46058</v>
      </c>
      <c r="P704">
        <v>46088</v>
      </c>
      <c r="Q704" t="s">
        <v>41</v>
      </c>
    </row>
    <row r="705" spans="1:17" x14ac:dyDescent="0.3">
      <c r="A705" t="s">
        <v>756</v>
      </c>
      <c r="B705" t="s">
        <v>49</v>
      </c>
      <c r="C705" t="s">
        <v>37</v>
      </c>
      <c r="D705" t="s">
        <v>20</v>
      </c>
      <c r="E705">
        <v>1377091</v>
      </c>
      <c r="F705">
        <v>1011872</v>
      </c>
      <c r="G705">
        <v>2472469</v>
      </c>
      <c r="H705">
        <v>66418</v>
      </c>
      <c r="I705">
        <v>6058</v>
      </c>
      <c r="J705">
        <v>1389</v>
      </c>
      <c r="K705">
        <f t="shared" si="20"/>
        <v>7.2998363429366568</v>
      </c>
      <c r="L705">
        <v>351948</v>
      </c>
      <c r="M705">
        <v>1372282</v>
      </c>
      <c r="N705">
        <f t="shared" si="21"/>
        <v>289.9104413151943</v>
      </c>
      <c r="O705">
        <v>45899</v>
      </c>
      <c r="P705">
        <v>45923</v>
      </c>
      <c r="Q705" t="s">
        <v>41</v>
      </c>
    </row>
    <row r="706" spans="1:17" x14ac:dyDescent="0.3">
      <c r="A706" t="s">
        <v>757</v>
      </c>
      <c r="B706" t="s">
        <v>57</v>
      </c>
      <c r="C706" t="s">
        <v>28</v>
      </c>
      <c r="D706" t="s">
        <v>20</v>
      </c>
      <c r="E706">
        <v>56432</v>
      </c>
      <c r="F706">
        <v>31472</v>
      </c>
      <c r="G706">
        <v>76184</v>
      </c>
      <c r="H706">
        <v>4114</v>
      </c>
      <c r="I706">
        <v>129</v>
      </c>
      <c r="J706">
        <v>349</v>
      </c>
      <c r="K706">
        <f t="shared" ref="K706:K769" si="22">((H706+I706+J706)/F706)*100</f>
        <v>14.590747330960854</v>
      </c>
      <c r="L706">
        <v>400767</v>
      </c>
      <c r="M706">
        <v>1519752</v>
      </c>
      <c r="N706">
        <f t="shared" ref="N706:N769" si="23">((M706-L706)/L706)*100</f>
        <v>279.21086316987174</v>
      </c>
      <c r="O706">
        <v>45954</v>
      </c>
      <c r="P706">
        <v>45963</v>
      </c>
      <c r="Q706" t="s">
        <v>54</v>
      </c>
    </row>
    <row r="707" spans="1:17" x14ac:dyDescent="0.3">
      <c r="A707" t="s">
        <v>758</v>
      </c>
      <c r="B707" t="s">
        <v>61</v>
      </c>
      <c r="C707" t="s">
        <v>33</v>
      </c>
      <c r="D707" t="s">
        <v>24</v>
      </c>
      <c r="E707">
        <v>1409169</v>
      </c>
      <c r="F707">
        <v>369182</v>
      </c>
      <c r="G707">
        <v>667156</v>
      </c>
      <c r="H707">
        <v>12596</v>
      </c>
      <c r="I707">
        <v>1808</v>
      </c>
      <c r="J707">
        <v>991</v>
      </c>
      <c r="K707">
        <f t="shared" si="22"/>
        <v>4.1700299581236351</v>
      </c>
      <c r="L707">
        <v>267419</v>
      </c>
      <c r="M707">
        <v>458978</v>
      </c>
      <c r="N707">
        <f t="shared" si="23"/>
        <v>71.632531719885279</v>
      </c>
      <c r="O707">
        <v>45716</v>
      </c>
      <c r="P707">
        <v>45731</v>
      </c>
      <c r="Q707" t="s">
        <v>21</v>
      </c>
    </row>
    <row r="708" spans="1:17" x14ac:dyDescent="0.3">
      <c r="A708" t="s">
        <v>759</v>
      </c>
      <c r="B708" t="s">
        <v>36</v>
      </c>
      <c r="C708" t="s">
        <v>37</v>
      </c>
      <c r="D708" t="s">
        <v>29</v>
      </c>
      <c r="E708">
        <v>186545</v>
      </c>
      <c r="F708">
        <v>161195</v>
      </c>
      <c r="G708">
        <v>462225</v>
      </c>
      <c r="H708">
        <v>18878</v>
      </c>
      <c r="I708">
        <v>2429</v>
      </c>
      <c r="J708">
        <v>1608</v>
      </c>
      <c r="K708">
        <f t="shared" si="22"/>
        <v>14.215701479574427</v>
      </c>
      <c r="L708">
        <v>235598</v>
      </c>
      <c r="M708">
        <v>461285</v>
      </c>
      <c r="N708">
        <f t="shared" si="23"/>
        <v>95.793258007283583</v>
      </c>
      <c r="O708">
        <v>46071</v>
      </c>
      <c r="P708">
        <v>46098</v>
      </c>
      <c r="Q708" t="s">
        <v>34</v>
      </c>
    </row>
    <row r="709" spans="1:17" x14ac:dyDescent="0.3">
      <c r="A709" t="s">
        <v>760</v>
      </c>
      <c r="B709" t="s">
        <v>53</v>
      </c>
      <c r="C709" t="s">
        <v>43</v>
      </c>
      <c r="D709" t="s">
        <v>20</v>
      </c>
      <c r="E709">
        <v>719274</v>
      </c>
      <c r="F709">
        <v>221786</v>
      </c>
      <c r="G709">
        <v>527337</v>
      </c>
      <c r="H709">
        <v>17299</v>
      </c>
      <c r="I709">
        <v>580</v>
      </c>
      <c r="J709">
        <v>1109</v>
      </c>
      <c r="K709">
        <f t="shared" si="22"/>
        <v>8.5614060400566316</v>
      </c>
      <c r="L709">
        <v>397186</v>
      </c>
      <c r="M709">
        <v>1504660</v>
      </c>
      <c r="N709">
        <f t="shared" si="23"/>
        <v>278.83006953920835</v>
      </c>
      <c r="O709">
        <v>45714</v>
      </c>
      <c r="P709">
        <v>45723</v>
      </c>
      <c r="Q709" t="s">
        <v>25</v>
      </c>
    </row>
    <row r="710" spans="1:17" x14ac:dyDescent="0.3">
      <c r="A710" t="s">
        <v>761</v>
      </c>
      <c r="B710" t="s">
        <v>80</v>
      </c>
      <c r="C710" t="s">
        <v>28</v>
      </c>
      <c r="D710" t="s">
        <v>20</v>
      </c>
      <c r="E710">
        <v>97980</v>
      </c>
      <c r="F710">
        <v>49752</v>
      </c>
      <c r="G710">
        <v>68971</v>
      </c>
      <c r="H710">
        <v>2960</v>
      </c>
      <c r="I710">
        <v>288</v>
      </c>
      <c r="J710">
        <v>83</v>
      </c>
      <c r="K710">
        <f t="shared" si="22"/>
        <v>6.6952082328348608</v>
      </c>
      <c r="L710">
        <v>487325</v>
      </c>
      <c r="M710">
        <v>2208670</v>
      </c>
      <c r="N710">
        <f t="shared" si="23"/>
        <v>353.22320833119585</v>
      </c>
      <c r="O710">
        <v>45898</v>
      </c>
      <c r="P710">
        <v>45919</v>
      </c>
      <c r="Q710" t="s">
        <v>47</v>
      </c>
    </row>
    <row r="711" spans="1:17" x14ac:dyDescent="0.3">
      <c r="A711" t="s">
        <v>762</v>
      </c>
      <c r="B711" t="s">
        <v>32</v>
      </c>
      <c r="C711" t="s">
        <v>19</v>
      </c>
      <c r="D711" t="s">
        <v>20</v>
      </c>
      <c r="E711">
        <v>186138</v>
      </c>
      <c r="F711">
        <v>118148</v>
      </c>
      <c r="G711">
        <v>197704</v>
      </c>
      <c r="H711">
        <v>12170</v>
      </c>
      <c r="I711">
        <v>1194</v>
      </c>
      <c r="J711">
        <v>1061</v>
      </c>
      <c r="K711">
        <f t="shared" si="22"/>
        <v>12.209262958323459</v>
      </c>
      <c r="L711">
        <v>126437</v>
      </c>
      <c r="M711">
        <v>391074</v>
      </c>
      <c r="N711">
        <f t="shared" si="23"/>
        <v>209.30344756677238</v>
      </c>
      <c r="O711">
        <v>45997</v>
      </c>
      <c r="P711">
        <v>46023</v>
      </c>
      <c r="Q711" t="s">
        <v>41</v>
      </c>
    </row>
    <row r="712" spans="1:17" x14ac:dyDescent="0.3">
      <c r="A712" t="s">
        <v>763</v>
      </c>
      <c r="B712" t="s">
        <v>61</v>
      </c>
      <c r="C712" t="s">
        <v>43</v>
      </c>
      <c r="D712" t="s">
        <v>51</v>
      </c>
      <c r="E712">
        <v>1488671</v>
      </c>
      <c r="F712">
        <v>997624</v>
      </c>
      <c r="G712">
        <v>1456637</v>
      </c>
      <c r="H712">
        <v>145405</v>
      </c>
      <c r="I712">
        <v>20318</v>
      </c>
      <c r="J712">
        <v>5329</v>
      </c>
      <c r="K712">
        <f t="shared" si="22"/>
        <v>17.145938750471117</v>
      </c>
      <c r="L712">
        <v>214031</v>
      </c>
      <c r="M712">
        <v>291089</v>
      </c>
      <c r="N712">
        <f t="shared" si="23"/>
        <v>36.003195798739434</v>
      </c>
      <c r="O712">
        <v>46057</v>
      </c>
      <c r="P712">
        <v>46080</v>
      </c>
      <c r="Q712" t="s">
        <v>30</v>
      </c>
    </row>
    <row r="713" spans="1:17" x14ac:dyDescent="0.3">
      <c r="A713" t="s">
        <v>764</v>
      </c>
      <c r="B713" t="s">
        <v>57</v>
      </c>
      <c r="C713" t="s">
        <v>28</v>
      </c>
      <c r="D713" t="s">
        <v>58</v>
      </c>
      <c r="E713">
        <v>802211</v>
      </c>
      <c r="F713">
        <v>616321</v>
      </c>
      <c r="G713">
        <v>1001834</v>
      </c>
      <c r="H713">
        <v>86740</v>
      </c>
      <c r="I713">
        <v>5993</v>
      </c>
      <c r="J713">
        <v>6975</v>
      </c>
      <c r="K713">
        <f t="shared" si="22"/>
        <v>16.177933252314947</v>
      </c>
      <c r="L713">
        <v>29779</v>
      </c>
      <c r="M713">
        <v>141485</v>
      </c>
      <c r="N713">
        <f t="shared" si="23"/>
        <v>375.11669297155714</v>
      </c>
      <c r="O713">
        <v>45881</v>
      </c>
      <c r="P713">
        <v>45910</v>
      </c>
      <c r="Q713" t="s">
        <v>30</v>
      </c>
    </row>
    <row r="714" spans="1:17" x14ac:dyDescent="0.3">
      <c r="A714" t="s">
        <v>765</v>
      </c>
      <c r="B714" t="s">
        <v>49</v>
      </c>
      <c r="C714" t="s">
        <v>19</v>
      </c>
      <c r="D714" t="s">
        <v>29</v>
      </c>
      <c r="E714">
        <v>959587</v>
      </c>
      <c r="F714">
        <v>324299</v>
      </c>
      <c r="G714">
        <v>491324</v>
      </c>
      <c r="H714">
        <v>30663</v>
      </c>
      <c r="I714">
        <v>4567</v>
      </c>
      <c r="J714">
        <v>1396</v>
      </c>
      <c r="K714">
        <f t="shared" si="22"/>
        <v>11.293898531910367</v>
      </c>
      <c r="L714">
        <v>97421</v>
      </c>
      <c r="M714">
        <v>343723</v>
      </c>
      <c r="N714">
        <f t="shared" si="23"/>
        <v>252.8222867759518</v>
      </c>
      <c r="O714">
        <v>46012</v>
      </c>
      <c r="P714">
        <v>46022</v>
      </c>
      <c r="Q714" t="s">
        <v>78</v>
      </c>
    </row>
    <row r="715" spans="1:17" x14ac:dyDescent="0.3">
      <c r="A715" t="s">
        <v>766</v>
      </c>
      <c r="B715" t="s">
        <v>49</v>
      </c>
      <c r="C715" t="s">
        <v>19</v>
      </c>
      <c r="D715" t="s">
        <v>20</v>
      </c>
      <c r="E715">
        <v>1242096</v>
      </c>
      <c r="F715">
        <v>791545</v>
      </c>
      <c r="G715">
        <v>2333716</v>
      </c>
      <c r="H715">
        <v>30962</v>
      </c>
      <c r="I715">
        <v>1484</v>
      </c>
      <c r="J715">
        <v>1849</v>
      </c>
      <c r="K715">
        <f t="shared" si="22"/>
        <v>4.3326658623325267</v>
      </c>
      <c r="L715">
        <v>132190</v>
      </c>
      <c r="M715">
        <v>192667</v>
      </c>
      <c r="N715">
        <f t="shared" si="23"/>
        <v>45.750056736515617</v>
      </c>
      <c r="O715">
        <v>45983</v>
      </c>
      <c r="P715">
        <v>46002</v>
      </c>
      <c r="Q715" t="s">
        <v>54</v>
      </c>
    </row>
    <row r="716" spans="1:17" x14ac:dyDescent="0.3">
      <c r="A716" t="s">
        <v>767</v>
      </c>
      <c r="B716" t="s">
        <v>103</v>
      </c>
      <c r="C716" t="s">
        <v>19</v>
      </c>
      <c r="D716" t="s">
        <v>58</v>
      </c>
      <c r="E716">
        <v>1873789</v>
      </c>
      <c r="F716">
        <v>1480095</v>
      </c>
      <c r="G716">
        <v>3052294</v>
      </c>
      <c r="H716">
        <v>150542</v>
      </c>
      <c r="I716">
        <v>8186</v>
      </c>
      <c r="J716">
        <v>5890</v>
      </c>
      <c r="K716">
        <f t="shared" si="22"/>
        <v>11.122123917721497</v>
      </c>
      <c r="L716">
        <v>355600</v>
      </c>
      <c r="M716">
        <v>754952</v>
      </c>
      <c r="N716">
        <f t="shared" si="23"/>
        <v>112.30371203599549</v>
      </c>
      <c r="O716">
        <v>46002</v>
      </c>
      <c r="P716">
        <v>46025</v>
      </c>
      <c r="Q716" t="s">
        <v>47</v>
      </c>
    </row>
    <row r="717" spans="1:17" x14ac:dyDescent="0.3">
      <c r="A717" t="s">
        <v>768</v>
      </c>
      <c r="B717" t="s">
        <v>36</v>
      </c>
      <c r="C717" t="s">
        <v>37</v>
      </c>
      <c r="D717" t="s">
        <v>46</v>
      </c>
      <c r="E717">
        <v>1402698</v>
      </c>
      <c r="F717">
        <v>510949</v>
      </c>
      <c r="G717">
        <v>1500855</v>
      </c>
      <c r="H717">
        <v>17668</v>
      </c>
      <c r="I717">
        <v>1149</v>
      </c>
      <c r="J717">
        <v>1439</v>
      </c>
      <c r="K717">
        <f t="shared" si="22"/>
        <v>3.9643878351851161</v>
      </c>
      <c r="L717">
        <v>181259</v>
      </c>
      <c r="M717">
        <v>487774</v>
      </c>
      <c r="N717">
        <f t="shared" si="23"/>
        <v>169.10332728305906</v>
      </c>
      <c r="O717">
        <v>46080</v>
      </c>
      <c r="P717">
        <v>46105</v>
      </c>
      <c r="Q717" t="s">
        <v>41</v>
      </c>
    </row>
    <row r="718" spans="1:17" x14ac:dyDescent="0.3">
      <c r="A718" t="s">
        <v>769</v>
      </c>
      <c r="B718" t="s">
        <v>39</v>
      </c>
      <c r="C718" t="s">
        <v>43</v>
      </c>
      <c r="D718" t="s">
        <v>58</v>
      </c>
      <c r="E718">
        <v>1838695</v>
      </c>
      <c r="F718">
        <v>1394801</v>
      </c>
      <c r="G718">
        <v>3478031</v>
      </c>
      <c r="H718">
        <v>147082</v>
      </c>
      <c r="I718">
        <v>5185</v>
      </c>
      <c r="J718">
        <v>13423</v>
      </c>
      <c r="K718">
        <f t="shared" si="22"/>
        <v>11.879113938117337</v>
      </c>
      <c r="L718">
        <v>329506</v>
      </c>
      <c r="M718">
        <v>418018</v>
      </c>
      <c r="N718">
        <f t="shared" si="23"/>
        <v>26.862029826467499</v>
      </c>
      <c r="O718">
        <v>45912</v>
      </c>
      <c r="P718">
        <v>45941</v>
      </c>
      <c r="Q718" t="s">
        <v>41</v>
      </c>
    </row>
    <row r="719" spans="1:17" x14ac:dyDescent="0.3">
      <c r="A719" t="s">
        <v>770</v>
      </c>
      <c r="B719" t="s">
        <v>53</v>
      </c>
      <c r="C719" t="s">
        <v>43</v>
      </c>
      <c r="D719" t="s">
        <v>40</v>
      </c>
      <c r="E719">
        <v>399257</v>
      </c>
      <c r="F719">
        <v>252178</v>
      </c>
      <c r="G719">
        <v>454772</v>
      </c>
      <c r="H719">
        <v>31009</v>
      </c>
      <c r="I719">
        <v>2577</v>
      </c>
      <c r="J719">
        <v>2807</v>
      </c>
      <c r="K719">
        <f t="shared" si="22"/>
        <v>14.431473007161607</v>
      </c>
      <c r="L719">
        <v>228519</v>
      </c>
      <c r="M719">
        <v>491249</v>
      </c>
      <c r="N719">
        <f t="shared" si="23"/>
        <v>114.97074641495892</v>
      </c>
      <c r="O719">
        <v>46018</v>
      </c>
      <c r="P719">
        <v>46028</v>
      </c>
      <c r="Q719" t="s">
        <v>47</v>
      </c>
    </row>
    <row r="720" spans="1:17" x14ac:dyDescent="0.3">
      <c r="A720" t="s">
        <v>771</v>
      </c>
      <c r="B720" t="s">
        <v>49</v>
      </c>
      <c r="C720" t="s">
        <v>28</v>
      </c>
      <c r="D720" t="s">
        <v>46</v>
      </c>
      <c r="E720">
        <v>1332490</v>
      </c>
      <c r="F720">
        <v>809117</v>
      </c>
      <c r="G720">
        <v>1941865</v>
      </c>
      <c r="H720">
        <v>56787</v>
      </c>
      <c r="I720">
        <v>5512</v>
      </c>
      <c r="J720">
        <v>5453</v>
      </c>
      <c r="K720">
        <f t="shared" si="22"/>
        <v>8.3735726724317985</v>
      </c>
      <c r="L720">
        <v>336351</v>
      </c>
      <c r="M720">
        <v>1504760</v>
      </c>
      <c r="N720">
        <f t="shared" si="23"/>
        <v>347.37788798011604</v>
      </c>
      <c r="O720">
        <v>46084</v>
      </c>
      <c r="P720">
        <v>46098</v>
      </c>
      <c r="Q720" t="s">
        <v>25</v>
      </c>
    </row>
    <row r="721" spans="1:17" x14ac:dyDescent="0.3">
      <c r="A721" t="s">
        <v>772</v>
      </c>
      <c r="B721" t="s">
        <v>63</v>
      </c>
      <c r="C721" t="s">
        <v>43</v>
      </c>
      <c r="D721" t="s">
        <v>20</v>
      </c>
      <c r="E721">
        <v>1979294</v>
      </c>
      <c r="F721">
        <v>768669</v>
      </c>
      <c r="G721">
        <v>2165311</v>
      </c>
      <c r="H721">
        <v>55961</v>
      </c>
      <c r="I721">
        <v>2730</v>
      </c>
      <c r="J721">
        <v>3057</v>
      </c>
      <c r="K721">
        <f t="shared" si="22"/>
        <v>8.0331065777337187</v>
      </c>
      <c r="L721">
        <v>223562</v>
      </c>
      <c r="M721">
        <v>724086</v>
      </c>
      <c r="N721">
        <f t="shared" si="23"/>
        <v>223.88599135810199</v>
      </c>
      <c r="O721">
        <v>46056</v>
      </c>
      <c r="P721">
        <v>46074</v>
      </c>
      <c r="Q721" t="s">
        <v>34</v>
      </c>
    </row>
    <row r="722" spans="1:17" x14ac:dyDescent="0.3">
      <c r="A722" t="s">
        <v>773</v>
      </c>
      <c r="B722" t="s">
        <v>27</v>
      </c>
      <c r="C722" t="s">
        <v>43</v>
      </c>
      <c r="D722" t="s">
        <v>40</v>
      </c>
      <c r="E722">
        <v>1686851</v>
      </c>
      <c r="F722">
        <v>452888</v>
      </c>
      <c r="G722">
        <v>669735</v>
      </c>
      <c r="H722">
        <v>19892</v>
      </c>
      <c r="I722">
        <v>825</v>
      </c>
      <c r="J722">
        <v>1686</v>
      </c>
      <c r="K722">
        <f t="shared" si="22"/>
        <v>4.9466976382681809</v>
      </c>
      <c r="L722">
        <v>222325</v>
      </c>
      <c r="M722">
        <v>744740</v>
      </c>
      <c r="N722">
        <f t="shared" si="23"/>
        <v>234.97807264140334</v>
      </c>
      <c r="O722">
        <v>45877</v>
      </c>
      <c r="P722">
        <v>45906</v>
      </c>
      <c r="Q722" t="s">
        <v>47</v>
      </c>
    </row>
    <row r="723" spans="1:17" x14ac:dyDescent="0.3">
      <c r="A723" t="s">
        <v>774</v>
      </c>
      <c r="B723" t="s">
        <v>53</v>
      </c>
      <c r="C723" t="s">
        <v>37</v>
      </c>
      <c r="D723" t="s">
        <v>29</v>
      </c>
      <c r="E723">
        <v>498621</v>
      </c>
      <c r="F723">
        <v>265156</v>
      </c>
      <c r="G723">
        <v>296537</v>
      </c>
      <c r="H723">
        <v>18040</v>
      </c>
      <c r="I723">
        <v>1297</v>
      </c>
      <c r="J723">
        <v>1272</v>
      </c>
      <c r="K723">
        <f t="shared" si="22"/>
        <v>7.7724056781668143</v>
      </c>
      <c r="L723">
        <v>146113</v>
      </c>
      <c r="M723">
        <v>665390</v>
      </c>
      <c r="N723">
        <f t="shared" si="23"/>
        <v>355.39411277572839</v>
      </c>
      <c r="O723">
        <v>45840</v>
      </c>
      <c r="P723">
        <v>45854</v>
      </c>
      <c r="Q723" t="s">
        <v>30</v>
      </c>
    </row>
    <row r="724" spans="1:17" x14ac:dyDescent="0.3">
      <c r="A724" t="s">
        <v>775</v>
      </c>
      <c r="B724" t="s">
        <v>53</v>
      </c>
      <c r="C724" t="s">
        <v>28</v>
      </c>
      <c r="D724" t="s">
        <v>20</v>
      </c>
      <c r="E724">
        <v>316283</v>
      </c>
      <c r="F724">
        <v>199667</v>
      </c>
      <c r="G724">
        <v>447292</v>
      </c>
      <c r="H724">
        <v>20035</v>
      </c>
      <c r="I724">
        <v>1741</v>
      </c>
      <c r="J724">
        <v>1955</v>
      </c>
      <c r="K724">
        <f t="shared" si="22"/>
        <v>11.885289006195315</v>
      </c>
      <c r="L724">
        <v>27045</v>
      </c>
      <c r="M724">
        <v>96534</v>
      </c>
      <c r="N724">
        <f t="shared" si="23"/>
        <v>256.93843594009979</v>
      </c>
      <c r="O724">
        <v>45735</v>
      </c>
      <c r="P724">
        <v>45747</v>
      </c>
      <c r="Q724" t="s">
        <v>21</v>
      </c>
    </row>
    <row r="725" spans="1:17" x14ac:dyDescent="0.3">
      <c r="A725" t="s">
        <v>776</v>
      </c>
      <c r="B725" t="s">
        <v>53</v>
      </c>
      <c r="C725" t="s">
        <v>33</v>
      </c>
      <c r="D725" t="s">
        <v>58</v>
      </c>
      <c r="E725">
        <v>1470687</v>
      </c>
      <c r="F725">
        <v>923155</v>
      </c>
      <c r="G725">
        <v>1147708</v>
      </c>
      <c r="H725">
        <v>106521</v>
      </c>
      <c r="I725">
        <v>10063</v>
      </c>
      <c r="J725">
        <v>7332</v>
      </c>
      <c r="K725">
        <f t="shared" si="22"/>
        <v>13.423097962963965</v>
      </c>
      <c r="L725">
        <v>21937</v>
      </c>
      <c r="M725">
        <v>103437</v>
      </c>
      <c r="N725">
        <f t="shared" si="23"/>
        <v>371.51843916670464</v>
      </c>
      <c r="O725">
        <v>45849</v>
      </c>
      <c r="P725">
        <v>45871</v>
      </c>
      <c r="Q725" t="s">
        <v>30</v>
      </c>
    </row>
    <row r="726" spans="1:17" x14ac:dyDescent="0.3">
      <c r="A726" t="s">
        <v>777</v>
      </c>
      <c r="B726" t="s">
        <v>27</v>
      </c>
      <c r="C726" t="s">
        <v>33</v>
      </c>
      <c r="D726" t="s">
        <v>58</v>
      </c>
      <c r="E726">
        <v>179961</v>
      </c>
      <c r="F726">
        <v>128815</v>
      </c>
      <c r="G726">
        <v>190558</v>
      </c>
      <c r="H726">
        <v>8998</v>
      </c>
      <c r="I726">
        <v>1101</v>
      </c>
      <c r="J726">
        <v>711</v>
      </c>
      <c r="K726">
        <f t="shared" si="22"/>
        <v>8.3918798276598228</v>
      </c>
      <c r="L726">
        <v>380783</v>
      </c>
      <c r="M726">
        <v>914995</v>
      </c>
      <c r="N726">
        <f t="shared" si="23"/>
        <v>140.29302778748001</v>
      </c>
      <c r="O726">
        <v>45749</v>
      </c>
      <c r="P726">
        <v>45762</v>
      </c>
      <c r="Q726" t="s">
        <v>47</v>
      </c>
    </row>
    <row r="727" spans="1:17" x14ac:dyDescent="0.3">
      <c r="A727" t="s">
        <v>778</v>
      </c>
      <c r="B727" t="s">
        <v>63</v>
      </c>
      <c r="C727" t="s">
        <v>33</v>
      </c>
      <c r="D727" t="s">
        <v>51</v>
      </c>
      <c r="E727">
        <v>571578</v>
      </c>
      <c r="F727">
        <v>277979</v>
      </c>
      <c r="G727">
        <v>557622</v>
      </c>
      <c r="H727">
        <v>35968</v>
      </c>
      <c r="I727">
        <v>4169</v>
      </c>
      <c r="J727">
        <v>1833</v>
      </c>
      <c r="K727">
        <f t="shared" si="22"/>
        <v>15.098262818414341</v>
      </c>
      <c r="L727">
        <v>112940</v>
      </c>
      <c r="M727">
        <v>514963</v>
      </c>
      <c r="N727">
        <f t="shared" si="23"/>
        <v>355.96157251638039</v>
      </c>
      <c r="O727">
        <v>46070</v>
      </c>
      <c r="P727">
        <v>46098</v>
      </c>
      <c r="Q727" t="s">
        <v>41</v>
      </c>
    </row>
    <row r="728" spans="1:17" x14ac:dyDescent="0.3">
      <c r="A728" t="s">
        <v>779</v>
      </c>
      <c r="B728" t="s">
        <v>27</v>
      </c>
      <c r="C728" t="s">
        <v>43</v>
      </c>
      <c r="D728" t="s">
        <v>58</v>
      </c>
      <c r="E728">
        <v>1907772</v>
      </c>
      <c r="F728">
        <v>1566766</v>
      </c>
      <c r="G728">
        <v>2489435</v>
      </c>
      <c r="H728">
        <v>162053</v>
      </c>
      <c r="I728">
        <v>18343</v>
      </c>
      <c r="J728">
        <v>15461</v>
      </c>
      <c r="K728">
        <f t="shared" si="22"/>
        <v>12.500718039579617</v>
      </c>
      <c r="L728">
        <v>269690</v>
      </c>
      <c r="M728">
        <v>599877</v>
      </c>
      <c r="N728">
        <f t="shared" si="23"/>
        <v>122.432051614817</v>
      </c>
      <c r="O728">
        <v>45796</v>
      </c>
      <c r="P728">
        <v>45813</v>
      </c>
      <c r="Q728" t="s">
        <v>47</v>
      </c>
    </row>
    <row r="729" spans="1:17" x14ac:dyDescent="0.3">
      <c r="A729" t="s">
        <v>780</v>
      </c>
      <c r="B729" t="s">
        <v>23</v>
      </c>
      <c r="C729" t="s">
        <v>43</v>
      </c>
      <c r="D729" t="s">
        <v>20</v>
      </c>
      <c r="E729">
        <v>605506</v>
      </c>
      <c r="F729">
        <v>279650</v>
      </c>
      <c r="G729">
        <v>763245</v>
      </c>
      <c r="H729">
        <v>14758</v>
      </c>
      <c r="I729">
        <v>1029</v>
      </c>
      <c r="J729">
        <v>581</v>
      </c>
      <c r="K729">
        <f t="shared" si="22"/>
        <v>5.8530305739316999</v>
      </c>
      <c r="L729">
        <v>268592</v>
      </c>
      <c r="M729">
        <v>1279762</v>
      </c>
      <c r="N729">
        <f t="shared" si="23"/>
        <v>376.47063203669506</v>
      </c>
      <c r="O729">
        <v>46067</v>
      </c>
      <c r="P729">
        <v>46085</v>
      </c>
      <c r="Q729" t="s">
        <v>41</v>
      </c>
    </row>
    <row r="730" spans="1:17" x14ac:dyDescent="0.3">
      <c r="A730" t="s">
        <v>781</v>
      </c>
      <c r="B730" t="s">
        <v>53</v>
      </c>
      <c r="C730" t="s">
        <v>37</v>
      </c>
      <c r="D730" t="s">
        <v>40</v>
      </c>
      <c r="E730">
        <v>518136</v>
      </c>
      <c r="F730">
        <v>207333</v>
      </c>
      <c r="G730">
        <v>433769</v>
      </c>
      <c r="H730">
        <v>22585</v>
      </c>
      <c r="I730">
        <v>871</v>
      </c>
      <c r="J730">
        <v>1256</v>
      </c>
      <c r="K730">
        <f t="shared" si="22"/>
        <v>11.91899022345695</v>
      </c>
      <c r="L730">
        <v>397085</v>
      </c>
      <c r="M730">
        <v>1109702</v>
      </c>
      <c r="N730">
        <f t="shared" si="23"/>
        <v>179.46207990732464</v>
      </c>
      <c r="O730">
        <v>46065</v>
      </c>
      <c r="P730">
        <v>46091</v>
      </c>
      <c r="Q730" t="s">
        <v>41</v>
      </c>
    </row>
    <row r="731" spans="1:17" x14ac:dyDescent="0.3">
      <c r="A731" t="s">
        <v>782</v>
      </c>
      <c r="B731" t="s">
        <v>36</v>
      </c>
      <c r="C731" t="s">
        <v>28</v>
      </c>
      <c r="D731" t="s">
        <v>29</v>
      </c>
      <c r="E731">
        <v>839485</v>
      </c>
      <c r="F731">
        <v>594413</v>
      </c>
      <c r="G731">
        <v>664911</v>
      </c>
      <c r="H731">
        <v>54399</v>
      </c>
      <c r="I731">
        <v>2540</v>
      </c>
      <c r="J731">
        <v>3271</v>
      </c>
      <c r="K731">
        <f t="shared" si="22"/>
        <v>10.129320859402471</v>
      </c>
      <c r="L731">
        <v>473597</v>
      </c>
      <c r="M731">
        <v>2185173</v>
      </c>
      <c r="N731">
        <f t="shared" si="23"/>
        <v>361.39924872834916</v>
      </c>
      <c r="O731">
        <v>46149</v>
      </c>
      <c r="P731">
        <v>46165</v>
      </c>
      <c r="Q731" t="s">
        <v>47</v>
      </c>
    </row>
    <row r="732" spans="1:17" x14ac:dyDescent="0.3">
      <c r="A732" t="s">
        <v>783</v>
      </c>
      <c r="B732" t="s">
        <v>75</v>
      </c>
      <c r="C732" t="s">
        <v>33</v>
      </c>
      <c r="D732" t="s">
        <v>40</v>
      </c>
      <c r="E732">
        <v>1246473</v>
      </c>
      <c r="F732">
        <v>521364</v>
      </c>
      <c r="G732">
        <v>880134</v>
      </c>
      <c r="H732">
        <v>49389</v>
      </c>
      <c r="I732">
        <v>1550</v>
      </c>
      <c r="J732">
        <v>3869</v>
      </c>
      <c r="K732">
        <f t="shared" si="22"/>
        <v>10.512425100313791</v>
      </c>
      <c r="L732">
        <v>103145</v>
      </c>
      <c r="M732">
        <v>471419</v>
      </c>
      <c r="N732">
        <f t="shared" si="23"/>
        <v>357.04493673954141</v>
      </c>
      <c r="O732">
        <v>45928</v>
      </c>
      <c r="P732">
        <v>45954</v>
      </c>
      <c r="Q732" t="s">
        <v>41</v>
      </c>
    </row>
    <row r="733" spans="1:17" x14ac:dyDescent="0.3">
      <c r="A733" t="s">
        <v>784</v>
      </c>
      <c r="B733" t="s">
        <v>63</v>
      </c>
      <c r="C733" t="s">
        <v>28</v>
      </c>
      <c r="D733" t="s">
        <v>24</v>
      </c>
      <c r="E733">
        <v>1309128</v>
      </c>
      <c r="F733">
        <v>704014</v>
      </c>
      <c r="G733">
        <v>1941698</v>
      </c>
      <c r="H733">
        <v>85255</v>
      </c>
      <c r="I733">
        <v>3574</v>
      </c>
      <c r="J733">
        <v>4169</v>
      </c>
      <c r="K733">
        <f t="shared" si="22"/>
        <v>13.20968048930845</v>
      </c>
      <c r="L733">
        <v>328337</v>
      </c>
      <c r="M733">
        <v>382415</v>
      </c>
      <c r="N733">
        <f t="shared" si="23"/>
        <v>16.470272920810022</v>
      </c>
      <c r="O733">
        <v>45917</v>
      </c>
      <c r="P733">
        <v>45931</v>
      </c>
      <c r="Q733" t="s">
        <v>21</v>
      </c>
    </row>
    <row r="734" spans="1:17" x14ac:dyDescent="0.3">
      <c r="A734" t="s">
        <v>785</v>
      </c>
      <c r="B734" t="s">
        <v>75</v>
      </c>
      <c r="C734" t="s">
        <v>19</v>
      </c>
      <c r="D734" t="s">
        <v>29</v>
      </c>
      <c r="E734">
        <v>444939</v>
      </c>
      <c r="F734">
        <v>324020</v>
      </c>
      <c r="G734">
        <v>444622</v>
      </c>
      <c r="H734">
        <v>28163</v>
      </c>
      <c r="I734">
        <v>2289</v>
      </c>
      <c r="J734">
        <v>902</v>
      </c>
      <c r="K734">
        <f t="shared" si="22"/>
        <v>9.6765631751126477</v>
      </c>
      <c r="L734">
        <v>186263</v>
      </c>
      <c r="M734">
        <v>804528</v>
      </c>
      <c r="N734">
        <f t="shared" si="23"/>
        <v>331.93119406430691</v>
      </c>
      <c r="O734">
        <v>45999</v>
      </c>
      <c r="P734">
        <v>46028</v>
      </c>
      <c r="Q734" t="s">
        <v>21</v>
      </c>
    </row>
    <row r="735" spans="1:17" x14ac:dyDescent="0.3">
      <c r="A735" t="s">
        <v>786</v>
      </c>
      <c r="B735" t="s">
        <v>18</v>
      </c>
      <c r="C735" t="s">
        <v>33</v>
      </c>
      <c r="D735" t="s">
        <v>29</v>
      </c>
      <c r="E735">
        <v>1167573</v>
      </c>
      <c r="F735">
        <v>674477</v>
      </c>
      <c r="G735">
        <v>1038793</v>
      </c>
      <c r="H735">
        <v>48946</v>
      </c>
      <c r="I735">
        <v>4014</v>
      </c>
      <c r="J735">
        <v>2330</v>
      </c>
      <c r="K735">
        <f t="shared" si="22"/>
        <v>8.1974626265980906</v>
      </c>
      <c r="L735">
        <v>160492</v>
      </c>
      <c r="M735">
        <v>693840</v>
      </c>
      <c r="N735">
        <f t="shared" si="23"/>
        <v>332.3206141116068</v>
      </c>
      <c r="O735">
        <v>45717</v>
      </c>
      <c r="P735">
        <v>45728</v>
      </c>
      <c r="Q735" t="s">
        <v>78</v>
      </c>
    </row>
    <row r="736" spans="1:17" x14ac:dyDescent="0.3">
      <c r="A736" t="s">
        <v>787</v>
      </c>
      <c r="B736" t="s">
        <v>53</v>
      </c>
      <c r="C736" t="s">
        <v>33</v>
      </c>
      <c r="D736" t="s">
        <v>46</v>
      </c>
      <c r="E736">
        <v>459087</v>
      </c>
      <c r="F736">
        <v>243888</v>
      </c>
      <c r="G736">
        <v>390620</v>
      </c>
      <c r="H736">
        <v>25971</v>
      </c>
      <c r="I736">
        <v>1454</v>
      </c>
      <c r="J736">
        <v>697</v>
      </c>
      <c r="K736">
        <f t="shared" si="22"/>
        <v>11.530702617594962</v>
      </c>
      <c r="L736">
        <v>334509</v>
      </c>
      <c r="M736">
        <v>459542</v>
      </c>
      <c r="N736">
        <f t="shared" si="23"/>
        <v>37.378067555730937</v>
      </c>
      <c r="O736">
        <v>45980</v>
      </c>
      <c r="P736">
        <v>46010</v>
      </c>
      <c r="Q736" t="s">
        <v>47</v>
      </c>
    </row>
    <row r="737" spans="1:17" x14ac:dyDescent="0.3">
      <c r="A737" t="s">
        <v>788</v>
      </c>
      <c r="B737" t="s">
        <v>23</v>
      </c>
      <c r="C737" t="s">
        <v>33</v>
      </c>
      <c r="D737" t="s">
        <v>51</v>
      </c>
      <c r="E737">
        <v>325420</v>
      </c>
      <c r="F737">
        <v>250607</v>
      </c>
      <c r="G737">
        <v>383104</v>
      </c>
      <c r="H737">
        <v>28871</v>
      </c>
      <c r="I737">
        <v>3293</v>
      </c>
      <c r="J737">
        <v>1532</v>
      </c>
      <c r="K737">
        <f t="shared" si="22"/>
        <v>13.44575370999214</v>
      </c>
      <c r="L737">
        <v>377628</v>
      </c>
      <c r="M737">
        <v>917288</v>
      </c>
      <c r="N737">
        <f t="shared" si="23"/>
        <v>142.90783522408296</v>
      </c>
      <c r="O737">
        <v>45790</v>
      </c>
      <c r="P737">
        <v>45816</v>
      </c>
      <c r="Q737" t="s">
        <v>34</v>
      </c>
    </row>
    <row r="738" spans="1:17" x14ac:dyDescent="0.3">
      <c r="A738" t="s">
        <v>789</v>
      </c>
      <c r="B738" t="s">
        <v>63</v>
      </c>
      <c r="C738" t="s">
        <v>37</v>
      </c>
      <c r="D738" t="s">
        <v>58</v>
      </c>
      <c r="E738">
        <v>1714304</v>
      </c>
      <c r="F738">
        <v>592606</v>
      </c>
      <c r="G738">
        <v>703684</v>
      </c>
      <c r="H738">
        <v>13597</v>
      </c>
      <c r="I738">
        <v>747</v>
      </c>
      <c r="J738">
        <v>900</v>
      </c>
      <c r="K738">
        <f t="shared" si="22"/>
        <v>2.5723668002011455</v>
      </c>
      <c r="L738">
        <v>498818</v>
      </c>
      <c r="M738">
        <v>1261337</v>
      </c>
      <c r="N738">
        <f t="shared" si="23"/>
        <v>152.86517326960936</v>
      </c>
      <c r="O738">
        <v>45859</v>
      </c>
      <c r="P738">
        <v>45870</v>
      </c>
      <c r="Q738" t="s">
        <v>34</v>
      </c>
    </row>
    <row r="739" spans="1:17" x14ac:dyDescent="0.3">
      <c r="A739" t="s">
        <v>790</v>
      </c>
      <c r="B739" t="s">
        <v>49</v>
      </c>
      <c r="C739" t="s">
        <v>43</v>
      </c>
      <c r="D739" t="s">
        <v>58</v>
      </c>
      <c r="E739">
        <v>1005392</v>
      </c>
      <c r="F739">
        <v>551810</v>
      </c>
      <c r="G739">
        <v>999045</v>
      </c>
      <c r="H739">
        <v>75604</v>
      </c>
      <c r="I739">
        <v>3049</v>
      </c>
      <c r="J739">
        <v>2541</v>
      </c>
      <c r="K739">
        <f t="shared" si="22"/>
        <v>14.714122614668094</v>
      </c>
      <c r="L739">
        <v>345838</v>
      </c>
      <c r="M739">
        <v>1139173</v>
      </c>
      <c r="N739">
        <f t="shared" si="23"/>
        <v>229.39497683886674</v>
      </c>
      <c r="O739">
        <v>46017</v>
      </c>
      <c r="P739">
        <v>46026</v>
      </c>
      <c r="Q739" t="s">
        <v>41</v>
      </c>
    </row>
    <row r="740" spans="1:17" x14ac:dyDescent="0.3">
      <c r="A740" t="s">
        <v>791</v>
      </c>
      <c r="B740" t="s">
        <v>80</v>
      </c>
      <c r="C740" t="s">
        <v>43</v>
      </c>
      <c r="D740" t="s">
        <v>51</v>
      </c>
      <c r="E740">
        <v>1981477</v>
      </c>
      <c r="F740">
        <v>1537000</v>
      </c>
      <c r="G740">
        <v>3059570</v>
      </c>
      <c r="H740">
        <v>98938</v>
      </c>
      <c r="I740">
        <v>13525</v>
      </c>
      <c r="J740">
        <v>4590</v>
      </c>
      <c r="K740">
        <f t="shared" si="22"/>
        <v>7.6156798959011063</v>
      </c>
      <c r="L740">
        <v>127829</v>
      </c>
      <c r="M740">
        <v>506508</v>
      </c>
      <c r="N740">
        <f t="shared" si="23"/>
        <v>296.23872517190938</v>
      </c>
      <c r="O740">
        <v>46096</v>
      </c>
      <c r="P740">
        <v>46106</v>
      </c>
      <c r="Q740" t="s">
        <v>41</v>
      </c>
    </row>
    <row r="741" spans="1:17" x14ac:dyDescent="0.3">
      <c r="A741" t="s">
        <v>792</v>
      </c>
      <c r="B741" t="s">
        <v>61</v>
      </c>
      <c r="C741" t="s">
        <v>28</v>
      </c>
      <c r="D741" t="s">
        <v>40</v>
      </c>
      <c r="E741">
        <v>216013</v>
      </c>
      <c r="F741">
        <v>125034</v>
      </c>
      <c r="G741">
        <v>280779</v>
      </c>
      <c r="H741">
        <v>4803</v>
      </c>
      <c r="I741">
        <v>229</v>
      </c>
      <c r="J741">
        <v>236</v>
      </c>
      <c r="K741">
        <f t="shared" si="22"/>
        <v>4.2132539949133836</v>
      </c>
      <c r="L741">
        <v>329261</v>
      </c>
      <c r="M741">
        <v>982522</v>
      </c>
      <c r="N741">
        <f t="shared" si="23"/>
        <v>198.40217942604804</v>
      </c>
      <c r="O741">
        <v>45972</v>
      </c>
      <c r="P741">
        <v>45994</v>
      </c>
      <c r="Q741" t="s">
        <v>47</v>
      </c>
    </row>
    <row r="742" spans="1:17" x14ac:dyDescent="0.3">
      <c r="A742" t="s">
        <v>793</v>
      </c>
      <c r="B742" t="s">
        <v>61</v>
      </c>
      <c r="C742" t="s">
        <v>19</v>
      </c>
      <c r="D742" t="s">
        <v>29</v>
      </c>
      <c r="E742">
        <v>1288541</v>
      </c>
      <c r="F742">
        <v>572199</v>
      </c>
      <c r="G742">
        <v>1576626</v>
      </c>
      <c r="H742">
        <v>37264</v>
      </c>
      <c r="I742">
        <v>5486</v>
      </c>
      <c r="J742">
        <v>1731</v>
      </c>
      <c r="K742">
        <f t="shared" si="22"/>
        <v>7.7736941169068805</v>
      </c>
      <c r="L742">
        <v>314046</v>
      </c>
      <c r="M742">
        <v>1421246</v>
      </c>
      <c r="N742">
        <f t="shared" si="23"/>
        <v>352.55981607789943</v>
      </c>
      <c r="O742">
        <v>45667</v>
      </c>
      <c r="P742">
        <v>45678</v>
      </c>
      <c r="Q742" t="s">
        <v>34</v>
      </c>
    </row>
    <row r="743" spans="1:17" x14ac:dyDescent="0.3">
      <c r="A743" t="s">
        <v>794</v>
      </c>
      <c r="B743" t="s">
        <v>63</v>
      </c>
      <c r="C743" t="s">
        <v>33</v>
      </c>
      <c r="D743" t="s">
        <v>24</v>
      </c>
      <c r="E743">
        <v>1782677</v>
      </c>
      <c r="F743">
        <v>818480</v>
      </c>
      <c r="G743">
        <v>1280701</v>
      </c>
      <c r="H743">
        <v>68839</v>
      </c>
      <c r="I743">
        <v>4241</v>
      </c>
      <c r="J743">
        <v>5700</v>
      </c>
      <c r="K743">
        <f t="shared" si="22"/>
        <v>9.6251588310038123</v>
      </c>
      <c r="L743">
        <v>375860</v>
      </c>
      <c r="M743">
        <v>1355061</v>
      </c>
      <c r="N743">
        <f t="shared" si="23"/>
        <v>260.52280104294152</v>
      </c>
      <c r="O743">
        <v>45989</v>
      </c>
      <c r="P743">
        <v>46013</v>
      </c>
      <c r="Q743" t="s">
        <v>21</v>
      </c>
    </row>
    <row r="744" spans="1:17" x14ac:dyDescent="0.3">
      <c r="A744" t="s">
        <v>795</v>
      </c>
      <c r="B744" t="s">
        <v>27</v>
      </c>
      <c r="C744" t="s">
        <v>37</v>
      </c>
      <c r="D744" t="s">
        <v>51</v>
      </c>
      <c r="E744">
        <v>1669054</v>
      </c>
      <c r="F744">
        <v>865620</v>
      </c>
      <c r="G744">
        <v>2384179</v>
      </c>
      <c r="H744">
        <v>72557</v>
      </c>
      <c r="I744">
        <v>6901</v>
      </c>
      <c r="J744">
        <v>4463</v>
      </c>
      <c r="K744">
        <f t="shared" si="22"/>
        <v>9.6949007647697609</v>
      </c>
      <c r="L744">
        <v>338069</v>
      </c>
      <c r="M744">
        <v>1292167</v>
      </c>
      <c r="N744">
        <f t="shared" si="23"/>
        <v>282.21990185435521</v>
      </c>
      <c r="O744">
        <v>46128</v>
      </c>
      <c r="P744">
        <v>46138</v>
      </c>
      <c r="Q744" t="s">
        <v>34</v>
      </c>
    </row>
    <row r="745" spans="1:17" x14ac:dyDescent="0.3">
      <c r="A745" t="s">
        <v>796</v>
      </c>
      <c r="B745" t="s">
        <v>63</v>
      </c>
      <c r="C745" t="s">
        <v>43</v>
      </c>
      <c r="D745" t="s">
        <v>40</v>
      </c>
      <c r="E745">
        <v>895751</v>
      </c>
      <c r="F745">
        <v>400392</v>
      </c>
      <c r="G745">
        <v>1102330</v>
      </c>
      <c r="H745">
        <v>39319</v>
      </c>
      <c r="I745">
        <v>3261</v>
      </c>
      <c r="J745">
        <v>3244</v>
      </c>
      <c r="K745">
        <f t="shared" si="22"/>
        <v>11.444784111570661</v>
      </c>
      <c r="L745">
        <v>126141</v>
      </c>
      <c r="M745">
        <v>402543</v>
      </c>
      <c r="N745">
        <f t="shared" si="23"/>
        <v>219.12145931933313</v>
      </c>
      <c r="O745">
        <v>45947</v>
      </c>
      <c r="P745">
        <v>45968</v>
      </c>
      <c r="Q745" t="s">
        <v>78</v>
      </c>
    </row>
    <row r="746" spans="1:17" x14ac:dyDescent="0.3">
      <c r="A746" t="s">
        <v>797</v>
      </c>
      <c r="B746" t="s">
        <v>61</v>
      </c>
      <c r="C746" t="s">
        <v>43</v>
      </c>
      <c r="D746" t="s">
        <v>51</v>
      </c>
      <c r="E746">
        <v>70943</v>
      </c>
      <c r="F746">
        <v>57050</v>
      </c>
      <c r="G746">
        <v>140035</v>
      </c>
      <c r="H746">
        <v>7318</v>
      </c>
      <c r="I746">
        <v>905</v>
      </c>
      <c r="J746">
        <v>289</v>
      </c>
      <c r="K746">
        <f t="shared" si="22"/>
        <v>14.920245398773005</v>
      </c>
      <c r="L746">
        <v>493995</v>
      </c>
      <c r="M746">
        <v>1846304</v>
      </c>
      <c r="N746">
        <f t="shared" si="23"/>
        <v>273.74953187785303</v>
      </c>
      <c r="O746">
        <v>45698</v>
      </c>
      <c r="P746">
        <v>45715</v>
      </c>
      <c r="Q746" t="s">
        <v>78</v>
      </c>
    </row>
    <row r="747" spans="1:17" x14ac:dyDescent="0.3">
      <c r="A747" t="s">
        <v>798</v>
      </c>
      <c r="B747" t="s">
        <v>63</v>
      </c>
      <c r="C747" t="s">
        <v>37</v>
      </c>
      <c r="D747" t="s">
        <v>24</v>
      </c>
      <c r="E747">
        <v>86987</v>
      </c>
      <c r="F747">
        <v>73096</v>
      </c>
      <c r="G747">
        <v>103458</v>
      </c>
      <c r="H747">
        <v>8618</v>
      </c>
      <c r="I747">
        <v>653</v>
      </c>
      <c r="J747">
        <v>415</v>
      </c>
      <c r="K747">
        <f t="shared" si="22"/>
        <v>13.251067089854438</v>
      </c>
      <c r="L747">
        <v>147975</v>
      </c>
      <c r="M747">
        <v>546205</v>
      </c>
      <c r="N747">
        <f t="shared" si="23"/>
        <v>269.11978374725459</v>
      </c>
      <c r="O747">
        <v>45899</v>
      </c>
      <c r="P747">
        <v>45915</v>
      </c>
      <c r="Q747" t="s">
        <v>47</v>
      </c>
    </row>
    <row r="748" spans="1:17" x14ac:dyDescent="0.3">
      <c r="A748" t="s">
        <v>799</v>
      </c>
      <c r="B748" t="s">
        <v>57</v>
      </c>
      <c r="C748" t="s">
        <v>19</v>
      </c>
      <c r="D748" t="s">
        <v>72</v>
      </c>
      <c r="E748">
        <v>72227</v>
      </c>
      <c r="F748">
        <v>42428</v>
      </c>
      <c r="G748">
        <v>99820</v>
      </c>
      <c r="H748">
        <v>4957</v>
      </c>
      <c r="I748">
        <v>160</v>
      </c>
      <c r="J748">
        <v>458</v>
      </c>
      <c r="K748">
        <f t="shared" si="22"/>
        <v>13.139907608183274</v>
      </c>
      <c r="L748">
        <v>193477</v>
      </c>
      <c r="M748">
        <v>480162</v>
      </c>
      <c r="N748">
        <f t="shared" si="23"/>
        <v>148.17523529928621</v>
      </c>
      <c r="O748">
        <v>46067</v>
      </c>
      <c r="P748">
        <v>46091</v>
      </c>
      <c r="Q748" t="s">
        <v>21</v>
      </c>
    </row>
    <row r="749" spans="1:17" x14ac:dyDescent="0.3">
      <c r="A749" t="s">
        <v>800</v>
      </c>
      <c r="B749" t="s">
        <v>57</v>
      </c>
      <c r="C749" t="s">
        <v>43</v>
      </c>
      <c r="D749" t="s">
        <v>51</v>
      </c>
      <c r="E749">
        <v>1654873</v>
      </c>
      <c r="F749">
        <v>1238030</v>
      </c>
      <c r="G749">
        <v>1503428</v>
      </c>
      <c r="H749">
        <v>92309</v>
      </c>
      <c r="I749">
        <v>4504</v>
      </c>
      <c r="J749">
        <v>8562</v>
      </c>
      <c r="K749">
        <f t="shared" si="22"/>
        <v>8.5115061832104217</v>
      </c>
      <c r="L749">
        <v>368552</v>
      </c>
      <c r="M749">
        <v>560782</v>
      </c>
      <c r="N749">
        <f t="shared" si="23"/>
        <v>52.158175779808545</v>
      </c>
      <c r="O749">
        <v>45966</v>
      </c>
      <c r="P749">
        <v>45986</v>
      </c>
      <c r="Q749" t="s">
        <v>34</v>
      </c>
    </row>
    <row r="750" spans="1:17" x14ac:dyDescent="0.3">
      <c r="A750" t="s">
        <v>801</v>
      </c>
      <c r="B750" t="s">
        <v>57</v>
      </c>
      <c r="C750" t="s">
        <v>33</v>
      </c>
      <c r="D750" t="s">
        <v>58</v>
      </c>
      <c r="E750">
        <v>1074103</v>
      </c>
      <c r="F750">
        <v>361199</v>
      </c>
      <c r="G750">
        <v>641006</v>
      </c>
      <c r="H750">
        <v>17839</v>
      </c>
      <c r="I750">
        <v>1427</v>
      </c>
      <c r="J750">
        <v>1311</v>
      </c>
      <c r="K750">
        <f t="shared" si="22"/>
        <v>5.6968596258572148</v>
      </c>
      <c r="L750">
        <v>464320</v>
      </c>
      <c r="M750">
        <v>1966917</v>
      </c>
      <c r="N750">
        <f t="shared" si="23"/>
        <v>323.61237939352173</v>
      </c>
      <c r="O750">
        <v>45904</v>
      </c>
      <c r="P750">
        <v>45914</v>
      </c>
      <c r="Q750" t="s">
        <v>47</v>
      </c>
    </row>
    <row r="751" spans="1:17" x14ac:dyDescent="0.3">
      <c r="A751" t="s">
        <v>802</v>
      </c>
      <c r="B751" t="s">
        <v>36</v>
      </c>
      <c r="C751" t="s">
        <v>19</v>
      </c>
      <c r="D751" t="s">
        <v>29</v>
      </c>
      <c r="E751">
        <v>1833200</v>
      </c>
      <c r="F751">
        <v>1172004</v>
      </c>
      <c r="G751">
        <v>2653445</v>
      </c>
      <c r="H751">
        <v>104719</v>
      </c>
      <c r="I751">
        <v>13748</v>
      </c>
      <c r="J751">
        <v>8367</v>
      </c>
      <c r="K751">
        <f t="shared" si="22"/>
        <v>10.821976716803015</v>
      </c>
      <c r="L751">
        <v>173725</v>
      </c>
      <c r="M751">
        <v>773690</v>
      </c>
      <c r="N751">
        <f t="shared" si="23"/>
        <v>345.3532882429127</v>
      </c>
      <c r="O751">
        <v>46038</v>
      </c>
      <c r="P751">
        <v>46045</v>
      </c>
      <c r="Q751" t="s">
        <v>34</v>
      </c>
    </row>
    <row r="752" spans="1:17" x14ac:dyDescent="0.3">
      <c r="A752" t="s">
        <v>803</v>
      </c>
      <c r="B752" t="s">
        <v>45</v>
      </c>
      <c r="C752" t="s">
        <v>37</v>
      </c>
      <c r="D752" t="s">
        <v>72</v>
      </c>
      <c r="E752">
        <v>899403</v>
      </c>
      <c r="F752">
        <v>493745</v>
      </c>
      <c r="G752">
        <v>1240690</v>
      </c>
      <c r="H752">
        <v>12562</v>
      </c>
      <c r="I752">
        <v>799</v>
      </c>
      <c r="J752">
        <v>368</v>
      </c>
      <c r="K752">
        <f t="shared" si="22"/>
        <v>2.7805851198493148</v>
      </c>
      <c r="L752">
        <v>412314</v>
      </c>
      <c r="M752">
        <v>1102948</v>
      </c>
      <c r="N752">
        <f t="shared" si="23"/>
        <v>167.50195239550442</v>
      </c>
      <c r="O752">
        <v>45675</v>
      </c>
      <c r="P752">
        <v>45686</v>
      </c>
      <c r="Q752" t="s">
        <v>41</v>
      </c>
    </row>
    <row r="753" spans="1:17" x14ac:dyDescent="0.3">
      <c r="A753" t="s">
        <v>804</v>
      </c>
      <c r="B753" t="s">
        <v>63</v>
      </c>
      <c r="C753" t="s">
        <v>19</v>
      </c>
      <c r="D753" t="s">
        <v>58</v>
      </c>
      <c r="E753">
        <v>646365</v>
      </c>
      <c r="F753">
        <v>360631</v>
      </c>
      <c r="G753">
        <v>441722</v>
      </c>
      <c r="H753">
        <v>23118</v>
      </c>
      <c r="I753">
        <v>1844</v>
      </c>
      <c r="J753">
        <v>1603</v>
      </c>
      <c r="K753">
        <f t="shared" si="22"/>
        <v>7.3662552581447525</v>
      </c>
      <c r="L753">
        <v>160903</v>
      </c>
      <c r="M753">
        <v>712503</v>
      </c>
      <c r="N753">
        <f t="shared" si="23"/>
        <v>342.81523650895258</v>
      </c>
      <c r="O753">
        <v>46120</v>
      </c>
      <c r="P753">
        <v>46146</v>
      </c>
      <c r="Q753" t="s">
        <v>54</v>
      </c>
    </row>
    <row r="754" spans="1:17" x14ac:dyDescent="0.3">
      <c r="A754" t="s">
        <v>805</v>
      </c>
      <c r="B754" t="s">
        <v>80</v>
      </c>
      <c r="C754" t="s">
        <v>37</v>
      </c>
      <c r="D754" t="s">
        <v>24</v>
      </c>
      <c r="E754">
        <v>592841</v>
      </c>
      <c r="F754">
        <v>255719</v>
      </c>
      <c r="G754">
        <v>342705</v>
      </c>
      <c r="H754">
        <v>8122</v>
      </c>
      <c r="I754">
        <v>508</v>
      </c>
      <c r="J754">
        <v>583</v>
      </c>
      <c r="K754">
        <f t="shared" si="22"/>
        <v>3.6027827419941421</v>
      </c>
      <c r="L754">
        <v>95639</v>
      </c>
      <c r="M754">
        <v>307279</v>
      </c>
      <c r="N754">
        <f t="shared" si="23"/>
        <v>221.2904777339788</v>
      </c>
      <c r="O754">
        <v>46144</v>
      </c>
      <c r="P754">
        <v>46152</v>
      </c>
      <c r="Q754" t="s">
        <v>21</v>
      </c>
    </row>
    <row r="755" spans="1:17" x14ac:dyDescent="0.3">
      <c r="A755" t="s">
        <v>806</v>
      </c>
      <c r="B755" t="s">
        <v>32</v>
      </c>
      <c r="C755" t="s">
        <v>19</v>
      </c>
      <c r="D755" t="s">
        <v>29</v>
      </c>
      <c r="E755">
        <v>1156711</v>
      </c>
      <c r="F755">
        <v>386255</v>
      </c>
      <c r="G755">
        <v>956218</v>
      </c>
      <c r="H755">
        <v>49688</v>
      </c>
      <c r="I755">
        <v>5656</v>
      </c>
      <c r="J755">
        <v>3891</v>
      </c>
      <c r="K755">
        <f t="shared" si="22"/>
        <v>15.335723809400525</v>
      </c>
      <c r="L755">
        <v>326718</v>
      </c>
      <c r="M755">
        <v>949994</v>
      </c>
      <c r="N755">
        <f t="shared" si="23"/>
        <v>190.76879755630239</v>
      </c>
      <c r="O755">
        <v>45745</v>
      </c>
      <c r="P755">
        <v>45764</v>
      </c>
      <c r="Q755" t="s">
        <v>47</v>
      </c>
    </row>
    <row r="756" spans="1:17" x14ac:dyDescent="0.3">
      <c r="A756" t="s">
        <v>807</v>
      </c>
      <c r="B756" t="s">
        <v>23</v>
      </c>
      <c r="C756" t="s">
        <v>28</v>
      </c>
      <c r="D756" t="s">
        <v>29</v>
      </c>
      <c r="E756">
        <v>485048</v>
      </c>
      <c r="F756">
        <v>242268</v>
      </c>
      <c r="G756">
        <v>521826</v>
      </c>
      <c r="H756">
        <v>32209</v>
      </c>
      <c r="I756">
        <v>3520</v>
      </c>
      <c r="J756">
        <v>2308</v>
      </c>
      <c r="K756">
        <f t="shared" si="22"/>
        <v>15.700381395809599</v>
      </c>
      <c r="L756">
        <v>111311</v>
      </c>
      <c r="M756">
        <v>177630</v>
      </c>
      <c r="N756">
        <f t="shared" si="23"/>
        <v>59.579915731598852</v>
      </c>
      <c r="O756">
        <v>45736</v>
      </c>
      <c r="P756">
        <v>45765</v>
      </c>
      <c r="Q756" t="s">
        <v>78</v>
      </c>
    </row>
    <row r="757" spans="1:17" x14ac:dyDescent="0.3">
      <c r="A757" t="s">
        <v>808</v>
      </c>
      <c r="B757" t="s">
        <v>36</v>
      </c>
      <c r="C757" t="s">
        <v>43</v>
      </c>
      <c r="D757" t="s">
        <v>51</v>
      </c>
      <c r="E757">
        <v>679492</v>
      </c>
      <c r="F757">
        <v>199131</v>
      </c>
      <c r="G757">
        <v>549235</v>
      </c>
      <c r="H757">
        <v>11522</v>
      </c>
      <c r="I757">
        <v>600</v>
      </c>
      <c r="J757">
        <v>907</v>
      </c>
      <c r="K757">
        <f t="shared" si="22"/>
        <v>6.5429290266206666</v>
      </c>
      <c r="L757">
        <v>363229</v>
      </c>
      <c r="M757">
        <v>1604162</v>
      </c>
      <c r="N757">
        <f t="shared" si="23"/>
        <v>341.63929642181654</v>
      </c>
      <c r="O757">
        <v>45981</v>
      </c>
      <c r="P757">
        <v>45988</v>
      </c>
      <c r="Q757" t="s">
        <v>34</v>
      </c>
    </row>
    <row r="758" spans="1:17" x14ac:dyDescent="0.3">
      <c r="A758" t="s">
        <v>809</v>
      </c>
      <c r="B758" t="s">
        <v>75</v>
      </c>
      <c r="C758" t="s">
        <v>28</v>
      </c>
      <c r="D758" t="s">
        <v>40</v>
      </c>
      <c r="E758">
        <v>1358631</v>
      </c>
      <c r="F758">
        <v>663122</v>
      </c>
      <c r="G758">
        <v>1309231</v>
      </c>
      <c r="H758">
        <v>45368</v>
      </c>
      <c r="I758">
        <v>1427</v>
      </c>
      <c r="J758">
        <v>4113</v>
      </c>
      <c r="K758">
        <f t="shared" si="22"/>
        <v>7.6770187084729509</v>
      </c>
      <c r="L758">
        <v>303949</v>
      </c>
      <c r="M758">
        <v>1291927</v>
      </c>
      <c r="N758">
        <f t="shared" si="23"/>
        <v>325.04729411842118</v>
      </c>
      <c r="O758">
        <v>46000</v>
      </c>
      <c r="P758">
        <v>46028</v>
      </c>
      <c r="Q758" t="s">
        <v>34</v>
      </c>
    </row>
    <row r="759" spans="1:17" x14ac:dyDescent="0.3">
      <c r="A759" t="s">
        <v>810</v>
      </c>
      <c r="B759" t="s">
        <v>49</v>
      </c>
      <c r="C759" t="s">
        <v>37</v>
      </c>
      <c r="D759" t="s">
        <v>29</v>
      </c>
      <c r="E759">
        <v>1593262</v>
      </c>
      <c r="F759">
        <v>1005391</v>
      </c>
      <c r="G759">
        <v>2886531</v>
      </c>
      <c r="H759">
        <v>54031</v>
      </c>
      <c r="I759">
        <v>6488</v>
      </c>
      <c r="J759">
        <v>2393</v>
      </c>
      <c r="K759">
        <f t="shared" si="22"/>
        <v>6.2574660007897425</v>
      </c>
      <c r="L759">
        <v>457015</v>
      </c>
      <c r="M759">
        <v>529619</v>
      </c>
      <c r="N759">
        <f t="shared" si="23"/>
        <v>15.886568274564292</v>
      </c>
      <c r="O759">
        <v>46061</v>
      </c>
      <c r="P759">
        <v>46081</v>
      </c>
      <c r="Q759" t="s">
        <v>54</v>
      </c>
    </row>
    <row r="760" spans="1:17" x14ac:dyDescent="0.3">
      <c r="A760" t="s">
        <v>811</v>
      </c>
      <c r="B760" t="s">
        <v>63</v>
      </c>
      <c r="C760" t="s">
        <v>37</v>
      </c>
      <c r="D760" t="s">
        <v>24</v>
      </c>
      <c r="E760">
        <v>1060259</v>
      </c>
      <c r="F760">
        <v>477083</v>
      </c>
      <c r="G760">
        <v>634517</v>
      </c>
      <c r="H760">
        <v>40505</v>
      </c>
      <c r="I760">
        <v>3609</v>
      </c>
      <c r="J760">
        <v>2621</v>
      </c>
      <c r="K760">
        <f t="shared" si="22"/>
        <v>9.795989377110482</v>
      </c>
      <c r="L760">
        <v>275350</v>
      </c>
      <c r="M760">
        <v>730000</v>
      </c>
      <c r="N760">
        <f t="shared" si="23"/>
        <v>165.11712366079536</v>
      </c>
      <c r="O760">
        <v>45996</v>
      </c>
      <c r="P760">
        <v>46026</v>
      </c>
      <c r="Q760" t="s">
        <v>21</v>
      </c>
    </row>
    <row r="761" spans="1:17" x14ac:dyDescent="0.3">
      <c r="A761" t="s">
        <v>812</v>
      </c>
      <c r="B761" t="s">
        <v>53</v>
      </c>
      <c r="C761" t="s">
        <v>43</v>
      </c>
      <c r="D761" t="s">
        <v>51</v>
      </c>
      <c r="E761">
        <v>1838758</v>
      </c>
      <c r="F761">
        <v>673968</v>
      </c>
      <c r="G761">
        <v>1670472</v>
      </c>
      <c r="H761">
        <v>40107</v>
      </c>
      <c r="I761">
        <v>1448</v>
      </c>
      <c r="J761">
        <v>3549</v>
      </c>
      <c r="K761">
        <f t="shared" si="22"/>
        <v>6.692305866153883</v>
      </c>
      <c r="L761">
        <v>147258</v>
      </c>
      <c r="M761">
        <v>488108</v>
      </c>
      <c r="N761">
        <f t="shared" si="23"/>
        <v>231.46450447513888</v>
      </c>
      <c r="O761">
        <v>46075</v>
      </c>
      <c r="P761">
        <v>46085</v>
      </c>
      <c r="Q761" t="s">
        <v>30</v>
      </c>
    </row>
    <row r="762" spans="1:17" x14ac:dyDescent="0.3">
      <c r="A762" t="s">
        <v>813</v>
      </c>
      <c r="B762" t="s">
        <v>63</v>
      </c>
      <c r="C762" t="s">
        <v>28</v>
      </c>
      <c r="D762" t="s">
        <v>72</v>
      </c>
      <c r="E762">
        <v>1566474</v>
      </c>
      <c r="F762">
        <v>1121397</v>
      </c>
      <c r="G762">
        <v>2374199</v>
      </c>
      <c r="H762">
        <v>153924</v>
      </c>
      <c r="I762">
        <v>13682</v>
      </c>
      <c r="J762">
        <v>12935</v>
      </c>
      <c r="K762">
        <f t="shared" si="22"/>
        <v>16.0996507035421</v>
      </c>
      <c r="L762">
        <v>398480</v>
      </c>
      <c r="M762">
        <v>1528497</v>
      </c>
      <c r="N762">
        <f t="shared" si="23"/>
        <v>283.58186107207388</v>
      </c>
      <c r="O762">
        <v>46119</v>
      </c>
      <c r="P762">
        <v>46127</v>
      </c>
      <c r="Q762" t="s">
        <v>78</v>
      </c>
    </row>
    <row r="763" spans="1:17" x14ac:dyDescent="0.3">
      <c r="A763" t="s">
        <v>814</v>
      </c>
      <c r="B763" t="s">
        <v>32</v>
      </c>
      <c r="C763" t="s">
        <v>19</v>
      </c>
      <c r="D763" t="s">
        <v>51</v>
      </c>
      <c r="E763">
        <v>1282196</v>
      </c>
      <c r="F763">
        <v>1070634</v>
      </c>
      <c r="G763">
        <v>2668780</v>
      </c>
      <c r="H763">
        <v>61428</v>
      </c>
      <c r="I763">
        <v>7026</v>
      </c>
      <c r="J763">
        <v>6089</v>
      </c>
      <c r="K763">
        <f t="shared" si="22"/>
        <v>6.9625100641302256</v>
      </c>
      <c r="L763">
        <v>287264</v>
      </c>
      <c r="M763">
        <v>1169604</v>
      </c>
      <c r="N763">
        <f t="shared" si="23"/>
        <v>307.15300211651999</v>
      </c>
      <c r="O763">
        <v>46017</v>
      </c>
      <c r="P763">
        <v>46039</v>
      </c>
      <c r="Q763" t="s">
        <v>47</v>
      </c>
    </row>
    <row r="764" spans="1:17" x14ac:dyDescent="0.3">
      <c r="A764" t="s">
        <v>815</v>
      </c>
      <c r="B764" t="s">
        <v>23</v>
      </c>
      <c r="C764" t="s">
        <v>33</v>
      </c>
      <c r="D764" t="s">
        <v>58</v>
      </c>
      <c r="E764">
        <v>1790538</v>
      </c>
      <c r="F764">
        <v>1341985</v>
      </c>
      <c r="G764">
        <v>1551266</v>
      </c>
      <c r="H764">
        <v>85350</v>
      </c>
      <c r="I764">
        <v>10305</v>
      </c>
      <c r="J764">
        <v>1974</v>
      </c>
      <c r="K764">
        <f t="shared" si="22"/>
        <v>7.2749695413883169</v>
      </c>
      <c r="L764">
        <v>252260</v>
      </c>
      <c r="M764">
        <v>526855</v>
      </c>
      <c r="N764">
        <f t="shared" si="23"/>
        <v>108.85396019979385</v>
      </c>
      <c r="O764">
        <v>45685</v>
      </c>
      <c r="P764">
        <v>45692</v>
      </c>
      <c r="Q764" t="s">
        <v>30</v>
      </c>
    </row>
    <row r="765" spans="1:17" x14ac:dyDescent="0.3">
      <c r="A765" t="s">
        <v>816</v>
      </c>
      <c r="B765" t="s">
        <v>36</v>
      </c>
      <c r="C765" t="s">
        <v>43</v>
      </c>
      <c r="D765" t="s">
        <v>40</v>
      </c>
      <c r="E765">
        <v>1036194</v>
      </c>
      <c r="F765">
        <v>337696</v>
      </c>
      <c r="G765">
        <v>967707</v>
      </c>
      <c r="H765">
        <v>12367</v>
      </c>
      <c r="I765">
        <v>1787</v>
      </c>
      <c r="J765">
        <v>378</v>
      </c>
      <c r="K765">
        <f t="shared" si="22"/>
        <v>4.3032786885245899</v>
      </c>
      <c r="L765">
        <v>251670</v>
      </c>
      <c r="M765">
        <v>756726</v>
      </c>
      <c r="N765">
        <f t="shared" si="23"/>
        <v>200.68184527357255</v>
      </c>
      <c r="O765">
        <v>45695</v>
      </c>
      <c r="P765">
        <v>45711</v>
      </c>
      <c r="Q765" t="s">
        <v>21</v>
      </c>
    </row>
    <row r="766" spans="1:17" x14ac:dyDescent="0.3">
      <c r="A766" t="s">
        <v>817</v>
      </c>
      <c r="B766" t="s">
        <v>39</v>
      </c>
      <c r="C766" t="s">
        <v>37</v>
      </c>
      <c r="D766" t="s">
        <v>20</v>
      </c>
      <c r="E766">
        <v>89832</v>
      </c>
      <c r="F766">
        <v>69497</v>
      </c>
      <c r="G766">
        <v>128006</v>
      </c>
      <c r="H766">
        <v>6647</v>
      </c>
      <c r="I766">
        <v>269</v>
      </c>
      <c r="J766">
        <v>257</v>
      </c>
      <c r="K766">
        <f t="shared" si="22"/>
        <v>10.321308833474827</v>
      </c>
      <c r="L766">
        <v>484118</v>
      </c>
      <c r="M766">
        <v>794311</v>
      </c>
      <c r="N766">
        <f t="shared" si="23"/>
        <v>64.073841501452122</v>
      </c>
      <c r="O766">
        <v>45794</v>
      </c>
      <c r="P766">
        <v>45820</v>
      </c>
      <c r="Q766" t="s">
        <v>41</v>
      </c>
    </row>
    <row r="767" spans="1:17" x14ac:dyDescent="0.3">
      <c r="A767" t="s">
        <v>818</v>
      </c>
      <c r="B767" t="s">
        <v>53</v>
      </c>
      <c r="C767" t="s">
        <v>43</v>
      </c>
      <c r="D767" t="s">
        <v>46</v>
      </c>
      <c r="E767">
        <v>1221322</v>
      </c>
      <c r="F767">
        <v>849604</v>
      </c>
      <c r="G767">
        <v>1552980</v>
      </c>
      <c r="H767">
        <v>55215</v>
      </c>
      <c r="I767">
        <v>2138</v>
      </c>
      <c r="J767">
        <v>2797</v>
      </c>
      <c r="K767">
        <f t="shared" si="22"/>
        <v>7.0797689276415827</v>
      </c>
      <c r="L767">
        <v>17281</v>
      </c>
      <c r="M767">
        <v>65804</v>
      </c>
      <c r="N767">
        <f t="shared" si="23"/>
        <v>280.78814883397956</v>
      </c>
      <c r="O767">
        <v>46095</v>
      </c>
      <c r="P767">
        <v>46111</v>
      </c>
      <c r="Q767" t="s">
        <v>21</v>
      </c>
    </row>
    <row r="768" spans="1:17" x14ac:dyDescent="0.3">
      <c r="A768" t="s">
        <v>819</v>
      </c>
      <c r="B768" t="s">
        <v>18</v>
      </c>
      <c r="C768" t="s">
        <v>19</v>
      </c>
      <c r="D768" t="s">
        <v>24</v>
      </c>
      <c r="E768">
        <v>630032</v>
      </c>
      <c r="F768">
        <v>326676</v>
      </c>
      <c r="G768">
        <v>478124</v>
      </c>
      <c r="H768">
        <v>39336</v>
      </c>
      <c r="I768">
        <v>4776</v>
      </c>
      <c r="J768">
        <v>2024</v>
      </c>
      <c r="K768">
        <f t="shared" si="22"/>
        <v>14.122861795785427</v>
      </c>
      <c r="L768">
        <v>100647</v>
      </c>
      <c r="M768">
        <v>151833</v>
      </c>
      <c r="N768">
        <f t="shared" si="23"/>
        <v>50.856955497928404</v>
      </c>
      <c r="O768">
        <v>45975</v>
      </c>
      <c r="P768">
        <v>45994</v>
      </c>
      <c r="Q768" t="s">
        <v>47</v>
      </c>
    </row>
    <row r="769" spans="1:17" x14ac:dyDescent="0.3">
      <c r="A769" t="s">
        <v>820</v>
      </c>
      <c r="B769" t="s">
        <v>103</v>
      </c>
      <c r="C769" t="s">
        <v>37</v>
      </c>
      <c r="D769" t="s">
        <v>20</v>
      </c>
      <c r="E769">
        <v>1365207</v>
      </c>
      <c r="F769">
        <v>963339</v>
      </c>
      <c r="G769">
        <v>1091545</v>
      </c>
      <c r="H769">
        <v>129438</v>
      </c>
      <c r="I769">
        <v>11373</v>
      </c>
      <c r="J769">
        <v>6190</v>
      </c>
      <c r="K769">
        <f t="shared" si="22"/>
        <v>15.259529615223716</v>
      </c>
      <c r="L769">
        <v>142457</v>
      </c>
      <c r="M769">
        <v>199336</v>
      </c>
      <c r="N769">
        <f t="shared" si="23"/>
        <v>39.927135907677403</v>
      </c>
      <c r="O769">
        <v>45986</v>
      </c>
      <c r="P769">
        <v>46014</v>
      </c>
      <c r="Q769" t="s">
        <v>30</v>
      </c>
    </row>
    <row r="770" spans="1:17" x14ac:dyDescent="0.3">
      <c r="A770" t="s">
        <v>821</v>
      </c>
      <c r="B770" t="s">
        <v>18</v>
      </c>
      <c r="C770" t="s">
        <v>28</v>
      </c>
      <c r="D770" t="s">
        <v>72</v>
      </c>
      <c r="E770">
        <v>452099</v>
      </c>
      <c r="F770">
        <v>280606</v>
      </c>
      <c r="G770">
        <v>794747</v>
      </c>
      <c r="H770">
        <v>19046</v>
      </c>
      <c r="I770">
        <v>2828</v>
      </c>
      <c r="J770">
        <v>1670</v>
      </c>
      <c r="K770">
        <f t="shared" ref="K770:K833" si="24">((H770+I770+J770)/F770)*100</f>
        <v>8.3904121793546818</v>
      </c>
      <c r="L770">
        <v>54435</v>
      </c>
      <c r="M770">
        <v>108662</v>
      </c>
      <c r="N770">
        <f t="shared" ref="N770:N833" si="25">((M770-L770)/L770)*100</f>
        <v>99.617892899788743</v>
      </c>
      <c r="O770">
        <v>45816</v>
      </c>
      <c r="P770">
        <v>45826</v>
      </c>
      <c r="Q770" t="s">
        <v>41</v>
      </c>
    </row>
    <row r="771" spans="1:17" x14ac:dyDescent="0.3">
      <c r="A771" t="s">
        <v>822</v>
      </c>
      <c r="B771" t="s">
        <v>32</v>
      </c>
      <c r="C771" t="s">
        <v>19</v>
      </c>
      <c r="D771" t="s">
        <v>46</v>
      </c>
      <c r="E771">
        <v>1857533</v>
      </c>
      <c r="F771">
        <v>1446820</v>
      </c>
      <c r="G771">
        <v>1699859</v>
      </c>
      <c r="H771">
        <v>110298</v>
      </c>
      <c r="I771">
        <v>12378</v>
      </c>
      <c r="J771">
        <v>4077</v>
      </c>
      <c r="K771">
        <f t="shared" si="24"/>
        <v>8.7607995465918354</v>
      </c>
      <c r="L771">
        <v>240618</v>
      </c>
      <c r="M771">
        <v>304947</v>
      </c>
      <c r="N771">
        <f t="shared" si="25"/>
        <v>26.734907612896791</v>
      </c>
      <c r="O771">
        <v>45876</v>
      </c>
      <c r="P771">
        <v>45896</v>
      </c>
      <c r="Q771" t="s">
        <v>21</v>
      </c>
    </row>
    <row r="772" spans="1:17" x14ac:dyDescent="0.3">
      <c r="A772" t="s">
        <v>823</v>
      </c>
      <c r="B772" t="s">
        <v>49</v>
      </c>
      <c r="C772" t="s">
        <v>33</v>
      </c>
      <c r="D772" t="s">
        <v>24</v>
      </c>
      <c r="E772">
        <v>354565</v>
      </c>
      <c r="F772">
        <v>282546</v>
      </c>
      <c r="G772">
        <v>731208</v>
      </c>
      <c r="H772">
        <v>19001</v>
      </c>
      <c r="I772">
        <v>1927</v>
      </c>
      <c r="J772">
        <v>1619</v>
      </c>
      <c r="K772">
        <f t="shared" si="24"/>
        <v>7.9799395496662484</v>
      </c>
      <c r="L772">
        <v>56796</v>
      </c>
      <c r="M772">
        <v>204882</v>
      </c>
      <c r="N772">
        <f t="shared" si="25"/>
        <v>260.73315022184664</v>
      </c>
      <c r="O772">
        <v>45853</v>
      </c>
      <c r="P772">
        <v>45869</v>
      </c>
      <c r="Q772" t="s">
        <v>21</v>
      </c>
    </row>
    <row r="773" spans="1:17" x14ac:dyDescent="0.3">
      <c r="A773" t="s">
        <v>824</v>
      </c>
      <c r="B773" t="s">
        <v>49</v>
      </c>
      <c r="C773" t="s">
        <v>43</v>
      </c>
      <c r="D773" t="s">
        <v>58</v>
      </c>
      <c r="E773">
        <v>332359</v>
      </c>
      <c r="F773">
        <v>181540</v>
      </c>
      <c r="G773">
        <v>283575</v>
      </c>
      <c r="H773">
        <v>16600</v>
      </c>
      <c r="I773">
        <v>2208</v>
      </c>
      <c r="J773">
        <v>487</v>
      </c>
      <c r="K773">
        <f t="shared" si="24"/>
        <v>10.628511622782858</v>
      </c>
      <c r="L773">
        <v>134396</v>
      </c>
      <c r="M773">
        <v>637480</v>
      </c>
      <c r="N773">
        <f t="shared" si="25"/>
        <v>374.32959314265304</v>
      </c>
      <c r="O773">
        <v>45666</v>
      </c>
      <c r="P773">
        <v>45681</v>
      </c>
      <c r="Q773" t="s">
        <v>34</v>
      </c>
    </row>
    <row r="774" spans="1:17" x14ac:dyDescent="0.3">
      <c r="A774" t="s">
        <v>825</v>
      </c>
      <c r="B774" t="s">
        <v>53</v>
      </c>
      <c r="C774" t="s">
        <v>19</v>
      </c>
      <c r="D774" t="s">
        <v>58</v>
      </c>
      <c r="E774">
        <v>1102352</v>
      </c>
      <c r="F774">
        <v>631452</v>
      </c>
      <c r="G774">
        <v>825920</v>
      </c>
      <c r="H774">
        <v>35784</v>
      </c>
      <c r="I774">
        <v>3492</v>
      </c>
      <c r="J774">
        <v>1015</v>
      </c>
      <c r="K774">
        <f t="shared" si="24"/>
        <v>6.3806908521946246</v>
      </c>
      <c r="L774">
        <v>349009</v>
      </c>
      <c r="M774">
        <v>1092637</v>
      </c>
      <c r="N774">
        <f t="shared" si="25"/>
        <v>213.06843090006274</v>
      </c>
      <c r="O774">
        <v>45896</v>
      </c>
      <c r="P774">
        <v>45926</v>
      </c>
      <c r="Q774" t="s">
        <v>47</v>
      </c>
    </row>
    <row r="775" spans="1:17" x14ac:dyDescent="0.3">
      <c r="A775" t="s">
        <v>826</v>
      </c>
      <c r="B775" t="s">
        <v>32</v>
      </c>
      <c r="C775" t="s">
        <v>28</v>
      </c>
      <c r="D775" t="s">
        <v>24</v>
      </c>
      <c r="E775">
        <v>251967</v>
      </c>
      <c r="F775">
        <v>135388</v>
      </c>
      <c r="G775">
        <v>240167</v>
      </c>
      <c r="H775">
        <v>17160</v>
      </c>
      <c r="I775">
        <v>1947</v>
      </c>
      <c r="J775">
        <v>1470</v>
      </c>
      <c r="K775">
        <f t="shared" si="24"/>
        <v>15.19854049103318</v>
      </c>
      <c r="L775">
        <v>348111</v>
      </c>
      <c r="M775">
        <v>840884</v>
      </c>
      <c r="N775">
        <f t="shared" si="25"/>
        <v>141.55628520787911</v>
      </c>
      <c r="O775">
        <v>45693</v>
      </c>
      <c r="P775">
        <v>45706</v>
      </c>
      <c r="Q775" t="s">
        <v>21</v>
      </c>
    </row>
    <row r="776" spans="1:17" x14ac:dyDescent="0.3">
      <c r="A776" t="s">
        <v>827</v>
      </c>
      <c r="B776" t="s">
        <v>103</v>
      </c>
      <c r="C776" t="s">
        <v>33</v>
      </c>
      <c r="D776" t="s">
        <v>20</v>
      </c>
      <c r="E776">
        <v>139816</v>
      </c>
      <c r="F776">
        <v>103345</v>
      </c>
      <c r="G776">
        <v>198537</v>
      </c>
      <c r="H776">
        <v>4817</v>
      </c>
      <c r="I776">
        <v>283</v>
      </c>
      <c r="J776">
        <v>430</v>
      </c>
      <c r="K776">
        <f t="shared" si="24"/>
        <v>5.3510087570758138</v>
      </c>
      <c r="L776">
        <v>49953</v>
      </c>
      <c r="M776">
        <v>240056</v>
      </c>
      <c r="N776">
        <f t="shared" si="25"/>
        <v>380.56372990611175</v>
      </c>
      <c r="O776">
        <v>46074</v>
      </c>
      <c r="P776">
        <v>46102</v>
      </c>
      <c r="Q776" t="s">
        <v>34</v>
      </c>
    </row>
    <row r="777" spans="1:17" x14ac:dyDescent="0.3">
      <c r="A777" t="s">
        <v>828</v>
      </c>
      <c r="B777" t="s">
        <v>18</v>
      </c>
      <c r="C777" t="s">
        <v>43</v>
      </c>
      <c r="D777" t="s">
        <v>20</v>
      </c>
      <c r="E777">
        <v>607340</v>
      </c>
      <c r="F777">
        <v>325523</v>
      </c>
      <c r="G777">
        <v>415415</v>
      </c>
      <c r="H777">
        <v>42780</v>
      </c>
      <c r="I777">
        <v>3613</v>
      </c>
      <c r="J777">
        <v>2082</v>
      </c>
      <c r="K777">
        <f t="shared" si="24"/>
        <v>14.891420882702604</v>
      </c>
      <c r="L777">
        <v>146579</v>
      </c>
      <c r="M777">
        <v>164685</v>
      </c>
      <c r="N777">
        <f t="shared" si="25"/>
        <v>12.352383356415311</v>
      </c>
      <c r="O777">
        <v>45897</v>
      </c>
      <c r="P777">
        <v>45914</v>
      </c>
      <c r="Q777" t="s">
        <v>41</v>
      </c>
    </row>
    <row r="778" spans="1:17" x14ac:dyDescent="0.3">
      <c r="A778" t="s">
        <v>829</v>
      </c>
      <c r="B778" t="s">
        <v>39</v>
      </c>
      <c r="C778" t="s">
        <v>28</v>
      </c>
      <c r="D778" t="s">
        <v>46</v>
      </c>
      <c r="E778">
        <v>1789647</v>
      </c>
      <c r="F778">
        <v>832410</v>
      </c>
      <c r="G778">
        <v>1367343</v>
      </c>
      <c r="H778">
        <v>52348</v>
      </c>
      <c r="I778">
        <v>4371</v>
      </c>
      <c r="J778">
        <v>3166</v>
      </c>
      <c r="K778">
        <f t="shared" si="24"/>
        <v>7.1941711416249206</v>
      </c>
      <c r="L778">
        <v>175380</v>
      </c>
      <c r="M778">
        <v>220574</v>
      </c>
      <c r="N778">
        <f t="shared" si="25"/>
        <v>25.769186908427415</v>
      </c>
      <c r="O778">
        <v>45753</v>
      </c>
      <c r="P778">
        <v>45764</v>
      </c>
      <c r="Q778" t="s">
        <v>25</v>
      </c>
    </row>
    <row r="779" spans="1:17" x14ac:dyDescent="0.3">
      <c r="A779" t="s">
        <v>830</v>
      </c>
      <c r="B779" t="s">
        <v>18</v>
      </c>
      <c r="C779" t="s">
        <v>33</v>
      </c>
      <c r="D779" t="s">
        <v>51</v>
      </c>
      <c r="E779">
        <v>1512356</v>
      </c>
      <c r="F779">
        <v>1100747</v>
      </c>
      <c r="G779">
        <v>2631522</v>
      </c>
      <c r="H779">
        <v>36627</v>
      </c>
      <c r="I779">
        <v>5439</v>
      </c>
      <c r="J779">
        <v>1292</v>
      </c>
      <c r="K779">
        <f t="shared" si="24"/>
        <v>3.9389614507239177</v>
      </c>
      <c r="L779">
        <v>365369</v>
      </c>
      <c r="M779">
        <v>1564506</v>
      </c>
      <c r="N779">
        <f t="shared" si="25"/>
        <v>328.19888934200765</v>
      </c>
      <c r="O779">
        <v>46086</v>
      </c>
      <c r="P779">
        <v>46094</v>
      </c>
      <c r="Q779" t="s">
        <v>34</v>
      </c>
    </row>
    <row r="780" spans="1:17" x14ac:dyDescent="0.3">
      <c r="A780" t="s">
        <v>831</v>
      </c>
      <c r="B780" t="s">
        <v>80</v>
      </c>
      <c r="C780" t="s">
        <v>43</v>
      </c>
      <c r="D780" t="s">
        <v>58</v>
      </c>
      <c r="E780">
        <v>834301</v>
      </c>
      <c r="F780">
        <v>642715</v>
      </c>
      <c r="G780">
        <v>1311244</v>
      </c>
      <c r="H780">
        <v>46813</v>
      </c>
      <c r="I780">
        <v>5680</v>
      </c>
      <c r="J780">
        <v>3404</v>
      </c>
      <c r="K780">
        <f t="shared" si="24"/>
        <v>8.6970118948523059</v>
      </c>
      <c r="L780">
        <v>15393</v>
      </c>
      <c r="M780">
        <v>26438</v>
      </c>
      <c r="N780">
        <f t="shared" si="25"/>
        <v>71.753394400051974</v>
      </c>
      <c r="O780">
        <v>45761</v>
      </c>
      <c r="P780">
        <v>45790</v>
      </c>
      <c r="Q780" t="s">
        <v>47</v>
      </c>
    </row>
    <row r="781" spans="1:17" x14ac:dyDescent="0.3">
      <c r="A781" t="s">
        <v>832</v>
      </c>
      <c r="B781" t="s">
        <v>18</v>
      </c>
      <c r="C781" t="s">
        <v>37</v>
      </c>
      <c r="D781" t="s">
        <v>58</v>
      </c>
      <c r="E781">
        <v>386468</v>
      </c>
      <c r="F781">
        <v>245692</v>
      </c>
      <c r="G781">
        <v>423283</v>
      </c>
      <c r="H781">
        <v>13951</v>
      </c>
      <c r="I781">
        <v>2081</v>
      </c>
      <c r="J781">
        <v>324</v>
      </c>
      <c r="K781">
        <f t="shared" si="24"/>
        <v>6.657115412793253</v>
      </c>
      <c r="L781">
        <v>327897</v>
      </c>
      <c r="M781">
        <v>402084</v>
      </c>
      <c r="N781">
        <f t="shared" si="25"/>
        <v>22.625092635797216</v>
      </c>
      <c r="O781">
        <v>45993</v>
      </c>
      <c r="P781">
        <v>46000</v>
      </c>
      <c r="Q781" t="s">
        <v>54</v>
      </c>
    </row>
    <row r="782" spans="1:17" x14ac:dyDescent="0.3">
      <c r="A782" t="s">
        <v>833</v>
      </c>
      <c r="B782" t="s">
        <v>103</v>
      </c>
      <c r="C782" t="s">
        <v>19</v>
      </c>
      <c r="D782" t="s">
        <v>46</v>
      </c>
      <c r="E782">
        <v>463660</v>
      </c>
      <c r="F782">
        <v>318617</v>
      </c>
      <c r="G782">
        <v>593271</v>
      </c>
      <c r="H782">
        <v>24883</v>
      </c>
      <c r="I782">
        <v>1796</v>
      </c>
      <c r="J782">
        <v>1802</v>
      </c>
      <c r="K782">
        <f t="shared" si="24"/>
        <v>8.9389455051048756</v>
      </c>
      <c r="L782">
        <v>255504</v>
      </c>
      <c r="M782">
        <v>823797</v>
      </c>
      <c r="N782">
        <f t="shared" si="25"/>
        <v>222.42039263573173</v>
      </c>
      <c r="O782">
        <v>46112</v>
      </c>
      <c r="P782">
        <v>46139</v>
      </c>
      <c r="Q782" t="s">
        <v>47</v>
      </c>
    </row>
    <row r="783" spans="1:17" x14ac:dyDescent="0.3">
      <c r="A783" t="s">
        <v>834</v>
      </c>
      <c r="B783" t="s">
        <v>32</v>
      </c>
      <c r="C783" t="s">
        <v>28</v>
      </c>
      <c r="D783" t="s">
        <v>72</v>
      </c>
      <c r="E783">
        <v>597576</v>
      </c>
      <c r="F783">
        <v>313791</v>
      </c>
      <c r="G783">
        <v>808517</v>
      </c>
      <c r="H783">
        <v>37001</v>
      </c>
      <c r="I783">
        <v>4062</v>
      </c>
      <c r="J783">
        <v>1424</v>
      </c>
      <c r="K783">
        <f t="shared" si="24"/>
        <v>13.539903948806689</v>
      </c>
      <c r="L783">
        <v>464096</v>
      </c>
      <c r="M783">
        <v>2260470</v>
      </c>
      <c r="N783">
        <f t="shared" si="25"/>
        <v>387.06948562366404</v>
      </c>
      <c r="O783">
        <v>45819</v>
      </c>
      <c r="P783">
        <v>45838</v>
      </c>
      <c r="Q783" t="s">
        <v>30</v>
      </c>
    </row>
    <row r="784" spans="1:17" x14ac:dyDescent="0.3">
      <c r="A784" t="s">
        <v>835</v>
      </c>
      <c r="B784" t="s">
        <v>23</v>
      </c>
      <c r="C784" t="s">
        <v>37</v>
      </c>
      <c r="D784" t="s">
        <v>29</v>
      </c>
      <c r="E784">
        <v>665571</v>
      </c>
      <c r="F784">
        <v>333241</v>
      </c>
      <c r="G784">
        <v>917099</v>
      </c>
      <c r="H784">
        <v>32866</v>
      </c>
      <c r="I784">
        <v>2789</v>
      </c>
      <c r="J784">
        <v>2559</v>
      </c>
      <c r="K784">
        <f t="shared" si="24"/>
        <v>11.467376463280329</v>
      </c>
      <c r="L784">
        <v>343875</v>
      </c>
      <c r="M784">
        <v>629557</v>
      </c>
      <c r="N784">
        <f t="shared" si="25"/>
        <v>83.077280988731374</v>
      </c>
      <c r="O784">
        <v>45985</v>
      </c>
      <c r="P784">
        <v>45999</v>
      </c>
      <c r="Q784" t="s">
        <v>54</v>
      </c>
    </row>
    <row r="785" spans="1:17" x14ac:dyDescent="0.3">
      <c r="A785" t="s">
        <v>836</v>
      </c>
      <c r="B785" t="s">
        <v>23</v>
      </c>
      <c r="C785" t="s">
        <v>19</v>
      </c>
      <c r="D785" t="s">
        <v>72</v>
      </c>
      <c r="E785">
        <v>452647</v>
      </c>
      <c r="F785">
        <v>280561</v>
      </c>
      <c r="G785">
        <v>493127</v>
      </c>
      <c r="H785">
        <v>11745</v>
      </c>
      <c r="I785">
        <v>805</v>
      </c>
      <c r="J785">
        <v>432</v>
      </c>
      <c r="K785">
        <f t="shared" si="24"/>
        <v>4.6271577304044396</v>
      </c>
      <c r="L785">
        <v>411179</v>
      </c>
      <c r="M785">
        <v>624455</v>
      </c>
      <c r="N785">
        <f t="shared" si="25"/>
        <v>51.869380488789552</v>
      </c>
      <c r="O785">
        <v>45926</v>
      </c>
      <c r="P785">
        <v>45937</v>
      </c>
      <c r="Q785" t="s">
        <v>21</v>
      </c>
    </row>
    <row r="786" spans="1:17" x14ac:dyDescent="0.3">
      <c r="A786" t="s">
        <v>837</v>
      </c>
      <c r="B786" t="s">
        <v>80</v>
      </c>
      <c r="C786" t="s">
        <v>43</v>
      </c>
      <c r="D786" t="s">
        <v>58</v>
      </c>
      <c r="E786">
        <v>1138874</v>
      </c>
      <c r="F786">
        <v>522388</v>
      </c>
      <c r="G786">
        <v>1367795</v>
      </c>
      <c r="H786">
        <v>66145</v>
      </c>
      <c r="I786">
        <v>5859</v>
      </c>
      <c r="J786">
        <v>4146</v>
      </c>
      <c r="K786">
        <f t="shared" si="24"/>
        <v>14.577287380261414</v>
      </c>
      <c r="L786">
        <v>447144</v>
      </c>
      <c r="M786">
        <v>1246491</v>
      </c>
      <c r="N786">
        <f t="shared" si="25"/>
        <v>178.76724276743064</v>
      </c>
      <c r="O786">
        <v>46037</v>
      </c>
      <c r="P786">
        <v>46067</v>
      </c>
      <c r="Q786" t="s">
        <v>54</v>
      </c>
    </row>
    <row r="787" spans="1:17" x14ac:dyDescent="0.3">
      <c r="A787" t="s">
        <v>838</v>
      </c>
      <c r="B787" t="s">
        <v>23</v>
      </c>
      <c r="C787" t="s">
        <v>37</v>
      </c>
      <c r="D787" t="s">
        <v>51</v>
      </c>
      <c r="E787">
        <v>1007188</v>
      </c>
      <c r="F787">
        <v>716232</v>
      </c>
      <c r="G787">
        <v>1374801</v>
      </c>
      <c r="H787">
        <v>16688</v>
      </c>
      <c r="I787">
        <v>1587</v>
      </c>
      <c r="J787">
        <v>1106</v>
      </c>
      <c r="K787">
        <f t="shared" si="24"/>
        <v>2.7059667817131881</v>
      </c>
      <c r="L787">
        <v>434985</v>
      </c>
      <c r="M787">
        <v>506349</v>
      </c>
      <c r="N787">
        <f t="shared" si="25"/>
        <v>16.406082968378218</v>
      </c>
      <c r="O787">
        <v>46015</v>
      </c>
      <c r="P787">
        <v>46041</v>
      </c>
      <c r="Q787" t="s">
        <v>78</v>
      </c>
    </row>
    <row r="788" spans="1:17" x14ac:dyDescent="0.3">
      <c r="A788" t="s">
        <v>839</v>
      </c>
      <c r="B788" t="s">
        <v>103</v>
      </c>
      <c r="C788" t="s">
        <v>43</v>
      </c>
      <c r="D788" t="s">
        <v>51</v>
      </c>
      <c r="E788">
        <v>1201851</v>
      </c>
      <c r="F788">
        <v>622117</v>
      </c>
      <c r="G788">
        <v>1767096</v>
      </c>
      <c r="H788">
        <v>35734</v>
      </c>
      <c r="I788">
        <v>3075</v>
      </c>
      <c r="J788">
        <v>2901</v>
      </c>
      <c r="K788">
        <f t="shared" si="24"/>
        <v>6.7045266404872388</v>
      </c>
      <c r="L788">
        <v>348254</v>
      </c>
      <c r="M788">
        <v>716352</v>
      </c>
      <c r="N788">
        <f t="shared" si="25"/>
        <v>105.69813986343301</v>
      </c>
      <c r="O788">
        <v>46034</v>
      </c>
      <c r="P788">
        <v>46061</v>
      </c>
      <c r="Q788" t="s">
        <v>54</v>
      </c>
    </row>
    <row r="789" spans="1:17" x14ac:dyDescent="0.3">
      <c r="A789" t="s">
        <v>840</v>
      </c>
      <c r="B789" t="s">
        <v>75</v>
      </c>
      <c r="C789" t="s">
        <v>28</v>
      </c>
      <c r="D789" t="s">
        <v>46</v>
      </c>
      <c r="E789">
        <v>1429446</v>
      </c>
      <c r="F789">
        <v>831044</v>
      </c>
      <c r="G789">
        <v>1135082</v>
      </c>
      <c r="H789">
        <v>110216</v>
      </c>
      <c r="I789">
        <v>4697</v>
      </c>
      <c r="J789">
        <v>2847</v>
      </c>
      <c r="K789">
        <f t="shared" si="24"/>
        <v>14.170128176125452</v>
      </c>
      <c r="L789">
        <v>178411</v>
      </c>
      <c r="M789">
        <v>737440</v>
      </c>
      <c r="N789">
        <f t="shared" si="25"/>
        <v>313.33774262797698</v>
      </c>
      <c r="O789">
        <v>46021</v>
      </c>
      <c r="P789">
        <v>46047</v>
      </c>
      <c r="Q789" t="s">
        <v>21</v>
      </c>
    </row>
    <row r="790" spans="1:17" x14ac:dyDescent="0.3">
      <c r="A790" t="s">
        <v>841</v>
      </c>
      <c r="B790" t="s">
        <v>103</v>
      </c>
      <c r="C790" t="s">
        <v>43</v>
      </c>
      <c r="D790" t="s">
        <v>51</v>
      </c>
      <c r="E790">
        <v>353012</v>
      </c>
      <c r="F790">
        <v>305115</v>
      </c>
      <c r="G790">
        <v>444616</v>
      </c>
      <c r="H790">
        <v>29160</v>
      </c>
      <c r="I790">
        <v>2430</v>
      </c>
      <c r="J790">
        <v>1944</v>
      </c>
      <c r="K790">
        <f t="shared" si="24"/>
        <v>10.990610097831965</v>
      </c>
      <c r="L790">
        <v>462196</v>
      </c>
      <c r="M790">
        <v>1906348</v>
      </c>
      <c r="N790">
        <f t="shared" si="25"/>
        <v>312.45445655090049</v>
      </c>
      <c r="O790">
        <v>46155</v>
      </c>
      <c r="P790">
        <v>46175</v>
      </c>
      <c r="Q790" t="s">
        <v>30</v>
      </c>
    </row>
    <row r="791" spans="1:17" x14ac:dyDescent="0.3">
      <c r="A791" t="s">
        <v>842</v>
      </c>
      <c r="B791" t="s">
        <v>18</v>
      </c>
      <c r="C791" t="s">
        <v>43</v>
      </c>
      <c r="D791" t="s">
        <v>72</v>
      </c>
      <c r="E791">
        <v>1375208</v>
      </c>
      <c r="F791">
        <v>1019618</v>
      </c>
      <c r="G791">
        <v>1602711</v>
      </c>
      <c r="H791">
        <v>100263</v>
      </c>
      <c r="I791">
        <v>13970</v>
      </c>
      <c r="J791">
        <v>3587</v>
      </c>
      <c r="K791">
        <f t="shared" si="24"/>
        <v>11.555307968278317</v>
      </c>
      <c r="L791">
        <v>459711</v>
      </c>
      <c r="M791">
        <v>980390</v>
      </c>
      <c r="N791">
        <f t="shared" si="25"/>
        <v>113.26224519317572</v>
      </c>
      <c r="O791">
        <v>45949</v>
      </c>
      <c r="P791">
        <v>45968</v>
      </c>
      <c r="Q791" t="s">
        <v>78</v>
      </c>
    </row>
    <row r="792" spans="1:17" x14ac:dyDescent="0.3">
      <c r="A792" t="s">
        <v>843</v>
      </c>
      <c r="B792" t="s">
        <v>27</v>
      </c>
      <c r="C792" t="s">
        <v>19</v>
      </c>
      <c r="D792" t="s">
        <v>24</v>
      </c>
      <c r="E792">
        <v>608489</v>
      </c>
      <c r="F792">
        <v>398064</v>
      </c>
      <c r="G792">
        <v>847842</v>
      </c>
      <c r="H792">
        <v>10238</v>
      </c>
      <c r="I792">
        <v>1169</v>
      </c>
      <c r="J792">
        <v>218</v>
      </c>
      <c r="K792">
        <f t="shared" si="24"/>
        <v>2.9203846617629323</v>
      </c>
      <c r="L792">
        <v>90692</v>
      </c>
      <c r="M792">
        <v>185405</v>
      </c>
      <c r="N792">
        <f t="shared" si="25"/>
        <v>104.43368764609889</v>
      </c>
      <c r="O792">
        <v>46127</v>
      </c>
      <c r="P792">
        <v>46150</v>
      </c>
      <c r="Q792" t="s">
        <v>25</v>
      </c>
    </row>
    <row r="793" spans="1:17" x14ac:dyDescent="0.3">
      <c r="A793" t="s">
        <v>844</v>
      </c>
      <c r="B793" t="s">
        <v>103</v>
      </c>
      <c r="C793" t="s">
        <v>19</v>
      </c>
      <c r="D793" t="s">
        <v>40</v>
      </c>
      <c r="E793">
        <v>1957289</v>
      </c>
      <c r="F793">
        <v>787711</v>
      </c>
      <c r="G793">
        <v>1831688</v>
      </c>
      <c r="H793">
        <v>109552</v>
      </c>
      <c r="I793">
        <v>4544</v>
      </c>
      <c r="J793">
        <v>7085</v>
      </c>
      <c r="K793">
        <f t="shared" si="24"/>
        <v>15.383941572480261</v>
      </c>
      <c r="L793">
        <v>396680</v>
      </c>
      <c r="M793">
        <v>960279</v>
      </c>
      <c r="N793">
        <f t="shared" si="25"/>
        <v>142.07900574770596</v>
      </c>
      <c r="O793">
        <v>46111</v>
      </c>
      <c r="P793">
        <v>46140</v>
      </c>
      <c r="Q793" t="s">
        <v>34</v>
      </c>
    </row>
    <row r="794" spans="1:17" x14ac:dyDescent="0.3">
      <c r="A794" t="s">
        <v>845</v>
      </c>
      <c r="B794" t="s">
        <v>36</v>
      </c>
      <c r="C794" t="s">
        <v>33</v>
      </c>
      <c r="D794" t="s">
        <v>46</v>
      </c>
      <c r="E794">
        <v>296754</v>
      </c>
      <c r="F794">
        <v>176809</v>
      </c>
      <c r="G794">
        <v>249579</v>
      </c>
      <c r="H794">
        <v>12869</v>
      </c>
      <c r="I794">
        <v>947</v>
      </c>
      <c r="J794">
        <v>1212</v>
      </c>
      <c r="K794">
        <f t="shared" si="24"/>
        <v>8.4995673297173795</v>
      </c>
      <c r="L794">
        <v>306467</v>
      </c>
      <c r="M794">
        <v>1351665</v>
      </c>
      <c r="N794">
        <f t="shared" si="25"/>
        <v>341.04748635252736</v>
      </c>
      <c r="O794">
        <v>46080</v>
      </c>
      <c r="P794">
        <v>46104</v>
      </c>
      <c r="Q794" t="s">
        <v>78</v>
      </c>
    </row>
    <row r="795" spans="1:17" x14ac:dyDescent="0.3">
      <c r="A795" t="s">
        <v>846</v>
      </c>
      <c r="B795" t="s">
        <v>45</v>
      </c>
      <c r="C795" t="s">
        <v>19</v>
      </c>
      <c r="D795" t="s">
        <v>40</v>
      </c>
      <c r="E795">
        <v>636519</v>
      </c>
      <c r="F795">
        <v>252934</v>
      </c>
      <c r="G795">
        <v>585149</v>
      </c>
      <c r="H795">
        <v>20883</v>
      </c>
      <c r="I795">
        <v>2510</v>
      </c>
      <c r="J795">
        <v>1355</v>
      </c>
      <c r="K795">
        <f t="shared" si="24"/>
        <v>9.7843706263293981</v>
      </c>
      <c r="L795">
        <v>307140</v>
      </c>
      <c r="M795">
        <v>730374</v>
      </c>
      <c r="N795">
        <f t="shared" si="25"/>
        <v>137.79839812463374</v>
      </c>
      <c r="O795">
        <v>45830</v>
      </c>
      <c r="P795">
        <v>45853</v>
      </c>
      <c r="Q795" t="s">
        <v>47</v>
      </c>
    </row>
    <row r="796" spans="1:17" x14ac:dyDescent="0.3">
      <c r="A796" t="s">
        <v>847</v>
      </c>
      <c r="B796" t="s">
        <v>57</v>
      </c>
      <c r="C796" t="s">
        <v>28</v>
      </c>
      <c r="D796" t="s">
        <v>40</v>
      </c>
      <c r="E796">
        <v>863026</v>
      </c>
      <c r="F796">
        <v>338536</v>
      </c>
      <c r="G796">
        <v>588757</v>
      </c>
      <c r="H796">
        <v>43672</v>
      </c>
      <c r="I796">
        <v>6237</v>
      </c>
      <c r="J796">
        <v>1767</v>
      </c>
      <c r="K796">
        <f t="shared" si="24"/>
        <v>15.264550889713355</v>
      </c>
      <c r="L796">
        <v>175009</v>
      </c>
      <c r="M796">
        <v>527424</v>
      </c>
      <c r="N796">
        <f t="shared" si="25"/>
        <v>201.3696438468879</v>
      </c>
      <c r="O796">
        <v>45834</v>
      </c>
      <c r="P796">
        <v>45853</v>
      </c>
      <c r="Q796" t="s">
        <v>25</v>
      </c>
    </row>
    <row r="797" spans="1:17" x14ac:dyDescent="0.3">
      <c r="A797" t="s">
        <v>848</v>
      </c>
      <c r="B797" t="s">
        <v>32</v>
      </c>
      <c r="C797" t="s">
        <v>43</v>
      </c>
      <c r="D797" t="s">
        <v>51</v>
      </c>
      <c r="E797">
        <v>1685504</v>
      </c>
      <c r="F797">
        <v>949882</v>
      </c>
      <c r="G797">
        <v>1657886</v>
      </c>
      <c r="H797">
        <v>131243</v>
      </c>
      <c r="I797">
        <v>6465</v>
      </c>
      <c r="J797">
        <v>3628</v>
      </c>
      <c r="K797">
        <f t="shared" si="24"/>
        <v>14.879321852609062</v>
      </c>
      <c r="L797">
        <v>465738</v>
      </c>
      <c r="M797">
        <v>1159541</v>
      </c>
      <c r="N797">
        <f t="shared" si="25"/>
        <v>148.96851878094552</v>
      </c>
      <c r="O797">
        <v>46108</v>
      </c>
      <c r="P797">
        <v>46125</v>
      </c>
      <c r="Q797" t="s">
        <v>21</v>
      </c>
    </row>
    <row r="798" spans="1:17" x14ac:dyDescent="0.3">
      <c r="A798" t="s">
        <v>849</v>
      </c>
      <c r="B798" t="s">
        <v>49</v>
      </c>
      <c r="C798" t="s">
        <v>33</v>
      </c>
      <c r="D798" t="s">
        <v>58</v>
      </c>
      <c r="E798">
        <v>373618</v>
      </c>
      <c r="F798">
        <v>238683</v>
      </c>
      <c r="G798">
        <v>525574</v>
      </c>
      <c r="H798">
        <v>33516</v>
      </c>
      <c r="I798">
        <v>2819</v>
      </c>
      <c r="J798">
        <v>3301</v>
      </c>
      <c r="K798">
        <f t="shared" si="24"/>
        <v>16.606126117067408</v>
      </c>
      <c r="L798">
        <v>457004</v>
      </c>
      <c r="M798">
        <v>891029</v>
      </c>
      <c r="N798">
        <f t="shared" si="25"/>
        <v>94.971816439243412</v>
      </c>
      <c r="O798">
        <v>45721</v>
      </c>
      <c r="P798">
        <v>45751</v>
      </c>
      <c r="Q798" t="s">
        <v>34</v>
      </c>
    </row>
    <row r="799" spans="1:17" x14ac:dyDescent="0.3">
      <c r="A799" t="s">
        <v>850</v>
      </c>
      <c r="B799" t="s">
        <v>61</v>
      </c>
      <c r="C799" t="s">
        <v>37</v>
      </c>
      <c r="D799" t="s">
        <v>58</v>
      </c>
      <c r="E799">
        <v>836013</v>
      </c>
      <c r="F799">
        <v>341299</v>
      </c>
      <c r="G799">
        <v>732179</v>
      </c>
      <c r="H799">
        <v>49124</v>
      </c>
      <c r="I799">
        <v>6610</v>
      </c>
      <c r="J799">
        <v>4299</v>
      </c>
      <c r="K799">
        <f t="shared" si="24"/>
        <v>17.589562231357256</v>
      </c>
      <c r="L799">
        <v>38580</v>
      </c>
      <c r="M799">
        <v>117266</v>
      </c>
      <c r="N799">
        <f t="shared" si="25"/>
        <v>203.9554173146708</v>
      </c>
      <c r="O799">
        <v>45938</v>
      </c>
      <c r="P799">
        <v>45957</v>
      </c>
      <c r="Q799" t="s">
        <v>25</v>
      </c>
    </row>
    <row r="800" spans="1:17" x14ac:dyDescent="0.3">
      <c r="A800" t="s">
        <v>851</v>
      </c>
      <c r="B800" t="s">
        <v>45</v>
      </c>
      <c r="C800" t="s">
        <v>33</v>
      </c>
      <c r="D800" t="s">
        <v>51</v>
      </c>
      <c r="E800">
        <v>1231497</v>
      </c>
      <c r="F800">
        <v>442611</v>
      </c>
      <c r="G800">
        <v>1167204</v>
      </c>
      <c r="H800">
        <v>41753</v>
      </c>
      <c r="I800">
        <v>5538</v>
      </c>
      <c r="J800">
        <v>939</v>
      </c>
      <c r="K800">
        <f t="shared" si="24"/>
        <v>10.896701618351102</v>
      </c>
      <c r="L800">
        <v>316892</v>
      </c>
      <c r="M800">
        <v>1351236</v>
      </c>
      <c r="N800">
        <f t="shared" si="25"/>
        <v>326.4026860886359</v>
      </c>
      <c r="O800">
        <v>45839</v>
      </c>
      <c r="P800">
        <v>45855</v>
      </c>
      <c r="Q800" t="s">
        <v>21</v>
      </c>
    </row>
    <row r="801" spans="1:17" x14ac:dyDescent="0.3">
      <c r="A801" t="s">
        <v>852</v>
      </c>
      <c r="B801" t="s">
        <v>80</v>
      </c>
      <c r="C801" t="s">
        <v>19</v>
      </c>
      <c r="D801" t="s">
        <v>51</v>
      </c>
      <c r="E801">
        <v>1747406</v>
      </c>
      <c r="F801">
        <v>941695</v>
      </c>
      <c r="G801">
        <v>1395940</v>
      </c>
      <c r="H801">
        <v>100479</v>
      </c>
      <c r="I801">
        <v>11759</v>
      </c>
      <c r="J801">
        <v>2413</v>
      </c>
      <c r="K801">
        <f t="shared" si="24"/>
        <v>12.174961107364911</v>
      </c>
      <c r="L801">
        <v>397623</v>
      </c>
      <c r="M801">
        <v>1961389</v>
      </c>
      <c r="N801">
        <f t="shared" si="25"/>
        <v>393.27855782990417</v>
      </c>
      <c r="O801">
        <v>45985</v>
      </c>
      <c r="P801">
        <v>46011</v>
      </c>
      <c r="Q801" t="s">
        <v>78</v>
      </c>
    </row>
    <row r="802" spans="1:17" x14ac:dyDescent="0.3">
      <c r="A802" t="s">
        <v>853</v>
      </c>
      <c r="B802" t="s">
        <v>80</v>
      </c>
      <c r="C802" t="s">
        <v>19</v>
      </c>
      <c r="D802" t="s">
        <v>40</v>
      </c>
      <c r="E802">
        <v>530498</v>
      </c>
      <c r="F802">
        <v>145696</v>
      </c>
      <c r="G802">
        <v>391394</v>
      </c>
      <c r="H802">
        <v>4873</v>
      </c>
      <c r="I802">
        <v>551</v>
      </c>
      <c r="J802">
        <v>380</v>
      </c>
      <c r="K802">
        <f t="shared" si="24"/>
        <v>3.9836371623105644</v>
      </c>
      <c r="L802">
        <v>392657</v>
      </c>
      <c r="M802">
        <v>929431</v>
      </c>
      <c r="N802">
        <f t="shared" si="25"/>
        <v>136.70302579605101</v>
      </c>
      <c r="O802">
        <v>45983</v>
      </c>
      <c r="P802">
        <v>46011</v>
      </c>
      <c r="Q802" t="s">
        <v>54</v>
      </c>
    </row>
    <row r="803" spans="1:17" x14ac:dyDescent="0.3">
      <c r="A803" t="s">
        <v>854</v>
      </c>
      <c r="B803" t="s">
        <v>80</v>
      </c>
      <c r="C803" t="s">
        <v>19</v>
      </c>
      <c r="D803" t="s">
        <v>51</v>
      </c>
      <c r="E803">
        <v>1777472</v>
      </c>
      <c r="F803">
        <v>686020</v>
      </c>
      <c r="G803">
        <v>1936581</v>
      </c>
      <c r="H803">
        <v>72963</v>
      </c>
      <c r="I803">
        <v>9613</v>
      </c>
      <c r="J803">
        <v>1870</v>
      </c>
      <c r="K803">
        <f t="shared" si="24"/>
        <v>12.309553657327776</v>
      </c>
      <c r="L803">
        <v>133750</v>
      </c>
      <c r="M803">
        <v>406402</v>
      </c>
      <c r="N803">
        <f t="shared" si="25"/>
        <v>203.85196261682245</v>
      </c>
      <c r="O803">
        <v>45789</v>
      </c>
      <c r="P803">
        <v>45807</v>
      </c>
      <c r="Q803" t="s">
        <v>34</v>
      </c>
    </row>
    <row r="804" spans="1:17" x14ac:dyDescent="0.3">
      <c r="A804" t="s">
        <v>855</v>
      </c>
      <c r="B804" t="s">
        <v>27</v>
      </c>
      <c r="C804" t="s">
        <v>43</v>
      </c>
      <c r="D804" t="s">
        <v>51</v>
      </c>
      <c r="E804">
        <v>803450</v>
      </c>
      <c r="F804">
        <v>672957</v>
      </c>
      <c r="G804">
        <v>1168808</v>
      </c>
      <c r="H804">
        <v>90689</v>
      </c>
      <c r="I804">
        <v>3042</v>
      </c>
      <c r="J804">
        <v>6056</v>
      </c>
      <c r="K804">
        <f t="shared" si="24"/>
        <v>14.828139093582502</v>
      </c>
      <c r="L804">
        <v>304324</v>
      </c>
      <c r="M804">
        <v>544616</v>
      </c>
      <c r="N804">
        <f t="shared" si="25"/>
        <v>78.959267096909869</v>
      </c>
      <c r="O804">
        <v>45769</v>
      </c>
      <c r="P804">
        <v>45776</v>
      </c>
      <c r="Q804" t="s">
        <v>25</v>
      </c>
    </row>
    <row r="805" spans="1:17" x14ac:dyDescent="0.3">
      <c r="A805" t="s">
        <v>856</v>
      </c>
      <c r="B805" t="s">
        <v>57</v>
      </c>
      <c r="C805" t="s">
        <v>37</v>
      </c>
      <c r="D805" t="s">
        <v>58</v>
      </c>
      <c r="E805">
        <v>631053</v>
      </c>
      <c r="F805">
        <v>385060</v>
      </c>
      <c r="G805">
        <v>800722</v>
      </c>
      <c r="H805">
        <v>18105</v>
      </c>
      <c r="I805">
        <v>2279</v>
      </c>
      <c r="J805">
        <v>561</v>
      </c>
      <c r="K805">
        <f t="shared" si="24"/>
        <v>5.4394120396821277</v>
      </c>
      <c r="L805">
        <v>418273</v>
      </c>
      <c r="M805">
        <v>1125102</v>
      </c>
      <c r="N805">
        <f t="shared" si="25"/>
        <v>168.98747946915054</v>
      </c>
      <c r="O805">
        <v>45821</v>
      </c>
      <c r="P805">
        <v>45841</v>
      </c>
      <c r="Q805" t="s">
        <v>21</v>
      </c>
    </row>
    <row r="806" spans="1:17" x14ac:dyDescent="0.3">
      <c r="A806" t="s">
        <v>857</v>
      </c>
      <c r="B806" t="s">
        <v>63</v>
      </c>
      <c r="C806" t="s">
        <v>19</v>
      </c>
      <c r="D806" t="s">
        <v>29</v>
      </c>
      <c r="E806">
        <v>1495455</v>
      </c>
      <c r="F806">
        <v>1229952</v>
      </c>
      <c r="G806">
        <v>1839667</v>
      </c>
      <c r="H806">
        <v>85076</v>
      </c>
      <c r="I806">
        <v>7700</v>
      </c>
      <c r="J806">
        <v>4113</v>
      </c>
      <c r="K806">
        <f t="shared" si="24"/>
        <v>7.877461884691435</v>
      </c>
      <c r="L806">
        <v>143332</v>
      </c>
      <c r="M806">
        <v>563854</v>
      </c>
      <c r="N806">
        <f t="shared" si="25"/>
        <v>293.39017107135879</v>
      </c>
      <c r="O806">
        <v>45671</v>
      </c>
      <c r="P806">
        <v>45690</v>
      </c>
      <c r="Q806" t="s">
        <v>54</v>
      </c>
    </row>
    <row r="807" spans="1:17" x14ac:dyDescent="0.3">
      <c r="A807" t="s">
        <v>858</v>
      </c>
      <c r="B807" t="s">
        <v>63</v>
      </c>
      <c r="C807" t="s">
        <v>37</v>
      </c>
      <c r="D807" t="s">
        <v>29</v>
      </c>
      <c r="E807">
        <v>1919592</v>
      </c>
      <c r="F807">
        <v>866093</v>
      </c>
      <c r="G807">
        <v>1456574</v>
      </c>
      <c r="H807">
        <v>36416</v>
      </c>
      <c r="I807">
        <v>2355</v>
      </c>
      <c r="J807">
        <v>1958</v>
      </c>
      <c r="K807">
        <f t="shared" si="24"/>
        <v>4.7026127679129148</v>
      </c>
      <c r="L807">
        <v>39158</v>
      </c>
      <c r="M807">
        <v>80349</v>
      </c>
      <c r="N807">
        <f t="shared" si="25"/>
        <v>105.19178711885182</v>
      </c>
      <c r="O807">
        <v>46036</v>
      </c>
      <c r="P807">
        <v>46045</v>
      </c>
      <c r="Q807" t="s">
        <v>54</v>
      </c>
    </row>
    <row r="808" spans="1:17" x14ac:dyDescent="0.3">
      <c r="A808" t="s">
        <v>859</v>
      </c>
      <c r="B808" t="s">
        <v>27</v>
      </c>
      <c r="C808" t="s">
        <v>19</v>
      </c>
      <c r="D808" t="s">
        <v>58</v>
      </c>
      <c r="E808">
        <v>738261</v>
      </c>
      <c r="F808">
        <v>217335</v>
      </c>
      <c r="G808">
        <v>297953</v>
      </c>
      <c r="H808">
        <v>26253</v>
      </c>
      <c r="I808">
        <v>3017</v>
      </c>
      <c r="J808">
        <v>538</v>
      </c>
      <c r="K808">
        <f t="shared" si="24"/>
        <v>13.715232245151492</v>
      </c>
      <c r="L808">
        <v>83863</v>
      </c>
      <c r="M808">
        <v>391800</v>
      </c>
      <c r="N808">
        <f t="shared" si="25"/>
        <v>367.19053694716382</v>
      </c>
      <c r="O808">
        <v>45932</v>
      </c>
      <c r="P808">
        <v>45957</v>
      </c>
      <c r="Q808" t="s">
        <v>30</v>
      </c>
    </row>
    <row r="809" spans="1:17" x14ac:dyDescent="0.3">
      <c r="A809" t="s">
        <v>860</v>
      </c>
      <c r="B809" t="s">
        <v>75</v>
      </c>
      <c r="C809" t="s">
        <v>33</v>
      </c>
      <c r="D809" t="s">
        <v>29</v>
      </c>
      <c r="E809">
        <v>1964669</v>
      </c>
      <c r="F809">
        <v>915139</v>
      </c>
      <c r="G809">
        <v>2181133</v>
      </c>
      <c r="H809">
        <v>44099</v>
      </c>
      <c r="I809">
        <v>3565</v>
      </c>
      <c r="J809">
        <v>2967</v>
      </c>
      <c r="K809">
        <f t="shared" si="24"/>
        <v>5.5326021511486232</v>
      </c>
      <c r="L809">
        <v>33945</v>
      </c>
      <c r="M809">
        <v>54532</v>
      </c>
      <c r="N809">
        <f t="shared" si="25"/>
        <v>60.648107232287529</v>
      </c>
      <c r="O809">
        <v>46030</v>
      </c>
      <c r="P809">
        <v>46059</v>
      </c>
      <c r="Q809" t="s">
        <v>54</v>
      </c>
    </row>
    <row r="810" spans="1:17" x14ac:dyDescent="0.3">
      <c r="A810" t="s">
        <v>861</v>
      </c>
      <c r="B810" t="s">
        <v>39</v>
      </c>
      <c r="C810" t="s">
        <v>37</v>
      </c>
      <c r="D810" t="s">
        <v>40</v>
      </c>
      <c r="E810">
        <v>1852957</v>
      </c>
      <c r="F810">
        <v>624350</v>
      </c>
      <c r="G810">
        <v>917515</v>
      </c>
      <c r="H810">
        <v>35631</v>
      </c>
      <c r="I810">
        <v>2830</v>
      </c>
      <c r="J810">
        <v>2000</v>
      </c>
      <c r="K810">
        <f t="shared" si="24"/>
        <v>6.4804997197084964</v>
      </c>
      <c r="L810">
        <v>484520</v>
      </c>
      <c r="M810">
        <v>1501519</v>
      </c>
      <c r="N810">
        <f t="shared" si="25"/>
        <v>209.89824981424917</v>
      </c>
      <c r="O810">
        <v>46009</v>
      </c>
      <c r="P810">
        <v>46017</v>
      </c>
      <c r="Q810" t="s">
        <v>34</v>
      </c>
    </row>
    <row r="811" spans="1:17" x14ac:dyDescent="0.3">
      <c r="A811" t="s">
        <v>862</v>
      </c>
      <c r="B811" t="s">
        <v>75</v>
      </c>
      <c r="C811" t="s">
        <v>19</v>
      </c>
      <c r="D811" t="s">
        <v>40</v>
      </c>
      <c r="E811">
        <v>133909</v>
      </c>
      <c r="F811">
        <v>101034</v>
      </c>
      <c r="G811">
        <v>134428</v>
      </c>
      <c r="H811">
        <v>13668</v>
      </c>
      <c r="I811">
        <v>490</v>
      </c>
      <c r="J811">
        <v>659</v>
      </c>
      <c r="K811">
        <f t="shared" si="24"/>
        <v>14.665360175782411</v>
      </c>
      <c r="L811">
        <v>386726</v>
      </c>
      <c r="M811">
        <v>1162652</v>
      </c>
      <c r="N811">
        <f t="shared" si="25"/>
        <v>200.63972942083024</v>
      </c>
      <c r="O811">
        <v>45746</v>
      </c>
      <c r="P811">
        <v>45760</v>
      </c>
      <c r="Q811" t="s">
        <v>78</v>
      </c>
    </row>
    <row r="812" spans="1:17" x14ac:dyDescent="0.3">
      <c r="A812" t="s">
        <v>863</v>
      </c>
      <c r="B812" t="s">
        <v>39</v>
      </c>
      <c r="C812" t="s">
        <v>33</v>
      </c>
      <c r="D812" t="s">
        <v>29</v>
      </c>
      <c r="E812">
        <v>440354</v>
      </c>
      <c r="F812">
        <v>138547</v>
      </c>
      <c r="G812">
        <v>205998</v>
      </c>
      <c r="H812">
        <v>8498</v>
      </c>
      <c r="I812">
        <v>681</v>
      </c>
      <c r="J812">
        <v>373</v>
      </c>
      <c r="K812">
        <f t="shared" si="24"/>
        <v>6.894411282813774</v>
      </c>
      <c r="L812">
        <v>360596</v>
      </c>
      <c r="M812">
        <v>1265791</v>
      </c>
      <c r="N812">
        <f t="shared" si="25"/>
        <v>251.02746564021788</v>
      </c>
      <c r="O812">
        <v>45882</v>
      </c>
      <c r="P812">
        <v>45894</v>
      </c>
      <c r="Q812" t="s">
        <v>25</v>
      </c>
    </row>
    <row r="813" spans="1:17" x14ac:dyDescent="0.3">
      <c r="A813" t="s">
        <v>864</v>
      </c>
      <c r="B813" t="s">
        <v>53</v>
      </c>
      <c r="C813" t="s">
        <v>19</v>
      </c>
      <c r="D813" t="s">
        <v>29</v>
      </c>
      <c r="E813">
        <v>323487</v>
      </c>
      <c r="F813">
        <v>166619</v>
      </c>
      <c r="G813">
        <v>380915</v>
      </c>
      <c r="H813">
        <v>23037</v>
      </c>
      <c r="I813">
        <v>1034</v>
      </c>
      <c r="J813">
        <v>1068</v>
      </c>
      <c r="K813">
        <f t="shared" si="24"/>
        <v>15.087715086514745</v>
      </c>
      <c r="L813">
        <v>10428</v>
      </c>
      <c r="M813">
        <v>24025</v>
      </c>
      <c r="N813">
        <f t="shared" si="25"/>
        <v>130.38933640199463</v>
      </c>
      <c r="O813">
        <v>45968</v>
      </c>
      <c r="P813">
        <v>45985</v>
      </c>
      <c r="Q813" t="s">
        <v>25</v>
      </c>
    </row>
    <row r="814" spans="1:17" x14ac:dyDescent="0.3">
      <c r="A814" t="s">
        <v>865</v>
      </c>
      <c r="B814" t="s">
        <v>75</v>
      </c>
      <c r="C814" t="s">
        <v>37</v>
      </c>
      <c r="D814" t="s">
        <v>29</v>
      </c>
      <c r="E814">
        <v>1833845</v>
      </c>
      <c r="F814">
        <v>1382260</v>
      </c>
      <c r="G814">
        <v>2438060</v>
      </c>
      <c r="H814">
        <v>140205</v>
      </c>
      <c r="I814">
        <v>14470</v>
      </c>
      <c r="J814">
        <v>13453</v>
      </c>
      <c r="K814">
        <f t="shared" si="24"/>
        <v>12.163268849565204</v>
      </c>
      <c r="L814">
        <v>339312</v>
      </c>
      <c r="M814">
        <v>1084938</v>
      </c>
      <c r="N814">
        <f t="shared" si="25"/>
        <v>219.74642806620457</v>
      </c>
      <c r="O814">
        <v>45791</v>
      </c>
      <c r="P814">
        <v>45814</v>
      </c>
      <c r="Q814" t="s">
        <v>54</v>
      </c>
    </row>
    <row r="815" spans="1:17" x14ac:dyDescent="0.3">
      <c r="A815" t="s">
        <v>866</v>
      </c>
      <c r="B815" t="s">
        <v>75</v>
      </c>
      <c r="C815" t="s">
        <v>37</v>
      </c>
      <c r="D815" t="s">
        <v>24</v>
      </c>
      <c r="E815">
        <v>1300888</v>
      </c>
      <c r="F815">
        <v>679438</v>
      </c>
      <c r="G815">
        <v>1083574</v>
      </c>
      <c r="H815">
        <v>76843</v>
      </c>
      <c r="I815">
        <v>4748</v>
      </c>
      <c r="J815">
        <v>1648</v>
      </c>
      <c r="K815">
        <f t="shared" si="24"/>
        <v>12.251154630738935</v>
      </c>
      <c r="L815">
        <v>362064</v>
      </c>
      <c r="M815">
        <v>635596</v>
      </c>
      <c r="N815">
        <f t="shared" si="25"/>
        <v>75.547969419771093</v>
      </c>
      <c r="O815">
        <v>45997</v>
      </c>
      <c r="P815">
        <v>46015</v>
      </c>
      <c r="Q815" t="s">
        <v>47</v>
      </c>
    </row>
    <row r="816" spans="1:17" x14ac:dyDescent="0.3">
      <c r="A816" t="s">
        <v>867</v>
      </c>
      <c r="B816" t="s">
        <v>57</v>
      </c>
      <c r="C816" t="s">
        <v>28</v>
      </c>
      <c r="D816" t="s">
        <v>51</v>
      </c>
      <c r="E816">
        <v>1790837</v>
      </c>
      <c r="F816">
        <v>930469</v>
      </c>
      <c r="G816">
        <v>1141629</v>
      </c>
      <c r="H816">
        <v>59382</v>
      </c>
      <c r="I816">
        <v>6556</v>
      </c>
      <c r="J816">
        <v>4969</v>
      </c>
      <c r="K816">
        <f t="shared" si="24"/>
        <v>7.6205655427531704</v>
      </c>
      <c r="L816">
        <v>67435</v>
      </c>
      <c r="M816">
        <v>255298</v>
      </c>
      <c r="N816">
        <f t="shared" si="25"/>
        <v>278.58382145770003</v>
      </c>
      <c r="O816">
        <v>46088</v>
      </c>
      <c r="P816">
        <v>46097</v>
      </c>
      <c r="Q816" t="s">
        <v>41</v>
      </c>
    </row>
    <row r="817" spans="1:17" x14ac:dyDescent="0.3">
      <c r="A817" t="s">
        <v>868</v>
      </c>
      <c r="B817" t="s">
        <v>61</v>
      </c>
      <c r="C817" t="s">
        <v>37</v>
      </c>
      <c r="D817" t="s">
        <v>72</v>
      </c>
      <c r="E817">
        <v>1624004</v>
      </c>
      <c r="F817">
        <v>580320</v>
      </c>
      <c r="G817">
        <v>904327</v>
      </c>
      <c r="H817">
        <v>71448</v>
      </c>
      <c r="I817">
        <v>3835</v>
      </c>
      <c r="J817">
        <v>4700</v>
      </c>
      <c r="K817">
        <f t="shared" si="24"/>
        <v>13.7825682382134</v>
      </c>
      <c r="L817">
        <v>51679</v>
      </c>
      <c r="M817">
        <v>177614</v>
      </c>
      <c r="N817">
        <f t="shared" si="25"/>
        <v>243.6869908473461</v>
      </c>
      <c r="O817">
        <v>45987</v>
      </c>
      <c r="P817">
        <v>46001</v>
      </c>
      <c r="Q817" t="s">
        <v>25</v>
      </c>
    </row>
    <row r="818" spans="1:17" x14ac:dyDescent="0.3">
      <c r="A818" t="s">
        <v>869</v>
      </c>
      <c r="B818" t="s">
        <v>23</v>
      </c>
      <c r="C818" t="s">
        <v>19</v>
      </c>
      <c r="D818" t="s">
        <v>24</v>
      </c>
      <c r="E818">
        <v>1399862</v>
      </c>
      <c r="F818">
        <v>981096</v>
      </c>
      <c r="G818">
        <v>2929612</v>
      </c>
      <c r="H818">
        <v>35154</v>
      </c>
      <c r="I818">
        <v>2819</v>
      </c>
      <c r="J818">
        <v>1785</v>
      </c>
      <c r="K818">
        <f t="shared" si="24"/>
        <v>4.0524066961846756</v>
      </c>
      <c r="L818">
        <v>415783</v>
      </c>
      <c r="M818">
        <v>2023039</v>
      </c>
      <c r="N818">
        <f t="shared" si="25"/>
        <v>386.56125911833817</v>
      </c>
      <c r="O818">
        <v>46007</v>
      </c>
      <c r="P818">
        <v>46034</v>
      </c>
      <c r="Q818" t="s">
        <v>78</v>
      </c>
    </row>
    <row r="819" spans="1:17" x14ac:dyDescent="0.3">
      <c r="A819" t="s">
        <v>870</v>
      </c>
      <c r="B819" t="s">
        <v>75</v>
      </c>
      <c r="C819" t="s">
        <v>43</v>
      </c>
      <c r="D819" t="s">
        <v>72</v>
      </c>
      <c r="E819">
        <v>1170527</v>
      </c>
      <c r="F819">
        <v>578832</v>
      </c>
      <c r="G819">
        <v>1097654</v>
      </c>
      <c r="H819">
        <v>64952</v>
      </c>
      <c r="I819">
        <v>6719</v>
      </c>
      <c r="J819">
        <v>6051</v>
      </c>
      <c r="K819">
        <f t="shared" si="24"/>
        <v>13.427384802498826</v>
      </c>
      <c r="L819">
        <v>164437</v>
      </c>
      <c r="M819">
        <v>531541</v>
      </c>
      <c r="N819">
        <f t="shared" si="25"/>
        <v>223.2490254626392</v>
      </c>
      <c r="O819">
        <v>45988</v>
      </c>
      <c r="P819">
        <v>46012</v>
      </c>
      <c r="Q819" t="s">
        <v>30</v>
      </c>
    </row>
    <row r="820" spans="1:17" x14ac:dyDescent="0.3">
      <c r="A820" t="s">
        <v>871</v>
      </c>
      <c r="B820" t="s">
        <v>63</v>
      </c>
      <c r="C820" t="s">
        <v>33</v>
      </c>
      <c r="D820" t="s">
        <v>24</v>
      </c>
      <c r="E820">
        <v>848896</v>
      </c>
      <c r="F820">
        <v>629491</v>
      </c>
      <c r="G820">
        <v>1520022</v>
      </c>
      <c r="H820">
        <v>90958</v>
      </c>
      <c r="I820">
        <v>8386</v>
      </c>
      <c r="J820">
        <v>7509</v>
      </c>
      <c r="K820">
        <f t="shared" si="24"/>
        <v>16.97450797549131</v>
      </c>
      <c r="L820">
        <v>26612</v>
      </c>
      <c r="M820">
        <v>93105</v>
      </c>
      <c r="N820">
        <f t="shared" si="25"/>
        <v>249.86096497820532</v>
      </c>
      <c r="O820">
        <v>45899</v>
      </c>
      <c r="P820">
        <v>45918</v>
      </c>
      <c r="Q820" t="s">
        <v>78</v>
      </c>
    </row>
    <row r="821" spans="1:17" x14ac:dyDescent="0.3">
      <c r="A821" t="s">
        <v>872</v>
      </c>
      <c r="B821" t="s">
        <v>75</v>
      </c>
      <c r="C821" t="s">
        <v>19</v>
      </c>
      <c r="D821" t="s">
        <v>51</v>
      </c>
      <c r="E821">
        <v>1137145</v>
      </c>
      <c r="F821">
        <v>977506</v>
      </c>
      <c r="G821">
        <v>2512556</v>
      </c>
      <c r="H821">
        <v>32850</v>
      </c>
      <c r="I821">
        <v>3550</v>
      </c>
      <c r="J821">
        <v>2459</v>
      </c>
      <c r="K821">
        <f t="shared" si="24"/>
        <v>3.9753208675956975</v>
      </c>
      <c r="L821">
        <v>298319</v>
      </c>
      <c r="M821">
        <v>1089112</v>
      </c>
      <c r="N821">
        <f t="shared" si="25"/>
        <v>265.08301516162226</v>
      </c>
      <c r="O821">
        <v>45834</v>
      </c>
      <c r="P821">
        <v>45851</v>
      </c>
      <c r="Q821" t="s">
        <v>30</v>
      </c>
    </row>
    <row r="822" spans="1:17" x14ac:dyDescent="0.3">
      <c r="A822" t="s">
        <v>873</v>
      </c>
      <c r="B822" t="s">
        <v>18</v>
      </c>
      <c r="C822" t="s">
        <v>43</v>
      </c>
      <c r="D822" t="s">
        <v>40</v>
      </c>
      <c r="E822">
        <v>203680</v>
      </c>
      <c r="F822">
        <v>81692</v>
      </c>
      <c r="G822">
        <v>114071</v>
      </c>
      <c r="H822">
        <v>4276</v>
      </c>
      <c r="I822">
        <v>508</v>
      </c>
      <c r="J822">
        <v>356</v>
      </c>
      <c r="K822">
        <f t="shared" si="24"/>
        <v>6.2919257699652356</v>
      </c>
      <c r="L822">
        <v>205175</v>
      </c>
      <c r="M822">
        <v>782024</v>
      </c>
      <c r="N822">
        <f t="shared" si="25"/>
        <v>281.14975021323261</v>
      </c>
      <c r="O822">
        <v>45757</v>
      </c>
      <c r="P822">
        <v>45781</v>
      </c>
      <c r="Q822" t="s">
        <v>41</v>
      </c>
    </row>
    <row r="823" spans="1:17" x14ac:dyDescent="0.3">
      <c r="A823" t="s">
        <v>874</v>
      </c>
      <c r="B823" t="s">
        <v>36</v>
      </c>
      <c r="C823" t="s">
        <v>37</v>
      </c>
      <c r="D823" t="s">
        <v>72</v>
      </c>
      <c r="E823">
        <v>1519687</v>
      </c>
      <c r="F823">
        <v>432873</v>
      </c>
      <c r="G823">
        <v>732965</v>
      </c>
      <c r="H823">
        <v>44442</v>
      </c>
      <c r="I823">
        <v>2948</v>
      </c>
      <c r="J823">
        <v>3579</v>
      </c>
      <c r="K823">
        <f t="shared" si="24"/>
        <v>11.774585155461303</v>
      </c>
      <c r="L823">
        <v>243904</v>
      </c>
      <c r="M823">
        <v>1085043</v>
      </c>
      <c r="N823">
        <f t="shared" si="25"/>
        <v>344.86478286538966</v>
      </c>
      <c r="O823">
        <v>45699</v>
      </c>
      <c r="P823">
        <v>45728</v>
      </c>
      <c r="Q823" t="s">
        <v>41</v>
      </c>
    </row>
    <row r="824" spans="1:17" x14ac:dyDescent="0.3">
      <c r="A824" t="s">
        <v>875</v>
      </c>
      <c r="B824" t="s">
        <v>23</v>
      </c>
      <c r="C824" t="s">
        <v>19</v>
      </c>
      <c r="D824" t="s">
        <v>20</v>
      </c>
      <c r="E824">
        <v>1459624</v>
      </c>
      <c r="F824">
        <v>669655</v>
      </c>
      <c r="G824">
        <v>1340981</v>
      </c>
      <c r="H824">
        <v>56642</v>
      </c>
      <c r="I824">
        <v>7264</v>
      </c>
      <c r="J824">
        <v>2462</v>
      </c>
      <c r="K824">
        <f t="shared" si="24"/>
        <v>9.9107749512808834</v>
      </c>
      <c r="L824">
        <v>294964</v>
      </c>
      <c r="M824">
        <v>1058423</v>
      </c>
      <c r="N824">
        <f t="shared" si="25"/>
        <v>258.83124720304852</v>
      </c>
      <c r="O824">
        <v>46014</v>
      </c>
      <c r="P824">
        <v>46038</v>
      </c>
      <c r="Q824" t="s">
        <v>25</v>
      </c>
    </row>
    <row r="825" spans="1:17" x14ac:dyDescent="0.3">
      <c r="A825" t="s">
        <v>876</v>
      </c>
      <c r="B825" t="s">
        <v>23</v>
      </c>
      <c r="C825" t="s">
        <v>37</v>
      </c>
      <c r="D825" t="s">
        <v>46</v>
      </c>
      <c r="E825">
        <v>691843</v>
      </c>
      <c r="F825">
        <v>229168</v>
      </c>
      <c r="G825">
        <v>397363</v>
      </c>
      <c r="H825">
        <v>32631</v>
      </c>
      <c r="I825">
        <v>1531</v>
      </c>
      <c r="J825">
        <v>997</v>
      </c>
      <c r="K825">
        <f t="shared" si="24"/>
        <v>15.34201982824827</v>
      </c>
      <c r="L825">
        <v>499771</v>
      </c>
      <c r="M825">
        <v>1939094</v>
      </c>
      <c r="N825">
        <f t="shared" si="25"/>
        <v>287.99650239809836</v>
      </c>
      <c r="O825">
        <v>46050</v>
      </c>
      <c r="P825">
        <v>46072</v>
      </c>
      <c r="Q825" t="s">
        <v>47</v>
      </c>
    </row>
    <row r="826" spans="1:17" x14ac:dyDescent="0.3">
      <c r="A826" t="s">
        <v>877</v>
      </c>
      <c r="B826" t="s">
        <v>45</v>
      </c>
      <c r="C826" t="s">
        <v>19</v>
      </c>
      <c r="D826" t="s">
        <v>24</v>
      </c>
      <c r="E826">
        <v>1519782</v>
      </c>
      <c r="F826">
        <v>456852</v>
      </c>
      <c r="G826">
        <v>798407</v>
      </c>
      <c r="H826">
        <v>46218</v>
      </c>
      <c r="I826">
        <v>5279</v>
      </c>
      <c r="J826">
        <v>4312</v>
      </c>
      <c r="K826">
        <f t="shared" si="24"/>
        <v>12.215991174384703</v>
      </c>
      <c r="L826">
        <v>143913</v>
      </c>
      <c r="M826">
        <v>631142</v>
      </c>
      <c r="N826">
        <f t="shared" si="25"/>
        <v>338.558017691244</v>
      </c>
      <c r="O826">
        <v>45967</v>
      </c>
      <c r="P826">
        <v>45984</v>
      </c>
      <c r="Q826" t="s">
        <v>30</v>
      </c>
    </row>
    <row r="827" spans="1:17" x14ac:dyDescent="0.3">
      <c r="A827" t="s">
        <v>878</v>
      </c>
      <c r="B827" t="s">
        <v>53</v>
      </c>
      <c r="C827" t="s">
        <v>43</v>
      </c>
      <c r="D827" t="s">
        <v>51</v>
      </c>
      <c r="E827">
        <v>1172894</v>
      </c>
      <c r="F827">
        <v>442642</v>
      </c>
      <c r="G827">
        <v>842171</v>
      </c>
      <c r="H827">
        <v>18342</v>
      </c>
      <c r="I827">
        <v>1289</v>
      </c>
      <c r="J827">
        <v>847</v>
      </c>
      <c r="K827">
        <f t="shared" si="24"/>
        <v>4.6263120083498626</v>
      </c>
      <c r="L827">
        <v>278233</v>
      </c>
      <c r="M827">
        <v>1212997</v>
      </c>
      <c r="N827">
        <f t="shared" si="25"/>
        <v>335.96446144059115</v>
      </c>
      <c r="O827">
        <v>46041</v>
      </c>
      <c r="P827">
        <v>46059</v>
      </c>
      <c r="Q827" t="s">
        <v>30</v>
      </c>
    </row>
    <row r="828" spans="1:17" x14ac:dyDescent="0.3">
      <c r="A828" t="s">
        <v>879</v>
      </c>
      <c r="B828" t="s">
        <v>36</v>
      </c>
      <c r="C828" t="s">
        <v>37</v>
      </c>
      <c r="D828" t="s">
        <v>51</v>
      </c>
      <c r="E828">
        <v>1617122</v>
      </c>
      <c r="F828">
        <v>755324</v>
      </c>
      <c r="G828">
        <v>1279426</v>
      </c>
      <c r="H828">
        <v>69444</v>
      </c>
      <c r="I828">
        <v>8504</v>
      </c>
      <c r="J828">
        <v>2242</v>
      </c>
      <c r="K828">
        <f t="shared" si="24"/>
        <v>10.616636039633324</v>
      </c>
      <c r="L828">
        <v>256916</v>
      </c>
      <c r="M828">
        <v>579959</v>
      </c>
      <c r="N828">
        <f t="shared" si="25"/>
        <v>125.7387628641268</v>
      </c>
      <c r="O828">
        <v>46152</v>
      </c>
      <c r="P828">
        <v>46162</v>
      </c>
      <c r="Q828" t="s">
        <v>30</v>
      </c>
    </row>
    <row r="829" spans="1:17" x14ac:dyDescent="0.3">
      <c r="A829" t="s">
        <v>880</v>
      </c>
      <c r="B829" t="s">
        <v>57</v>
      </c>
      <c r="C829" t="s">
        <v>43</v>
      </c>
      <c r="D829" t="s">
        <v>29</v>
      </c>
      <c r="E829">
        <v>1795470</v>
      </c>
      <c r="F829">
        <v>541815</v>
      </c>
      <c r="G829">
        <v>831874</v>
      </c>
      <c r="H829">
        <v>62265</v>
      </c>
      <c r="I829">
        <v>4270</v>
      </c>
      <c r="J829">
        <v>4632</v>
      </c>
      <c r="K829">
        <f t="shared" si="24"/>
        <v>13.134926127921892</v>
      </c>
      <c r="L829">
        <v>493052</v>
      </c>
      <c r="M829">
        <v>1999647</v>
      </c>
      <c r="N829">
        <f t="shared" si="25"/>
        <v>305.56513308941049</v>
      </c>
      <c r="O829">
        <v>46053</v>
      </c>
      <c r="P829">
        <v>46063</v>
      </c>
      <c r="Q829" t="s">
        <v>41</v>
      </c>
    </row>
    <row r="830" spans="1:17" x14ac:dyDescent="0.3">
      <c r="A830" t="s">
        <v>881</v>
      </c>
      <c r="B830" t="s">
        <v>18</v>
      </c>
      <c r="C830" t="s">
        <v>19</v>
      </c>
      <c r="D830" t="s">
        <v>72</v>
      </c>
      <c r="E830">
        <v>1083399</v>
      </c>
      <c r="F830">
        <v>781796</v>
      </c>
      <c r="G830">
        <v>1785009</v>
      </c>
      <c r="H830">
        <v>55941</v>
      </c>
      <c r="I830">
        <v>6414</v>
      </c>
      <c r="J830">
        <v>5353</v>
      </c>
      <c r="K830">
        <f t="shared" si="24"/>
        <v>8.660571299929904</v>
      </c>
      <c r="L830">
        <v>152838</v>
      </c>
      <c r="M830">
        <v>201587</v>
      </c>
      <c r="N830">
        <f t="shared" si="25"/>
        <v>31.895863594132351</v>
      </c>
      <c r="O830">
        <v>45831</v>
      </c>
      <c r="P830">
        <v>45858</v>
      </c>
      <c r="Q830" t="s">
        <v>30</v>
      </c>
    </row>
    <row r="831" spans="1:17" x14ac:dyDescent="0.3">
      <c r="A831" t="s">
        <v>882</v>
      </c>
      <c r="B831" t="s">
        <v>80</v>
      </c>
      <c r="C831" t="s">
        <v>19</v>
      </c>
      <c r="D831" t="s">
        <v>72</v>
      </c>
      <c r="E831">
        <v>1002066</v>
      </c>
      <c r="F831">
        <v>348882</v>
      </c>
      <c r="G831">
        <v>762219</v>
      </c>
      <c r="H831">
        <v>39315</v>
      </c>
      <c r="I831">
        <v>5270</v>
      </c>
      <c r="J831">
        <v>2399</v>
      </c>
      <c r="K831">
        <f t="shared" si="24"/>
        <v>13.467017501619457</v>
      </c>
      <c r="L831">
        <v>313758</v>
      </c>
      <c r="M831">
        <v>930132</v>
      </c>
      <c r="N831">
        <f t="shared" si="25"/>
        <v>196.4488554873501</v>
      </c>
      <c r="O831">
        <v>45821</v>
      </c>
      <c r="P831">
        <v>45828</v>
      </c>
      <c r="Q831" t="s">
        <v>21</v>
      </c>
    </row>
    <row r="832" spans="1:17" x14ac:dyDescent="0.3">
      <c r="A832" t="s">
        <v>883</v>
      </c>
      <c r="B832" t="s">
        <v>53</v>
      </c>
      <c r="C832" t="s">
        <v>43</v>
      </c>
      <c r="D832" t="s">
        <v>58</v>
      </c>
      <c r="E832">
        <v>124538</v>
      </c>
      <c r="F832">
        <v>44552</v>
      </c>
      <c r="G832">
        <v>66955</v>
      </c>
      <c r="H832">
        <v>3878</v>
      </c>
      <c r="I832">
        <v>495</v>
      </c>
      <c r="J832">
        <v>166</v>
      </c>
      <c r="K832">
        <f t="shared" si="24"/>
        <v>10.188094810558448</v>
      </c>
      <c r="L832">
        <v>148849</v>
      </c>
      <c r="M832">
        <v>225813</v>
      </c>
      <c r="N832">
        <f t="shared" si="25"/>
        <v>51.706091408071266</v>
      </c>
      <c r="O832">
        <v>45801</v>
      </c>
      <c r="P832">
        <v>45826</v>
      </c>
      <c r="Q832" t="s">
        <v>47</v>
      </c>
    </row>
    <row r="833" spans="1:17" x14ac:dyDescent="0.3">
      <c r="A833" t="s">
        <v>884</v>
      </c>
      <c r="B833" t="s">
        <v>49</v>
      </c>
      <c r="C833" t="s">
        <v>37</v>
      </c>
      <c r="D833" t="s">
        <v>46</v>
      </c>
      <c r="E833">
        <v>1472150</v>
      </c>
      <c r="F833">
        <v>709319</v>
      </c>
      <c r="G833">
        <v>1109722</v>
      </c>
      <c r="H833">
        <v>67694</v>
      </c>
      <c r="I833">
        <v>6465</v>
      </c>
      <c r="J833">
        <v>2871</v>
      </c>
      <c r="K833">
        <f t="shared" si="24"/>
        <v>10.859711920870581</v>
      </c>
      <c r="L833">
        <v>191519</v>
      </c>
      <c r="M833">
        <v>924922</v>
      </c>
      <c r="N833">
        <f t="shared" si="25"/>
        <v>382.94007383079486</v>
      </c>
      <c r="O833">
        <v>45885</v>
      </c>
      <c r="P833">
        <v>45896</v>
      </c>
      <c r="Q833" t="s">
        <v>41</v>
      </c>
    </row>
    <row r="834" spans="1:17" x14ac:dyDescent="0.3">
      <c r="A834" t="s">
        <v>885</v>
      </c>
      <c r="B834" t="s">
        <v>53</v>
      </c>
      <c r="C834" t="s">
        <v>19</v>
      </c>
      <c r="D834" t="s">
        <v>58</v>
      </c>
      <c r="E834">
        <v>1256638</v>
      </c>
      <c r="F834">
        <v>748980</v>
      </c>
      <c r="G834">
        <v>1028221</v>
      </c>
      <c r="H834">
        <v>44059</v>
      </c>
      <c r="I834">
        <v>5653</v>
      </c>
      <c r="J834">
        <v>3610</v>
      </c>
      <c r="K834">
        <f t="shared" ref="K834:K897" si="26">((H834+I834+J834)/F834)*100</f>
        <v>7.1192822238244009</v>
      </c>
      <c r="L834">
        <v>115641</v>
      </c>
      <c r="M834">
        <v>328358</v>
      </c>
      <c r="N834">
        <f t="shared" ref="N834:N897" si="27">((M834-L834)/L834)*100</f>
        <v>183.94600530953556</v>
      </c>
      <c r="O834">
        <v>46154</v>
      </c>
      <c r="P834">
        <v>46180</v>
      </c>
      <c r="Q834" t="s">
        <v>30</v>
      </c>
    </row>
    <row r="835" spans="1:17" x14ac:dyDescent="0.3">
      <c r="A835" t="s">
        <v>886</v>
      </c>
      <c r="B835" t="s">
        <v>53</v>
      </c>
      <c r="C835" t="s">
        <v>33</v>
      </c>
      <c r="D835" t="s">
        <v>51</v>
      </c>
      <c r="E835">
        <v>1486887</v>
      </c>
      <c r="F835">
        <v>581696</v>
      </c>
      <c r="G835">
        <v>830960</v>
      </c>
      <c r="H835">
        <v>21330</v>
      </c>
      <c r="I835">
        <v>2098</v>
      </c>
      <c r="J835">
        <v>2130</v>
      </c>
      <c r="K835">
        <f t="shared" si="26"/>
        <v>4.3937039278248431</v>
      </c>
      <c r="L835">
        <v>70112</v>
      </c>
      <c r="M835">
        <v>202114</v>
      </c>
      <c r="N835">
        <f t="shared" si="27"/>
        <v>188.27304883614789</v>
      </c>
      <c r="O835">
        <v>46124</v>
      </c>
      <c r="P835">
        <v>46147</v>
      </c>
      <c r="Q835" t="s">
        <v>21</v>
      </c>
    </row>
    <row r="836" spans="1:17" x14ac:dyDescent="0.3">
      <c r="A836" t="s">
        <v>887</v>
      </c>
      <c r="B836" t="s">
        <v>18</v>
      </c>
      <c r="C836" t="s">
        <v>28</v>
      </c>
      <c r="D836" t="s">
        <v>58</v>
      </c>
      <c r="E836">
        <v>706281</v>
      </c>
      <c r="F836">
        <v>327880</v>
      </c>
      <c r="G836">
        <v>932528</v>
      </c>
      <c r="H836">
        <v>7488</v>
      </c>
      <c r="I836">
        <v>400</v>
      </c>
      <c r="J836">
        <v>482</v>
      </c>
      <c r="K836">
        <f t="shared" si="26"/>
        <v>2.5527632060509942</v>
      </c>
      <c r="L836">
        <v>478820</v>
      </c>
      <c r="M836">
        <v>1908304</v>
      </c>
      <c r="N836">
        <f t="shared" si="27"/>
        <v>298.54308508416523</v>
      </c>
      <c r="O836">
        <v>45669</v>
      </c>
      <c r="P836">
        <v>45689</v>
      </c>
      <c r="Q836" t="s">
        <v>54</v>
      </c>
    </row>
    <row r="837" spans="1:17" x14ac:dyDescent="0.3">
      <c r="A837" t="s">
        <v>888</v>
      </c>
      <c r="B837" t="s">
        <v>45</v>
      </c>
      <c r="C837" t="s">
        <v>33</v>
      </c>
      <c r="D837" t="s">
        <v>58</v>
      </c>
      <c r="E837">
        <v>1846925</v>
      </c>
      <c r="F837">
        <v>1521198</v>
      </c>
      <c r="G837">
        <v>3622057</v>
      </c>
      <c r="H837">
        <v>91799</v>
      </c>
      <c r="I837">
        <v>10275</v>
      </c>
      <c r="J837">
        <v>8701</v>
      </c>
      <c r="K837">
        <f t="shared" si="26"/>
        <v>7.2820895110301223</v>
      </c>
      <c r="L837">
        <v>159922</v>
      </c>
      <c r="M837">
        <v>331078</v>
      </c>
      <c r="N837">
        <f t="shared" si="27"/>
        <v>107.0246745288328</v>
      </c>
      <c r="O837">
        <v>45887</v>
      </c>
      <c r="P837">
        <v>45895</v>
      </c>
      <c r="Q837" t="s">
        <v>78</v>
      </c>
    </row>
    <row r="838" spans="1:17" x14ac:dyDescent="0.3">
      <c r="A838" t="s">
        <v>889</v>
      </c>
      <c r="B838" t="s">
        <v>36</v>
      </c>
      <c r="C838" t="s">
        <v>28</v>
      </c>
      <c r="D838" t="s">
        <v>46</v>
      </c>
      <c r="E838">
        <v>746077</v>
      </c>
      <c r="F838">
        <v>553489</v>
      </c>
      <c r="G838">
        <v>1571265</v>
      </c>
      <c r="H838">
        <v>72255</v>
      </c>
      <c r="I838">
        <v>4776</v>
      </c>
      <c r="J838">
        <v>5948</v>
      </c>
      <c r="K838">
        <f t="shared" si="26"/>
        <v>14.991987193964107</v>
      </c>
      <c r="L838">
        <v>34803</v>
      </c>
      <c r="M838">
        <v>91882</v>
      </c>
      <c r="N838">
        <f t="shared" si="27"/>
        <v>164.00597649627906</v>
      </c>
      <c r="O838">
        <v>45718</v>
      </c>
      <c r="P838">
        <v>45725</v>
      </c>
      <c r="Q838" t="s">
        <v>47</v>
      </c>
    </row>
    <row r="839" spans="1:17" x14ac:dyDescent="0.3">
      <c r="A839" t="s">
        <v>890</v>
      </c>
      <c r="B839" t="s">
        <v>45</v>
      </c>
      <c r="C839" t="s">
        <v>33</v>
      </c>
      <c r="D839" t="s">
        <v>40</v>
      </c>
      <c r="E839">
        <v>1317460</v>
      </c>
      <c r="F839">
        <v>1017725</v>
      </c>
      <c r="G839">
        <v>2043843</v>
      </c>
      <c r="H839">
        <v>61296</v>
      </c>
      <c r="I839">
        <v>4933</v>
      </c>
      <c r="J839">
        <v>5772</v>
      </c>
      <c r="K839">
        <f t="shared" si="26"/>
        <v>7.074700926085141</v>
      </c>
      <c r="L839">
        <v>243164</v>
      </c>
      <c r="M839">
        <v>1148763</v>
      </c>
      <c r="N839">
        <f t="shared" si="27"/>
        <v>372.4231382934974</v>
      </c>
      <c r="O839">
        <v>45733</v>
      </c>
      <c r="P839">
        <v>45754</v>
      </c>
      <c r="Q839" t="s">
        <v>25</v>
      </c>
    </row>
    <row r="840" spans="1:17" x14ac:dyDescent="0.3">
      <c r="A840" t="s">
        <v>891</v>
      </c>
      <c r="B840" t="s">
        <v>80</v>
      </c>
      <c r="C840" t="s">
        <v>33</v>
      </c>
      <c r="D840" t="s">
        <v>72</v>
      </c>
      <c r="E840">
        <v>1769448</v>
      </c>
      <c r="F840">
        <v>1245351</v>
      </c>
      <c r="G840">
        <v>2514598</v>
      </c>
      <c r="H840">
        <v>107693</v>
      </c>
      <c r="I840">
        <v>9811</v>
      </c>
      <c r="J840">
        <v>3356</v>
      </c>
      <c r="K840">
        <f t="shared" si="26"/>
        <v>9.704894443413945</v>
      </c>
      <c r="L840">
        <v>45757</v>
      </c>
      <c r="M840">
        <v>69556</v>
      </c>
      <c r="N840">
        <f t="shared" si="27"/>
        <v>52.011714054680155</v>
      </c>
      <c r="O840">
        <v>45949</v>
      </c>
      <c r="P840">
        <v>45958</v>
      </c>
      <c r="Q840" t="s">
        <v>34</v>
      </c>
    </row>
    <row r="841" spans="1:17" x14ac:dyDescent="0.3">
      <c r="A841" t="s">
        <v>892</v>
      </c>
      <c r="B841" t="s">
        <v>27</v>
      </c>
      <c r="C841" t="s">
        <v>43</v>
      </c>
      <c r="D841" t="s">
        <v>40</v>
      </c>
      <c r="E841">
        <v>1488112</v>
      </c>
      <c r="F841">
        <v>1208712</v>
      </c>
      <c r="G841">
        <v>1898808</v>
      </c>
      <c r="H841">
        <v>70415</v>
      </c>
      <c r="I841">
        <v>8822</v>
      </c>
      <c r="J841">
        <v>6039</v>
      </c>
      <c r="K841">
        <f t="shared" si="26"/>
        <v>7.0551132114184361</v>
      </c>
      <c r="L841">
        <v>36103</v>
      </c>
      <c r="M841">
        <v>69518</v>
      </c>
      <c r="N841">
        <f t="shared" si="27"/>
        <v>92.554635348862973</v>
      </c>
      <c r="O841">
        <v>45685</v>
      </c>
      <c r="P841">
        <v>45708</v>
      </c>
      <c r="Q841" t="s">
        <v>41</v>
      </c>
    </row>
    <row r="842" spans="1:17" x14ac:dyDescent="0.3">
      <c r="A842" t="s">
        <v>893</v>
      </c>
      <c r="B842" t="s">
        <v>103</v>
      </c>
      <c r="C842" t="s">
        <v>19</v>
      </c>
      <c r="D842" t="s">
        <v>20</v>
      </c>
      <c r="E842">
        <v>804520</v>
      </c>
      <c r="F842">
        <v>255320</v>
      </c>
      <c r="G842">
        <v>588955</v>
      </c>
      <c r="H842">
        <v>15477</v>
      </c>
      <c r="I842">
        <v>2175</v>
      </c>
      <c r="J842">
        <v>548</v>
      </c>
      <c r="K842">
        <f t="shared" si="26"/>
        <v>7.1283095723014247</v>
      </c>
      <c r="L842">
        <v>29455</v>
      </c>
      <c r="M842">
        <v>41933</v>
      </c>
      <c r="N842">
        <f t="shared" si="27"/>
        <v>42.362926498047869</v>
      </c>
      <c r="O842">
        <v>45767</v>
      </c>
      <c r="P842">
        <v>45793</v>
      </c>
      <c r="Q842" t="s">
        <v>78</v>
      </c>
    </row>
    <row r="843" spans="1:17" x14ac:dyDescent="0.3">
      <c r="A843" t="s">
        <v>894</v>
      </c>
      <c r="B843" t="s">
        <v>36</v>
      </c>
      <c r="C843" t="s">
        <v>43</v>
      </c>
      <c r="D843" t="s">
        <v>29</v>
      </c>
      <c r="E843">
        <v>1738358</v>
      </c>
      <c r="F843">
        <v>1234000</v>
      </c>
      <c r="G843">
        <v>2269614</v>
      </c>
      <c r="H843">
        <v>147950</v>
      </c>
      <c r="I843">
        <v>16374</v>
      </c>
      <c r="J843">
        <v>5402</v>
      </c>
      <c r="K843">
        <f t="shared" si="26"/>
        <v>13.754132901134522</v>
      </c>
      <c r="L843">
        <v>185250</v>
      </c>
      <c r="M843">
        <v>533439</v>
      </c>
      <c r="N843">
        <f t="shared" si="27"/>
        <v>187.95627530364371</v>
      </c>
      <c r="O843">
        <v>45739</v>
      </c>
      <c r="P843">
        <v>45752</v>
      </c>
      <c r="Q843" t="s">
        <v>47</v>
      </c>
    </row>
    <row r="844" spans="1:17" x14ac:dyDescent="0.3">
      <c r="A844" t="s">
        <v>895</v>
      </c>
      <c r="B844" t="s">
        <v>63</v>
      </c>
      <c r="C844" t="s">
        <v>33</v>
      </c>
      <c r="D844" t="s">
        <v>46</v>
      </c>
      <c r="E844">
        <v>201077</v>
      </c>
      <c r="F844">
        <v>142913</v>
      </c>
      <c r="G844">
        <v>320594</v>
      </c>
      <c r="H844">
        <v>12524</v>
      </c>
      <c r="I844">
        <v>593</v>
      </c>
      <c r="J844">
        <v>1152</v>
      </c>
      <c r="K844">
        <f t="shared" si="26"/>
        <v>9.9843961011244602</v>
      </c>
      <c r="L844">
        <v>156730</v>
      </c>
      <c r="M844">
        <v>312095</v>
      </c>
      <c r="N844">
        <f t="shared" si="27"/>
        <v>99.129075480125053</v>
      </c>
      <c r="O844">
        <v>45687</v>
      </c>
      <c r="P844">
        <v>45708</v>
      </c>
      <c r="Q844" t="s">
        <v>30</v>
      </c>
    </row>
    <row r="845" spans="1:17" x14ac:dyDescent="0.3">
      <c r="A845" t="s">
        <v>896</v>
      </c>
      <c r="B845" t="s">
        <v>103</v>
      </c>
      <c r="C845" t="s">
        <v>37</v>
      </c>
      <c r="D845" t="s">
        <v>24</v>
      </c>
      <c r="E845">
        <v>502246</v>
      </c>
      <c r="F845">
        <v>188705</v>
      </c>
      <c r="G845">
        <v>266881</v>
      </c>
      <c r="H845">
        <v>3793</v>
      </c>
      <c r="I845">
        <v>531</v>
      </c>
      <c r="J845">
        <v>356</v>
      </c>
      <c r="K845">
        <f t="shared" si="26"/>
        <v>2.4800614716091256</v>
      </c>
      <c r="L845">
        <v>189365</v>
      </c>
      <c r="M845">
        <v>585419</v>
      </c>
      <c r="N845">
        <f t="shared" si="27"/>
        <v>209.1484698861986</v>
      </c>
      <c r="O845">
        <v>45907</v>
      </c>
      <c r="P845">
        <v>45937</v>
      </c>
      <c r="Q845" t="s">
        <v>25</v>
      </c>
    </row>
    <row r="846" spans="1:17" x14ac:dyDescent="0.3">
      <c r="A846" t="s">
        <v>897</v>
      </c>
      <c r="B846" t="s">
        <v>36</v>
      </c>
      <c r="C846" t="s">
        <v>28</v>
      </c>
      <c r="D846" t="s">
        <v>72</v>
      </c>
      <c r="E846">
        <v>1976143</v>
      </c>
      <c r="F846">
        <v>747262</v>
      </c>
      <c r="G846">
        <v>1305008</v>
      </c>
      <c r="H846">
        <v>43069</v>
      </c>
      <c r="I846">
        <v>3762</v>
      </c>
      <c r="J846">
        <v>2199</v>
      </c>
      <c r="K846">
        <f t="shared" si="26"/>
        <v>6.5612864028948348</v>
      </c>
      <c r="L846">
        <v>244426</v>
      </c>
      <c r="M846">
        <v>1084179</v>
      </c>
      <c r="N846">
        <f t="shared" si="27"/>
        <v>343.56124143912677</v>
      </c>
      <c r="O846">
        <v>45914</v>
      </c>
      <c r="P846">
        <v>45936</v>
      </c>
      <c r="Q846" t="s">
        <v>47</v>
      </c>
    </row>
    <row r="847" spans="1:17" x14ac:dyDescent="0.3">
      <c r="A847" t="s">
        <v>898</v>
      </c>
      <c r="B847" t="s">
        <v>49</v>
      </c>
      <c r="C847" t="s">
        <v>28</v>
      </c>
      <c r="D847" t="s">
        <v>72</v>
      </c>
      <c r="E847">
        <v>1282553</v>
      </c>
      <c r="F847">
        <v>1122797</v>
      </c>
      <c r="G847">
        <v>1897264</v>
      </c>
      <c r="H847">
        <v>163095</v>
      </c>
      <c r="I847">
        <v>23689</v>
      </c>
      <c r="J847">
        <v>9241</v>
      </c>
      <c r="K847">
        <f t="shared" si="26"/>
        <v>17.458632326235286</v>
      </c>
      <c r="L847">
        <v>211944</v>
      </c>
      <c r="M847">
        <v>976807</v>
      </c>
      <c r="N847">
        <f t="shared" si="27"/>
        <v>360.87976069150341</v>
      </c>
      <c r="O847">
        <v>45981</v>
      </c>
      <c r="P847">
        <v>45998</v>
      </c>
      <c r="Q847" t="s">
        <v>54</v>
      </c>
    </row>
    <row r="848" spans="1:17" x14ac:dyDescent="0.3">
      <c r="A848" t="s">
        <v>899</v>
      </c>
      <c r="B848" t="s">
        <v>27</v>
      </c>
      <c r="C848" t="s">
        <v>19</v>
      </c>
      <c r="D848" t="s">
        <v>46</v>
      </c>
      <c r="E848">
        <v>373294</v>
      </c>
      <c r="F848">
        <v>115816</v>
      </c>
      <c r="G848">
        <v>265208</v>
      </c>
      <c r="H848">
        <v>8537</v>
      </c>
      <c r="I848">
        <v>272</v>
      </c>
      <c r="J848">
        <v>207</v>
      </c>
      <c r="K848">
        <f t="shared" si="26"/>
        <v>7.7847620363334951</v>
      </c>
      <c r="L848">
        <v>142240</v>
      </c>
      <c r="M848">
        <v>274241</v>
      </c>
      <c r="N848">
        <f t="shared" si="27"/>
        <v>92.801602924634423</v>
      </c>
      <c r="O848">
        <v>45840</v>
      </c>
      <c r="P848">
        <v>45856</v>
      </c>
      <c r="Q848" t="s">
        <v>41</v>
      </c>
    </row>
    <row r="849" spans="1:17" x14ac:dyDescent="0.3">
      <c r="A849" t="s">
        <v>900</v>
      </c>
      <c r="B849" t="s">
        <v>23</v>
      </c>
      <c r="C849" t="s">
        <v>33</v>
      </c>
      <c r="D849" t="s">
        <v>46</v>
      </c>
      <c r="E849">
        <v>103809</v>
      </c>
      <c r="F849">
        <v>56596</v>
      </c>
      <c r="G849">
        <v>147857</v>
      </c>
      <c r="H849">
        <v>4887</v>
      </c>
      <c r="I849">
        <v>343</v>
      </c>
      <c r="J849">
        <v>243</v>
      </c>
      <c r="K849">
        <f t="shared" si="26"/>
        <v>9.6702947204749456</v>
      </c>
      <c r="L849">
        <v>188805</v>
      </c>
      <c r="M849">
        <v>907409</v>
      </c>
      <c r="N849">
        <f t="shared" si="27"/>
        <v>380.60644580387174</v>
      </c>
      <c r="O849">
        <v>46132</v>
      </c>
      <c r="P849">
        <v>46159</v>
      </c>
      <c r="Q849" t="s">
        <v>54</v>
      </c>
    </row>
    <row r="850" spans="1:17" x14ac:dyDescent="0.3">
      <c r="A850" t="s">
        <v>901</v>
      </c>
      <c r="B850" t="s">
        <v>45</v>
      </c>
      <c r="C850" t="s">
        <v>37</v>
      </c>
      <c r="D850" t="s">
        <v>40</v>
      </c>
      <c r="E850">
        <v>461293</v>
      </c>
      <c r="F850">
        <v>329172</v>
      </c>
      <c r="G850">
        <v>864192</v>
      </c>
      <c r="H850">
        <v>7836</v>
      </c>
      <c r="I850">
        <v>897</v>
      </c>
      <c r="J850">
        <v>177</v>
      </c>
      <c r="K850">
        <f t="shared" si="26"/>
        <v>2.7067915861616418</v>
      </c>
      <c r="L850">
        <v>269046</v>
      </c>
      <c r="M850">
        <v>953340</v>
      </c>
      <c r="N850">
        <f t="shared" si="27"/>
        <v>254.34089337882742</v>
      </c>
      <c r="O850">
        <v>46105</v>
      </c>
      <c r="P850">
        <v>46119</v>
      </c>
      <c r="Q850" t="s">
        <v>34</v>
      </c>
    </row>
    <row r="851" spans="1:17" x14ac:dyDescent="0.3">
      <c r="A851" t="s">
        <v>902</v>
      </c>
      <c r="B851" t="s">
        <v>53</v>
      </c>
      <c r="C851" t="s">
        <v>37</v>
      </c>
      <c r="D851" t="s">
        <v>72</v>
      </c>
      <c r="E851">
        <v>908788</v>
      </c>
      <c r="F851">
        <v>655657</v>
      </c>
      <c r="G851">
        <v>1920623</v>
      </c>
      <c r="H851">
        <v>80294</v>
      </c>
      <c r="I851">
        <v>8578</v>
      </c>
      <c r="J851">
        <v>7960</v>
      </c>
      <c r="K851">
        <f t="shared" si="26"/>
        <v>14.768697657464191</v>
      </c>
      <c r="L851">
        <v>48266</v>
      </c>
      <c r="M851">
        <v>127182</v>
      </c>
      <c r="N851">
        <f t="shared" si="27"/>
        <v>163.50225831848505</v>
      </c>
      <c r="O851">
        <v>45925</v>
      </c>
      <c r="P851">
        <v>45938</v>
      </c>
      <c r="Q851" t="s">
        <v>30</v>
      </c>
    </row>
    <row r="852" spans="1:17" x14ac:dyDescent="0.3">
      <c r="A852" t="s">
        <v>903</v>
      </c>
      <c r="B852" t="s">
        <v>75</v>
      </c>
      <c r="C852" t="s">
        <v>19</v>
      </c>
      <c r="D852" t="s">
        <v>24</v>
      </c>
      <c r="E852">
        <v>930782</v>
      </c>
      <c r="F852">
        <v>650708</v>
      </c>
      <c r="G852">
        <v>1060599</v>
      </c>
      <c r="H852">
        <v>50360</v>
      </c>
      <c r="I852">
        <v>6666</v>
      </c>
      <c r="J852">
        <v>2250</v>
      </c>
      <c r="K852">
        <f t="shared" si="26"/>
        <v>9.1094623087467816</v>
      </c>
      <c r="L852">
        <v>491370</v>
      </c>
      <c r="M852">
        <v>1531304</v>
      </c>
      <c r="N852">
        <f t="shared" si="27"/>
        <v>211.63970124346213</v>
      </c>
      <c r="O852">
        <v>45734</v>
      </c>
      <c r="P852">
        <v>45751</v>
      </c>
      <c r="Q852" t="s">
        <v>41</v>
      </c>
    </row>
    <row r="853" spans="1:17" x14ac:dyDescent="0.3">
      <c r="A853" t="s">
        <v>904</v>
      </c>
      <c r="B853" t="s">
        <v>80</v>
      </c>
      <c r="C853" t="s">
        <v>28</v>
      </c>
      <c r="D853" t="s">
        <v>58</v>
      </c>
      <c r="E853">
        <v>1989951</v>
      </c>
      <c r="F853">
        <v>1729643</v>
      </c>
      <c r="G853">
        <v>3838922</v>
      </c>
      <c r="H853">
        <v>81950</v>
      </c>
      <c r="I853">
        <v>3844</v>
      </c>
      <c r="J853">
        <v>1719</v>
      </c>
      <c r="K853">
        <f t="shared" si="26"/>
        <v>5.0595990039563077</v>
      </c>
      <c r="L853">
        <v>259440</v>
      </c>
      <c r="M853">
        <v>1166007</v>
      </c>
      <c r="N853">
        <f t="shared" si="27"/>
        <v>349.43223866790009</v>
      </c>
      <c r="O853">
        <v>46098</v>
      </c>
      <c r="P853">
        <v>46119</v>
      </c>
      <c r="Q853" t="s">
        <v>30</v>
      </c>
    </row>
    <row r="854" spans="1:17" x14ac:dyDescent="0.3">
      <c r="A854" t="s">
        <v>905</v>
      </c>
      <c r="B854" t="s">
        <v>103</v>
      </c>
      <c r="C854" t="s">
        <v>33</v>
      </c>
      <c r="D854" t="s">
        <v>58</v>
      </c>
      <c r="E854">
        <v>319718</v>
      </c>
      <c r="F854">
        <v>250157</v>
      </c>
      <c r="G854">
        <v>514975</v>
      </c>
      <c r="H854">
        <v>20186</v>
      </c>
      <c r="I854">
        <v>1238</v>
      </c>
      <c r="J854">
        <v>1316</v>
      </c>
      <c r="K854">
        <f t="shared" si="26"/>
        <v>9.090291297065443</v>
      </c>
      <c r="L854">
        <v>187429</v>
      </c>
      <c r="M854">
        <v>578896</v>
      </c>
      <c r="N854">
        <f t="shared" si="27"/>
        <v>208.86148888379066</v>
      </c>
      <c r="O854">
        <v>45862</v>
      </c>
      <c r="P854">
        <v>45888</v>
      </c>
      <c r="Q854" t="s">
        <v>30</v>
      </c>
    </row>
    <row r="855" spans="1:17" x14ac:dyDescent="0.3">
      <c r="A855" t="s">
        <v>906</v>
      </c>
      <c r="B855" t="s">
        <v>32</v>
      </c>
      <c r="C855" t="s">
        <v>33</v>
      </c>
      <c r="D855" t="s">
        <v>24</v>
      </c>
      <c r="E855">
        <v>206038</v>
      </c>
      <c r="F855">
        <v>92379</v>
      </c>
      <c r="G855">
        <v>130148</v>
      </c>
      <c r="H855">
        <v>7913</v>
      </c>
      <c r="I855">
        <v>684</v>
      </c>
      <c r="J855">
        <v>566</v>
      </c>
      <c r="K855">
        <f t="shared" si="26"/>
        <v>9.9189209668864127</v>
      </c>
      <c r="L855">
        <v>219767</v>
      </c>
      <c r="M855">
        <v>742671</v>
      </c>
      <c r="N855">
        <f t="shared" si="27"/>
        <v>237.93563182825449</v>
      </c>
      <c r="O855">
        <v>45930</v>
      </c>
      <c r="P855">
        <v>45950</v>
      </c>
      <c r="Q855" t="s">
        <v>34</v>
      </c>
    </row>
    <row r="856" spans="1:17" x14ac:dyDescent="0.3">
      <c r="A856" t="s">
        <v>907</v>
      </c>
      <c r="B856" t="s">
        <v>39</v>
      </c>
      <c r="C856" t="s">
        <v>19</v>
      </c>
      <c r="D856" t="s">
        <v>72</v>
      </c>
      <c r="E856">
        <v>852178</v>
      </c>
      <c r="F856">
        <v>578072</v>
      </c>
      <c r="G856">
        <v>749541</v>
      </c>
      <c r="H856">
        <v>70195</v>
      </c>
      <c r="I856">
        <v>6466</v>
      </c>
      <c r="J856">
        <v>6155</v>
      </c>
      <c r="K856">
        <f t="shared" si="26"/>
        <v>14.326243097745609</v>
      </c>
      <c r="L856">
        <v>202336</v>
      </c>
      <c r="M856">
        <v>784645</v>
      </c>
      <c r="N856">
        <f t="shared" si="27"/>
        <v>287.79307686224894</v>
      </c>
      <c r="O856">
        <v>46105</v>
      </c>
      <c r="P856">
        <v>46116</v>
      </c>
      <c r="Q856" t="s">
        <v>21</v>
      </c>
    </row>
    <row r="857" spans="1:17" x14ac:dyDescent="0.3">
      <c r="A857" t="s">
        <v>908</v>
      </c>
      <c r="B857" t="s">
        <v>27</v>
      </c>
      <c r="C857" t="s">
        <v>33</v>
      </c>
      <c r="D857" t="s">
        <v>72</v>
      </c>
      <c r="E857">
        <v>1973401</v>
      </c>
      <c r="F857">
        <v>1162012</v>
      </c>
      <c r="G857">
        <v>1909308</v>
      </c>
      <c r="H857">
        <v>60161</v>
      </c>
      <c r="I857">
        <v>2020</v>
      </c>
      <c r="J857">
        <v>3844</v>
      </c>
      <c r="K857">
        <f t="shared" si="26"/>
        <v>5.6819550916858006</v>
      </c>
      <c r="L857">
        <v>95240</v>
      </c>
      <c r="M857">
        <v>299487</v>
      </c>
      <c r="N857">
        <f t="shared" si="27"/>
        <v>214.45506089878202</v>
      </c>
      <c r="O857">
        <v>46093</v>
      </c>
      <c r="P857">
        <v>46117</v>
      </c>
      <c r="Q857" t="s">
        <v>41</v>
      </c>
    </row>
    <row r="858" spans="1:17" x14ac:dyDescent="0.3">
      <c r="A858" t="s">
        <v>909</v>
      </c>
      <c r="B858" t="s">
        <v>45</v>
      </c>
      <c r="C858" t="s">
        <v>33</v>
      </c>
      <c r="D858" t="s">
        <v>40</v>
      </c>
      <c r="E858">
        <v>1788258</v>
      </c>
      <c r="F858">
        <v>899080</v>
      </c>
      <c r="G858">
        <v>1263674</v>
      </c>
      <c r="H858">
        <v>113314</v>
      </c>
      <c r="I858">
        <v>6871</v>
      </c>
      <c r="J858">
        <v>7140</v>
      </c>
      <c r="K858">
        <f t="shared" si="26"/>
        <v>14.16169862526138</v>
      </c>
      <c r="L858">
        <v>402327</v>
      </c>
      <c r="M858">
        <v>913703</v>
      </c>
      <c r="N858">
        <f t="shared" si="27"/>
        <v>127.10456916886015</v>
      </c>
      <c r="O858">
        <v>46046</v>
      </c>
      <c r="P858">
        <v>46053</v>
      </c>
      <c r="Q858" t="s">
        <v>78</v>
      </c>
    </row>
    <row r="859" spans="1:17" x14ac:dyDescent="0.3">
      <c r="A859" t="s">
        <v>910</v>
      </c>
      <c r="B859" t="s">
        <v>32</v>
      </c>
      <c r="C859" t="s">
        <v>37</v>
      </c>
      <c r="D859" t="s">
        <v>58</v>
      </c>
      <c r="E859">
        <v>586982</v>
      </c>
      <c r="F859">
        <v>514902</v>
      </c>
      <c r="G859">
        <v>642034</v>
      </c>
      <c r="H859">
        <v>71902</v>
      </c>
      <c r="I859">
        <v>4503</v>
      </c>
      <c r="J859">
        <v>1616</v>
      </c>
      <c r="K859">
        <f t="shared" si="26"/>
        <v>15.152592143747743</v>
      </c>
      <c r="L859">
        <v>446788</v>
      </c>
      <c r="M859">
        <v>689607</v>
      </c>
      <c r="N859">
        <f t="shared" si="27"/>
        <v>54.34769958011406</v>
      </c>
      <c r="O859">
        <v>45890</v>
      </c>
      <c r="P859">
        <v>45902</v>
      </c>
      <c r="Q859" t="s">
        <v>47</v>
      </c>
    </row>
    <row r="860" spans="1:17" x14ac:dyDescent="0.3">
      <c r="A860" t="s">
        <v>911</v>
      </c>
      <c r="B860" t="s">
        <v>39</v>
      </c>
      <c r="C860" t="s">
        <v>19</v>
      </c>
      <c r="D860" t="s">
        <v>46</v>
      </c>
      <c r="E860">
        <v>917649</v>
      </c>
      <c r="F860">
        <v>469216</v>
      </c>
      <c r="G860">
        <v>1096664</v>
      </c>
      <c r="H860">
        <v>22281</v>
      </c>
      <c r="I860">
        <v>2342</v>
      </c>
      <c r="J860">
        <v>774</v>
      </c>
      <c r="K860">
        <f t="shared" si="26"/>
        <v>5.4126457750801338</v>
      </c>
      <c r="L860">
        <v>176397</v>
      </c>
      <c r="M860">
        <v>874883</v>
      </c>
      <c r="N860">
        <f t="shared" si="27"/>
        <v>395.97385443063092</v>
      </c>
      <c r="O860">
        <v>46084</v>
      </c>
      <c r="P860">
        <v>46094</v>
      </c>
      <c r="Q860" t="s">
        <v>30</v>
      </c>
    </row>
    <row r="861" spans="1:17" x14ac:dyDescent="0.3">
      <c r="A861" t="s">
        <v>912</v>
      </c>
      <c r="B861" t="s">
        <v>61</v>
      </c>
      <c r="C861" t="s">
        <v>37</v>
      </c>
      <c r="D861" t="s">
        <v>24</v>
      </c>
      <c r="E861">
        <v>338150</v>
      </c>
      <c r="F861">
        <v>200684</v>
      </c>
      <c r="G861">
        <v>473035</v>
      </c>
      <c r="H861">
        <v>7855</v>
      </c>
      <c r="I861">
        <v>963</v>
      </c>
      <c r="J861">
        <v>492</v>
      </c>
      <c r="K861">
        <f t="shared" si="26"/>
        <v>4.6391341611688031</v>
      </c>
      <c r="L861">
        <v>480023</v>
      </c>
      <c r="M861">
        <v>2192749</v>
      </c>
      <c r="N861">
        <f t="shared" si="27"/>
        <v>356.80081996071021</v>
      </c>
      <c r="O861">
        <v>45709</v>
      </c>
      <c r="P861">
        <v>45727</v>
      </c>
      <c r="Q861" t="s">
        <v>25</v>
      </c>
    </row>
    <row r="862" spans="1:17" x14ac:dyDescent="0.3">
      <c r="A862" t="s">
        <v>913</v>
      </c>
      <c r="B862" t="s">
        <v>75</v>
      </c>
      <c r="C862" t="s">
        <v>19</v>
      </c>
      <c r="D862" t="s">
        <v>46</v>
      </c>
      <c r="E862">
        <v>1169983</v>
      </c>
      <c r="F862">
        <v>717012</v>
      </c>
      <c r="G862">
        <v>2072244</v>
      </c>
      <c r="H862">
        <v>19052</v>
      </c>
      <c r="I862">
        <v>1933</v>
      </c>
      <c r="J862">
        <v>578</v>
      </c>
      <c r="K862">
        <f t="shared" si="26"/>
        <v>3.0073415786625608</v>
      </c>
      <c r="L862">
        <v>474732</v>
      </c>
      <c r="M862">
        <v>1019047</v>
      </c>
      <c r="N862">
        <f t="shared" si="27"/>
        <v>114.65732244719126</v>
      </c>
      <c r="O862">
        <v>45923</v>
      </c>
      <c r="P862">
        <v>45953</v>
      </c>
      <c r="Q862" t="s">
        <v>30</v>
      </c>
    </row>
    <row r="863" spans="1:17" x14ac:dyDescent="0.3">
      <c r="A863" t="s">
        <v>914</v>
      </c>
      <c r="B863" t="s">
        <v>53</v>
      </c>
      <c r="C863" t="s">
        <v>33</v>
      </c>
      <c r="D863" t="s">
        <v>24</v>
      </c>
      <c r="E863">
        <v>1966733</v>
      </c>
      <c r="F863">
        <v>874068</v>
      </c>
      <c r="G863">
        <v>2235221</v>
      </c>
      <c r="H863">
        <v>68873</v>
      </c>
      <c r="I863">
        <v>6028</v>
      </c>
      <c r="J863">
        <v>3722</v>
      </c>
      <c r="K863">
        <f t="shared" si="26"/>
        <v>8.9950667453790789</v>
      </c>
      <c r="L863">
        <v>454942</v>
      </c>
      <c r="M863">
        <v>901956</v>
      </c>
      <c r="N863">
        <f t="shared" si="27"/>
        <v>98.257360278892691</v>
      </c>
      <c r="O863">
        <v>46087</v>
      </c>
      <c r="P863">
        <v>46114</v>
      </c>
      <c r="Q863" t="s">
        <v>47</v>
      </c>
    </row>
    <row r="864" spans="1:17" x14ac:dyDescent="0.3">
      <c r="A864" t="s">
        <v>915</v>
      </c>
      <c r="B864" t="s">
        <v>63</v>
      </c>
      <c r="C864" t="s">
        <v>19</v>
      </c>
      <c r="D864" t="s">
        <v>58</v>
      </c>
      <c r="E864">
        <v>1254901</v>
      </c>
      <c r="F864">
        <v>422481</v>
      </c>
      <c r="G864">
        <v>1135271</v>
      </c>
      <c r="H864">
        <v>56117</v>
      </c>
      <c r="I864">
        <v>8202</v>
      </c>
      <c r="J864">
        <v>3906</v>
      </c>
      <c r="K864">
        <f t="shared" si="26"/>
        <v>16.148655205796235</v>
      </c>
      <c r="L864">
        <v>16723</v>
      </c>
      <c r="M864">
        <v>34977</v>
      </c>
      <c r="N864">
        <f t="shared" si="27"/>
        <v>109.15505591102075</v>
      </c>
      <c r="O864">
        <v>45967</v>
      </c>
      <c r="P864">
        <v>45986</v>
      </c>
      <c r="Q864" t="s">
        <v>54</v>
      </c>
    </row>
    <row r="865" spans="1:17" x14ac:dyDescent="0.3">
      <c r="A865" t="s">
        <v>916</v>
      </c>
      <c r="B865" t="s">
        <v>75</v>
      </c>
      <c r="C865" t="s">
        <v>28</v>
      </c>
      <c r="D865" t="s">
        <v>40</v>
      </c>
      <c r="E865">
        <v>1025145</v>
      </c>
      <c r="F865">
        <v>849933</v>
      </c>
      <c r="G865">
        <v>1252751</v>
      </c>
      <c r="H865">
        <v>120213</v>
      </c>
      <c r="I865">
        <v>6652</v>
      </c>
      <c r="J865">
        <v>3937</v>
      </c>
      <c r="K865">
        <f t="shared" si="26"/>
        <v>15.389683657417702</v>
      </c>
      <c r="L865">
        <v>325839</v>
      </c>
      <c r="M865">
        <v>1438958</v>
      </c>
      <c r="N865">
        <f t="shared" si="27"/>
        <v>341.61625833617217</v>
      </c>
      <c r="O865">
        <v>45674</v>
      </c>
      <c r="P865">
        <v>45704</v>
      </c>
      <c r="Q865" t="s">
        <v>34</v>
      </c>
    </row>
    <row r="866" spans="1:17" x14ac:dyDescent="0.3">
      <c r="A866" t="s">
        <v>917</v>
      </c>
      <c r="B866" t="s">
        <v>49</v>
      </c>
      <c r="C866" t="s">
        <v>43</v>
      </c>
      <c r="D866" t="s">
        <v>29</v>
      </c>
      <c r="E866">
        <v>1722904</v>
      </c>
      <c r="F866">
        <v>1401613</v>
      </c>
      <c r="G866">
        <v>3202834</v>
      </c>
      <c r="H866">
        <v>42353</v>
      </c>
      <c r="I866">
        <v>4447</v>
      </c>
      <c r="J866">
        <v>1261</v>
      </c>
      <c r="K866">
        <f t="shared" si="26"/>
        <v>3.4289778990348978</v>
      </c>
      <c r="L866">
        <v>307043</v>
      </c>
      <c r="M866">
        <v>1348158</v>
      </c>
      <c r="N866">
        <f t="shared" si="27"/>
        <v>339.07791416837381</v>
      </c>
      <c r="O866">
        <v>46043</v>
      </c>
      <c r="P866">
        <v>46059</v>
      </c>
      <c r="Q866" t="s">
        <v>21</v>
      </c>
    </row>
    <row r="867" spans="1:17" x14ac:dyDescent="0.3">
      <c r="A867" t="s">
        <v>918</v>
      </c>
      <c r="B867" t="s">
        <v>27</v>
      </c>
      <c r="C867" t="s">
        <v>19</v>
      </c>
      <c r="D867" t="s">
        <v>46</v>
      </c>
      <c r="E867">
        <v>296677</v>
      </c>
      <c r="F867">
        <v>170289</v>
      </c>
      <c r="G867">
        <v>503321</v>
      </c>
      <c r="H867">
        <v>8164</v>
      </c>
      <c r="I867">
        <v>815</v>
      </c>
      <c r="J867">
        <v>564</v>
      </c>
      <c r="K867">
        <f t="shared" si="26"/>
        <v>5.6040026073322409</v>
      </c>
      <c r="L867">
        <v>255767</v>
      </c>
      <c r="M867">
        <v>485323</v>
      </c>
      <c r="N867">
        <f t="shared" si="27"/>
        <v>89.752000844518648</v>
      </c>
      <c r="O867">
        <v>45921</v>
      </c>
      <c r="P867">
        <v>45931</v>
      </c>
      <c r="Q867" t="s">
        <v>21</v>
      </c>
    </row>
    <row r="868" spans="1:17" x14ac:dyDescent="0.3">
      <c r="A868" t="s">
        <v>919</v>
      </c>
      <c r="B868" t="s">
        <v>23</v>
      </c>
      <c r="C868" t="s">
        <v>37</v>
      </c>
      <c r="D868" t="s">
        <v>72</v>
      </c>
      <c r="E868">
        <v>943144</v>
      </c>
      <c r="F868">
        <v>838819</v>
      </c>
      <c r="G868">
        <v>1714304</v>
      </c>
      <c r="H868">
        <v>18169</v>
      </c>
      <c r="I868">
        <v>2702</v>
      </c>
      <c r="J868">
        <v>1735</v>
      </c>
      <c r="K868">
        <f t="shared" si="26"/>
        <v>2.6949794890196812</v>
      </c>
      <c r="L868">
        <v>255171</v>
      </c>
      <c r="M868">
        <v>547250</v>
      </c>
      <c r="N868">
        <f t="shared" si="27"/>
        <v>114.46402608446884</v>
      </c>
      <c r="O868">
        <v>45738</v>
      </c>
      <c r="P868">
        <v>45756</v>
      </c>
      <c r="Q868" t="s">
        <v>54</v>
      </c>
    </row>
    <row r="869" spans="1:17" x14ac:dyDescent="0.3">
      <c r="A869" t="s">
        <v>920</v>
      </c>
      <c r="B869" t="s">
        <v>18</v>
      </c>
      <c r="C869" t="s">
        <v>43</v>
      </c>
      <c r="D869" t="s">
        <v>24</v>
      </c>
      <c r="E869">
        <v>1531042</v>
      </c>
      <c r="F869">
        <v>939757</v>
      </c>
      <c r="G869">
        <v>2085995</v>
      </c>
      <c r="H869">
        <v>48798</v>
      </c>
      <c r="I869">
        <v>1589</v>
      </c>
      <c r="J869">
        <v>1977</v>
      </c>
      <c r="K869">
        <f t="shared" si="26"/>
        <v>5.5720787395039357</v>
      </c>
      <c r="L869">
        <v>177656</v>
      </c>
      <c r="M869">
        <v>277401</v>
      </c>
      <c r="N869">
        <f t="shared" si="27"/>
        <v>56.145021839960371</v>
      </c>
      <c r="O869">
        <v>45760</v>
      </c>
      <c r="P869">
        <v>45771</v>
      </c>
      <c r="Q869" t="s">
        <v>34</v>
      </c>
    </row>
    <row r="870" spans="1:17" x14ac:dyDescent="0.3">
      <c r="A870" t="s">
        <v>921</v>
      </c>
      <c r="B870" t="s">
        <v>53</v>
      </c>
      <c r="C870" t="s">
        <v>19</v>
      </c>
      <c r="D870" t="s">
        <v>40</v>
      </c>
      <c r="E870">
        <v>1303554</v>
      </c>
      <c r="F870">
        <v>853138</v>
      </c>
      <c r="G870">
        <v>1003872</v>
      </c>
      <c r="H870">
        <v>19206</v>
      </c>
      <c r="I870">
        <v>1870</v>
      </c>
      <c r="J870">
        <v>564</v>
      </c>
      <c r="K870">
        <f t="shared" si="26"/>
        <v>2.5365181248520172</v>
      </c>
      <c r="L870">
        <v>289755</v>
      </c>
      <c r="M870">
        <v>907899</v>
      </c>
      <c r="N870">
        <f t="shared" si="27"/>
        <v>213.33333333333334</v>
      </c>
      <c r="O870">
        <v>45905</v>
      </c>
      <c r="P870">
        <v>45933</v>
      </c>
      <c r="Q870" t="s">
        <v>21</v>
      </c>
    </row>
    <row r="871" spans="1:17" x14ac:dyDescent="0.3">
      <c r="A871" t="s">
        <v>922</v>
      </c>
      <c r="B871" t="s">
        <v>75</v>
      </c>
      <c r="C871" t="s">
        <v>33</v>
      </c>
      <c r="D871" t="s">
        <v>51</v>
      </c>
      <c r="E871">
        <v>1931849</v>
      </c>
      <c r="F871">
        <v>1485939</v>
      </c>
      <c r="G871">
        <v>3923449</v>
      </c>
      <c r="H871">
        <v>109893</v>
      </c>
      <c r="I871">
        <v>14820</v>
      </c>
      <c r="J871">
        <v>2211</v>
      </c>
      <c r="K871">
        <f t="shared" si="26"/>
        <v>8.5416696109328853</v>
      </c>
      <c r="L871">
        <v>357788</v>
      </c>
      <c r="M871">
        <v>1161552</v>
      </c>
      <c r="N871">
        <f t="shared" si="27"/>
        <v>224.64811564390087</v>
      </c>
      <c r="O871">
        <v>45661</v>
      </c>
      <c r="P871">
        <v>45677</v>
      </c>
      <c r="Q871" t="s">
        <v>25</v>
      </c>
    </row>
    <row r="872" spans="1:17" x14ac:dyDescent="0.3">
      <c r="A872" t="s">
        <v>923</v>
      </c>
      <c r="B872" t="s">
        <v>23</v>
      </c>
      <c r="C872" t="s">
        <v>19</v>
      </c>
      <c r="D872" t="s">
        <v>40</v>
      </c>
      <c r="E872">
        <v>1902494</v>
      </c>
      <c r="F872">
        <v>1625030</v>
      </c>
      <c r="G872">
        <v>1965894</v>
      </c>
      <c r="H872">
        <v>180416</v>
      </c>
      <c r="I872">
        <v>20017</v>
      </c>
      <c r="J872">
        <v>17124</v>
      </c>
      <c r="K872">
        <f t="shared" si="26"/>
        <v>13.387875916136933</v>
      </c>
      <c r="L872">
        <v>167495</v>
      </c>
      <c r="M872">
        <v>700877</v>
      </c>
      <c r="N872">
        <f t="shared" si="27"/>
        <v>318.44652079166542</v>
      </c>
      <c r="O872">
        <v>46049</v>
      </c>
      <c r="P872">
        <v>46072</v>
      </c>
      <c r="Q872" t="s">
        <v>34</v>
      </c>
    </row>
    <row r="873" spans="1:17" x14ac:dyDescent="0.3">
      <c r="A873" t="s">
        <v>924</v>
      </c>
      <c r="B873" t="s">
        <v>103</v>
      </c>
      <c r="C873" t="s">
        <v>37</v>
      </c>
      <c r="D873" t="s">
        <v>24</v>
      </c>
      <c r="E873">
        <v>278734</v>
      </c>
      <c r="F873">
        <v>180758</v>
      </c>
      <c r="G873">
        <v>325578</v>
      </c>
      <c r="H873">
        <v>24988</v>
      </c>
      <c r="I873">
        <v>3041</v>
      </c>
      <c r="J873">
        <v>1942</v>
      </c>
      <c r="K873">
        <f t="shared" si="26"/>
        <v>16.58073224974828</v>
      </c>
      <c r="L873">
        <v>98009</v>
      </c>
      <c r="M873">
        <v>381862</v>
      </c>
      <c r="N873">
        <f t="shared" si="27"/>
        <v>289.61932067463192</v>
      </c>
      <c r="O873">
        <v>45714</v>
      </c>
      <c r="P873">
        <v>45743</v>
      </c>
      <c r="Q873" t="s">
        <v>25</v>
      </c>
    </row>
    <row r="874" spans="1:17" x14ac:dyDescent="0.3">
      <c r="A874" t="s">
        <v>925</v>
      </c>
      <c r="B874" t="s">
        <v>63</v>
      </c>
      <c r="C874" t="s">
        <v>37</v>
      </c>
      <c r="D874" t="s">
        <v>72</v>
      </c>
      <c r="E874">
        <v>1156631</v>
      </c>
      <c r="F874">
        <v>295027</v>
      </c>
      <c r="G874">
        <v>392442</v>
      </c>
      <c r="H874">
        <v>31568</v>
      </c>
      <c r="I874">
        <v>2071</v>
      </c>
      <c r="J874">
        <v>874</v>
      </c>
      <c r="K874">
        <f t="shared" si="26"/>
        <v>11.698251346486932</v>
      </c>
      <c r="L874">
        <v>432471</v>
      </c>
      <c r="M874">
        <v>2095029</v>
      </c>
      <c r="N874">
        <f t="shared" si="27"/>
        <v>384.4322509486185</v>
      </c>
      <c r="O874">
        <v>45794</v>
      </c>
      <c r="P874">
        <v>45824</v>
      </c>
      <c r="Q874" t="s">
        <v>47</v>
      </c>
    </row>
    <row r="875" spans="1:17" x14ac:dyDescent="0.3">
      <c r="A875" t="s">
        <v>926</v>
      </c>
      <c r="B875" t="s">
        <v>103</v>
      </c>
      <c r="C875" t="s">
        <v>28</v>
      </c>
      <c r="D875" t="s">
        <v>58</v>
      </c>
      <c r="E875">
        <v>1938274</v>
      </c>
      <c r="F875">
        <v>1314070</v>
      </c>
      <c r="G875">
        <v>2420894</v>
      </c>
      <c r="H875">
        <v>165433</v>
      </c>
      <c r="I875">
        <v>24324</v>
      </c>
      <c r="J875">
        <v>5393</v>
      </c>
      <c r="K875">
        <f t="shared" si="26"/>
        <v>14.850807034632856</v>
      </c>
      <c r="L875">
        <v>464583</v>
      </c>
      <c r="M875">
        <v>1808425</v>
      </c>
      <c r="N875">
        <f t="shared" si="27"/>
        <v>289.2576783911594</v>
      </c>
      <c r="O875">
        <v>46062</v>
      </c>
      <c r="P875">
        <v>46079</v>
      </c>
      <c r="Q875" t="s">
        <v>30</v>
      </c>
    </row>
    <row r="876" spans="1:17" x14ac:dyDescent="0.3">
      <c r="A876" t="s">
        <v>927</v>
      </c>
      <c r="B876" t="s">
        <v>61</v>
      </c>
      <c r="C876" t="s">
        <v>43</v>
      </c>
      <c r="D876" t="s">
        <v>40</v>
      </c>
      <c r="E876">
        <v>1764152</v>
      </c>
      <c r="F876">
        <v>620759</v>
      </c>
      <c r="G876">
        <v>1432010</v>
      </c>
      <c r="H876">
        <v>91825</v>
      </c>
      <c r="I876">
        <v>10965</v>
      </c>
      <c r="J876">
        <v>5877</v>
      </c>
      <c r="K876">
        <f t="shared" si="26"/>
        <v>17.505505357151488</v>
      </c>
      <c r="L876">
        <v>30976</v>
      </c>
      <c r="M876">
        <v>119269</v>
      </c>
      <c r="N876">
        <f t="shared" si="27"/>
        <v>285.03680268595042</v>
      </c>
      <c r="O876">
        <v>45819</v>
      </c>
      <c r="P876">
        <v>45844</v>
      </c>
      <c r="Q876" t="s">
        <v>21</v>
      </c>
    </row>
    <row r="877" spans="1:17" x14ac:dyDescent="0.3">
      <c r="A877" t="s">
        <v>928</v>
      </c>
      <c r="B877" t="s">
        <v>32</v>
      </c>
      <c r="C877" t="s">
        <v>33</v>
      </c>
      <c r="D877" t="s">
        <v>51</v>
      </c>
      <c r="E877">
        <v>388438</v>
      </c>
      <c r="F877">
        <v>307045</v>
      </c>
      <c r="G877">
        <v>809541</v>
      </c>
      <c r="H877">
        <v>32330</v>
      </c>
      <c r="I877">
        <v>4567</v>
      </c>
      <c r="J877">
        <v>1197</v>
      </c>
      <c r="K877">
        <f t="shared" si="26"/>
        <v>12.40665049097038</v>
      </c>
      <c r="L877">
        <v>360732</v>
      </c>
      <c r="M877">
        <v>612751</v>
      </c>
      <c r="N877">
        <f t="shared" si="27"/>
        <v>69.863222558575345</v>
      </c>
      <c r="O877">
        <v>46044</v>
      </c>
      <c r="P877">
        <v>46065</v>
      </c>
      <c r="Q877" t="s">
        <v>41</v>
      </c>
    </row>
    <row r="878" spans="1:17" x14ac:dyDescent="0.3">
      <c r="A878" t="s">
        <v>929</v>
      </c>
      <c r="B878" t="s">
        <v>18</v>
      </c>
      <c r="C878" t="s">
        <v>33</v>
      </c>
      <c r="D878" t="s">
        <v>20</v>
      </c>
      <c r="E878">
        <v>1593588</v>
      </c>
      <c r="F878">
        <v>1092007</v>
      </c>
      <c r="G878">
        <v>1323028</v>
      </c>
      <c r="H878">
        <v>70108</v>
      </c>
      <c r="I878">
        <v>9743</v>
      </c>
      <c r="J878">
        <v>1830</v>
      </c>
      <c r="K878">
        <f t="shared" si="26"/>
        <v>7.4798971068866775</v>
      </c>
      <c r="L878">
        <v>33454</v>
      </c>
      <c r="M878">
        <v>51350</v>
      </c>
      <c r="N878">
        <f t="shared" si="27"/>
        <v>53.49435045136606</v>
      </c>
      <c r="O878">
        <v>46017</v>
      </c>
      <c r="P878">
        <v>46024</v>
      </c>
      <c r="Q878" t="s">
        <v>25</v>
      </c>
    </row>
    <row r="879" spans="1:17" x14ac:dyDescent="0.3">
      <c r="A879" t="s">
        <v>930</v>
      </c>
      <c r="B879" t="s">
        <v>18</v>
      </c>
      <c r="C879" t="s">
        <v>19</v>
      </c>
      <c r="D879" t="s">
        <v>58</v>
      </c>
      <c r="E879">
        <v>83023</v>
      </c>
      <c r="F879">
        <v>62471</v>
      </c>
      <c r="G879">
        <v>147642</v>
      </c>
      <c r="H879">
        <v>3918</v>
      </c>
      <c r="I879">
        <v>377</v>
      </c>
      <c r="J879">
        <v>295</v>
      </c>
      <c r="K879">
        <f t="shared" si="26"/>
        <v>7.34740919786781</v>
      </c>
      <c r="L879">
        <v>329606</v>
      </c>
      <c r="M879">
        <v>1527225</v>
      </c>
      <c r="N879">
        <f t="shared" si="27"/>
        <v>363.348664769452</v>
      </c>
      <c r="O879">
        <v>45751</v>
      </c>
      <c r="P879">
        <v>45774</v>
      </c>
      <c r="Q879" t="s">
        <v>30</v>
      </c>
    </row>
    <row r="880" spans="1:17" x14ac:dyDescent="0.3">
      <c r="A880" t="s">
        <v>931</v>
      </c>
      <c r="B880" t="s">
        <v>53</v>
      </c>
      <c r="C880" t="s">
        <v>19</v>
      </c>
      <c r="D880" t="s">
        <v>46</v>
      </c>
      <c r="E880">
        <v>1735258</v>
      </c>
      <c r="F880">
        <v>435793</v>
      </c>
      <c r="G880">
        <v>1048784</v>
      </c>
      <c r="H880">
        <v>32508</v>
      </c>
      <c r="I880">
        <v>4383</v>
      </c>
      <c r="J880">
        <v>2879</v>
      </c>
      <c r="K880">
        <f t="shared" si="26"/>
        <v>9.1258923387938768</v>
      </c>
      <c r="L880">
        <v>446020</v>
      </c>
      <c r="M880">
        <v>1804411</v>
      </c>
      <c r="N880">
        <f t="shared" si="27"/>
        <v>304.55831577059325</v>
      </c>
      <c r="O880">
        <v>45789</v>
      </c>
      <c r="P880">
        <v>45799</v>
      </c>
      <c r="Q880" t="s">
        <v>25</v>
      </c>
    </row>
    <row r="881" spans="1:17" x14ac:dyDescent="0.3">
      <c r="A881" t="s">
        <v>932</v>
      </c>
      <c r="B881" t="s">
        <v>23</v>
      </c>
      <c r="C881" t="s">
        <v>33</v>
      </c>
      <c r="D881" t="s">
        <v>51</v>
      </c>
      <c r="E881">
        <v>1477957</v>
      </c>
      <c r="F881">
        <v>965695</v>
      </c>
      <c r="G881">
        <v>1168372</v>
      </c>
      <c r="H881">
        <v>23810</v>
      </c>
      <c r="I881">
        <v>3143</v>
      </c>
      <c r="J881">
        <v>950</v>
      </c>
      <c r="K881">
        <f t="shared" si="26"/>
        <v>2.8894216082717628</v>
      </c>
      <c r="L881">
        <v>166901</v>
      </c>
      <c r="M881">
        <v>466528</v>
      </c>
      <c r="N881">
        <f t="shared" si="27"/>
        <v>179.52378955189005</v>
      </c>
      <c r="O881">
        <v>46083</v>
      </c>
      <c r="P881">
        <v>46101</v>
      </c>
      <c r="Q881" t="s">
        <v>41</v>
      </c>
    </row>
    <row r="882" spans="1:17" x14ac:dyDescent="0.3">
      <c r="A882" t="s">
        <v>933</v>
      </c>
      <c r="B882" t="s">
        <v>18</v>
      </c>
      <c r="C882" t="s">
        <v>33</v>
      </c>
      <c r="D882" t="s">
        <v>58</v>
      </c>
      <c r="E882">
        <v>430694</v>
      </c>
      <c r="F882">
        <v>170998</v>
      </c>
      <c r="G882">
        <v>415011</v>
      </c>
      <c r="H882">
        <v>3503</v>
      </c>
      <c r="I882">
        <v>137</v>
      </c>
      <c r="J882">
        <v>105</v>
      </c>
      <c r="K882">
        <f t="shared" si="26"/>
        <v>2.1900840945508135</v>
      </c>
      <c r="L882">
        <v>496933</v>
      </c>
      <c r="M882">
        <v>656083</v>
      </c>
      <c r="N882">
        <f t="shared" si="27"/>
        <v>32.026450245807787</v>
      </c>
      <c r="O882">
        <v>46132</v>
      </c>
      <c r="P882">
        <v>46145</v>
      </c>
      <c r="Q882" t="s">
        <v>54</v>
      </c>
    </row>
    <row r="883" spans="1:17" x14ac:dyDescent="0.3">
      <c r="A883" t="s">
        <v>934</v>
      </c>
      <c r="B883" t="s">
        <v>63</v>
      </c>
      <c r="C883" t="s">
        <v>19</v>
      </c>
      <c r="D883" t="s">
        <v>46</v>
      </c>
      <c r="E883">
        <v>353241</v>
      </c>
      <c r="F883">
        <v>133887</v>
      </c>
      <c r="G883">
        <v>305939</v>
      </c>
      <c r="H883">
        <v>7937</v>
      </c>
      <c r="I883">
        <v>723</v>
      </c>
      <c r="J883">
        <v>228</v>
      </c>
      <c r="K883">
        <f t="shared" si="26"/>
        <v>6.6384339032168924</v>
      </c>
      <c r="L883">
        <v>354856</v>
      </c>
      <c r="M883">
        <v>1604504</v>
      </c>
      <c r="N883">
        <f t="shared" si="27"/>
        <v>352.15636765335796</v>
      </c>
      <c r="O883">
        <v>45917</v>
      </c>
      <c r="P883">
        <v>45944</v>
      </c>
      <c r="Q883" t="s">
        <v>41</v>
      </c>
    </row>
    <row r="884" spans="1:17" x14ac:dyDescent="0.3">
      <c r="A884" t="s">
        <v>935</v>
      </c>
      <c r="B884" t="s">
        <v>36</v>
      </c>
      <c r="C884" t="s">
        <v>37</v>
      </c>
      <c r="D884" t="s">
        <v>58</v>
      </c>
      <c r="E884">
        <v>839431</v>
      </c>
      <c r="F884">
        <v>446174</v>
      </c>
      <c r="G884">
        <v>1194144</v>
      </c>
      <c r="H884">
        <v>42560</v>
      </c>
      <c r="I884">
        <v>2290</v>
      </c>
      <c r="J884">
        <v>2443</v>
      </c>
      <c r="K884">
        <f t="shared" si="26"/>
        <v>10.599676359447212</v>
      </c>
      <c r="L884">
        <v>190522</v>
      </c>
      <c r="M884">
        <v>762545</v>
      </c>
      <c r="N884">
        <f t="shared" si="27"/>
        <v>300.2398673119115</v>
      </c>
      <c r="O884">
        <v>45947</v>
      </c>
      <c r="P884">
        <v>45977</v>
      </c>
      <c r="Q884" t="s">
        <v>21</v>
      </c>
    </row>
    <row r="885" spans="1:17" x14ac:dyDescent="0.3">
      <c r="A885" t="s">
        <v>936</v>
      </c>
      <c r="B885" t="s">
        <v>53</v>
      </c>
      <c r="C885" t="s">
        <v>33</v>
      </c>
      <c r="D885" t="s">
        <v>51</v>
      </c>
      <c r="E885">
        <v>647348</v>
      </c>
      <c r="F885">
        <v>312143</v>
      </c>
      <c r="G885">
        <v>633459</v>
      </c>
      <c r="H885">
        <v>37494</v>
      </c>
      <c r="I885">
        <v>4143</v>
      </c>
      <c r="J885">
        <v>1195</v>
      </c>
      <c r="K885">
        <f t="shared" si="26"/>
        <v>13.721915916743288</v>
      </c>
      <c r="L885">
        <v>337172</v>
      </c>
      <c r="M885">
        <v>541036</v>
      </c>
      <c r="N885">
        <f t="shared" si="27"/>
        <v>60.462909138362619</v>
      </c>
      <c r="O885">
        <v>46111</v>
      </c>
      <c r="P885">
        <v>46127</v>
      </c>
      <c r="Q885" t="s">
        <v>41</v>
      </c>
    </row>
    <row r="886" spans="1:17" x14ac:dyDescent="0.3">
      <c r="A886" t="s">
        <v>937</v>
      </c>
      <c r="B886" t="s">
        <v>36</v>
      </c>
      <c r="C886" t="s">
        <v>33</v>
      </c>
      <c r="D886" t="s">
        <v>29</v>
      </c>
      <c r="E886">
        <v>961152</v>
      </c>
      <c r="F886">
        <v>324621</v>
      </c>
      <c r="G886">
        <v>741925</v>
      </c>
      <c r="H886">
        <v>47683</v>
      </c>
      <c r="I886">
        <v>5312</v>
      </c>
      <c r="J886">
        <v>2099</v>
      </c>
      <c r="K886">
        <f t="shared" si="26"/>
        <v>16.97179172019062</v>
      </c>
      <c r="L886">
        <v>139251</v>
      </c>
      <c r="M886">
        <v>356085</v>
      </c>
      <c r="N886">
        <f t="shared" si="27"/>
        <v>155.71450115259495</v>
      </c>
      <c r="O886">
        <v>46136</v>
      </c>
      <c r="P886">
        <v>46157</v>
      </c>
      <c r="Q886" t="s">
        <v>34</v>
      </c>
    </row>
    <row r="887" spans="1:17" x14ac:dyDescent="0.3">
      <c r="A887" t="s">
        <v>938</v>
      </c>
      <c r="B887" t="s">
        <v>45</v>
      </c>
      <c r="C887" t="s">
        <v>43</v>
      </c>
      <c r="D887" t="s">
        <v>51</v>
      </c>
      <c r="E887">
        <v>763792</v>
      </c>
      <c r="F887">
        <v>450824</v>
      </c>
      <c r="G887">
        <v>566470</v>
      </c>
      <c r="H887">
        <v>38896</v>
      </c>
      <c r="I887">
        <v>2615</v>
      </c>
      <c r="J887">
        <v>3003</v>
      </c>
      <c r="K887">
        <f t="shared" si="26"/>
        <v>9.8739197558248897</v>
      </c>
      <c r="L887">
        <v>486414</v>
      </c>
      <c r="M887">
        <v>826102</v>
      </c>
      <c r="N887">
        <f t="shared" si="27"/>
        <v>69.835160994543742</v>
      </c>
      <c r="O887">
        <v>46052</v>
      </c>
      <c r="P887">
        <v>46062</v>
      </c>
      <c r="Q887" t="s">
        <v>21</v>
      </c>
    </row>
    <row r="888" spans="1:17" x14ac:dyDescent="0.3">
      <c r="A888" t="s">
        <v>939</v>
      </c>
      <c r="B888" t="s">
        <v>75</v>
      </c>
      <c r="C888" t="s">
        <v>43</v>
      </c>
      <c r="D888" t="s">
        <v>46</v>
      </c>
      <c r="E888">
        <v>437276</v>
      </c>
      <c r="F888">
        <v>357881</v>
      </c>
      <c r="G888">
        <v>931026</v>
      </c>
      <c r="H888">
        <v>34284</v>
      </c>
      <c r="I888">
        <v>3759</v>
      </c>
      <c r="J888">
        <v>1995</v>
      </c>
      <c r="K888">
        <f t="shared" si="26"/>
        <v>11.187517638544655</v>
      </c>
      <c r="L888">
        <v>23098</v>
      </c>
      <c r="M888">
        <v>29001</v>
      </c>
      <c r="N888">
        <f t="shared" si="27"/>
        <v>25.556325222963029</v>
      </c>
      <c r="O888">
        <v>46060</v>
      </c>
      <c r="P888">
        <v>46075</v>
      </c>
      <c r="Q888" t="s">
        <v>47</v>
      </c>
    </row>
    <row r="889" spans="1:17" x14ac:dyDescent="0.3">
      <c r="A889" t="s">
        <v>940</v>
      </c>
      <c r="B889" t="s">
        <v>57</v>
      </c>
      <c r="C889" t="s">
        <v>33</v>
      </c>
      <c r="D889" t="s">
        <v>46</v>
      </c>
      <c r="E889">
        <v>1667991</v>
      </c>
      <c r="F889">
        <v>671915</v>
      </c>
      <c r="G889">
        <v>1263992</v>
      </c>
      <c r="H889">
        <v>70318</v>
      </c>
      <c r="I889">
        <v>5917</v>
      </c>
      <c r="J889">
        <v>3654</v>
      </c>
      <c r="K889">
        <f t="shared" si="26"/>
        <v>11.889747959191267</v>
      </c>
      <c r="L889">
        <v>366033</v>
      </c>
      <c r="M889">
        <v>978314</v>
      </c>
      <c r="N889">
        <f t="shared" si="27"/>
        <v>167.27480855551275</v>
      </c>
      <c r="O889">
        <v>45904</v>
      </c>
      <c r="P889">
        <v>45917</v>
      </c>
      <c r="Q889" t="s">
        <v>21</v>
      </c>
    </row>
    <row r="890" spans="1:17" x14ac:dyDescent="0.3">
      <c r="A890" t="s">
        <v>941</v>
      </c>
      <c r="B890" t="s">
        <v>39</v>
      </c>
      <c r="C890" t="s">
        <v>28</v>
      </c>
      <c r="D890" t="s">
        <v>40</v>
      </c>
      <c r="E890">
        <v>1862286</v>
      </c>
      <c r="F890">
        <v>892080</v>
      </c>
      <c r="G890">
        <v>1465480</v>
      </c>
      <c r="H890">
        <v>105439</v>
      </c>
      <c r="I890">
        <v>6455</v>
      </c>
      <c r="J890">
        <v>10069</v>
      </c>
      <c r="K890">
        <f t="shared" si="26"/>
        <v>13.671755896332167</v>
      </c>
      <c r="L890">
        <v>310826</v>
      </c>
      <c r="M890">
        <v>978578</v>
      </c>
      <c r="N890">
        <f t="shared" si="27"/>
        <v>214.8314491065741</v>
      </c>
      <c r="O890">
        <v>45854</v>
      </c>
      <c r="P890">
        <v>45876</v>
      </c>
      <c r="Q890" t="s">
        <v>25</v>
      </c>
    </row>
    <row r="891" spans="1:17" x14ac:dyDescent="0.3">
      <c r="A891" t="s">
        <v>942</v>
      </c>
      <c r="B891" t="s">
        <v>23</v>
      </c>
      <c r="C891" t="s">
        <v>37</v>
      </c>
      <c r="D891" t="s">
        <v>20</v>
      </c>
      <c r="E891">
        <v>1760158</v>
      </c>
      <c r="F891">
        <v>1504338</v>
      </c>
      <c r="G891">
        <v>2690297</v>
      </c>
      <c r="H891">
        <v>213683</v>
      </c>
      <c r="I891">
        <v>14655</v>
      </c>
      <c r="J891">
        <v>15436</v>
      </c>
      <c r="K891">
        <f t="shared" si="26"/>
        <v>16.204735903766306</v>
      </c>
      <c r="L891">
        <v>126993</v>
      </c>
      <c r="M891">
        <v>205300</v>
      </c>
      <c r="N891">
        <f t="shared" si="27"/>
        <v>61.66245383603821</v>
      </c>
      <c r="O891">
        <v>46132</v>
      </c>
      <c r="P891">
        <v>46159</v>
      </c>
      <c r="Q891" t="s">
        <v>34</v>
      </c>
    </row>
    <row r="892" spans="1:17" x14ac:dyDescent="0.3">
      <c r="A892" t="s">
        <v>943</v>
      </c>
      <c r="B892" t="s">
        <v>23</v>
      </c>
      <c r="C892" t="s">
        <v>33</v>
      </c>
      <c r="D892" t="s">
        <v>72</v>
      </c>
      <c r="E892">
        <v>1964635</v>
      </c>
      <c r="F892">
        <v>1511528</v>
      </c>
      <c r="G892">
        <v>3298635</v>
      </c>
      <c r="H892">
        <v>148717</v>
      </c>
      <c r="I892">
        <v>18054</v>
      </c>
      <c r="J892">
        <v>6570</v>
      </c>
      <c r="K892">
        <f t="shared" si="26"/>
        <v>11.467931788230189</v>
      </c>
      <c r="L892">
        <v>391350</v>
      </c>
      <c r="M892">
        <v>1030636</v>
      </c>
      <c r="N892">
        <f t="shared" si="27"/>
        <v>163.35403091861505</v>
      </c>
      <c r="O892">
        <v>45690</v>
      </c>
      <c r="P892">
        <v>45709</v>
      </c>
      <c r="Q892" t="s">
        <v>30</v>
      </c>
    </row>
    <row r="893" spans="1:17" x14ac:dyDescent="0.3">
      <c r="A893" t="s">
        <v>944</v>
      </c>
      <c r="B893" t="s">
        <v>23</v>
      </c>
      <c r="C893" t="s">
        <v>28</v>
      </c>
      <c r="D893" t="s">
        <v>58</v>
      </c>
      <c r="E893">
        <v>1559767</v>
      </c>
      <c r="F893">
        <v>1018340</v>
      </c>
      <c r="G893">
        <v>2957334</v>
      </c>
      <c r="H893">
        <v>127789</v>
      </c>
      <c r="I893">
        <v>4092</v>
      </c>
      <c r="J893">
        <v>7919</v>
      </c>
      <c r="K893">
        <f t="shared" si="26"/>
        <v>13.728224365143271</v>
      </c>
      <c r="L893">
        <v>230005</v>
      </c>
      <c r="M893">
        <v>371014</v>
      </c>
      <c r="N893">
        <f t="shared" si="27"/>
        <v>61.306928110258475</v>
      </c>
      <c r="O893">
        <v>45862</v>
      </c>
      <c r="P893">
        <v>45877</v>
      </c>
      <c r="Q893" t="s">
        <v>25</v>
      </c>
    </row>
    <row r="894" spans="1:17" x14ac:dyDescent="0.3">
      <c r="A894" t="s">
        <v>945</v>
      </c>
      <c r="B894" t="s">
        <v>45</v>
      </c>
      <c r="C894" t="s">
        <v>33</v>
      </c>
      <c r="D894" t="s">
        <v>51</v>
      </c>
      <c r="E894">
        <v>849641</v>
      </c>
      <c r="F894">
        <v>422823</v>
      </c>
      <c r="G894">
        <v>877096</v>
      </c>
      <c r="H894">
        <v>36741</v>
      </c>
      <c r="I894">
        <v>3579</v>
      </c>
      <c r="J894">
        <v>1861</v>
      </c>
      <c r="K894">
        <f t="shared" si="26"/>
        <v>9.9760419844710437</v>
      </c>
      <c r="L894">
        <v>208827</v>
      </c>
      <c r="M894">
        <v>959534</v>
      </c>
      <c r="N894">
        <f t="shared" si="27"/>
        <v>359.48751837645517</v>
      </c>
      <c r="O894">
        <v>46126</v>
      </c>
      <c r="P894">
        <v>46138</v>
      </c>
      <c r="Q894" t="s">
        <v>78</v>
      </c>
    </row>
    <row r="895" spans="1:17" x14ac:dyDescent="0.3">
      <c r="A895" t="s">
        <v>946</v>
      </c>
      <c r="B895" t="s">
        <v>39</v>
      </c>
      <c r="C895" t="s">
        <v>37</v>
      </c>
      <c r="D895" t="s">
        <v>58</v>
      </c>
      <c r="E895">
        <v>1056212</v>
      </c>
      <c r="F895">
        <v>751859</v>
      </c>
      <c r="G895">
        <v>1752462</v>
      </c>
      <c r="H895">
        <v>24274</v>
      </c>
      <c r="I895">
        <v>1922</v>
      </c>
      <c r="J895">
        <v>715</v>
      </c>
      <c r="K895">
        <f t="shared" si="26"/>
        <v>3.5792615370701157</v>
      </c>
      <c r="L895">
        <v>84489</v>
      </c>
      <c r="M895">
        <v>152145</v>
      </c>
      <c r="N895">
        <f t="shared" si="27"/>
        <v>80.07669637467599</v>
      </c>
      <c r="O895">
        <v>46135</v>
      </c>
      <c r="P895">
        <v>46165</v>
      </c>
      <c r="Q895" t="s">
        <v>25</v>
      </c>
    </row>
    <row r="896" spans="1:17" x14ac:dyDescent="0.3">
      <c r="A896" t="s">
        <v>947</v>
      </c>
      <c r="B896" t="s">
        <v>53</v>
      </c>
      <c r="C896" t="s">
        <v>37</v>
      </c>
      <c r="D896" t="s">
        <v>29</v>
      </c>
      <c r="E896">
        <v>1882705</v>
      </c>
      <c r="F896">
        <v>1623671</v>
      </c>
      <c r="G896">
        <v>2114275</v>
      </c>
      <c r="H896">
        <v>36256</v>
      </c>
      <c r="I896">
        <v>4658</v>
      </c>
      <c r="J896">
        <v>2995</v>
      </c>
      <c r="K896">
        <f t="shared" si="26"/>
        <v>2.7043040123276207</v>
      </c>
      <c r="L896">
        <v>176316</v>
      </c>
      <c r="M896">
        <v>795694</v>
      </c>
      <c r="N896">
        <f t="shared" si="27"/>
        <v>351.2885954763039</v>
      </c>
      <c r="O896">
        <v>45746</v>
      </c>
      <c r="P896">
        <v>45774</v>
      </c>
      <c r="Q896" t="s">
        <v>54</v>
      </c>
    </row>
    <row r="897" spans="1:17" x14ac:dyDescent="0.3">
      <c r="A897" t="s">
        <v>948</v>
      </c>
      <c r="B897" t="s">
        <v>39</v>
      </c>
      <c r="C897" t="s">
        <v>33</v>
      </c>
      <c r="D897" t="s">
        <v>20</v>
      </c>
      <c r="E897">
        <v>924950</v>
      </c>
      <c r="F897">
        <v>435628</v>
      </c>
      <c r="G897">
        <v>1251799</v>
      </c>
      <c r="H897">
        <v>36981</v>
      </c>
      <c r="I897">
        <v>2230</v>
      </c>
      <c r="J897">
        <v>3497</v>
      </c>
      <c r="K897">
        <f t="shared" si="26"/>
        <v>9.8037775349610214</v>
      </c>
      <c r="L897">
        <v>161490</v>
      </c>
      <c r="M897">
        <v>605229</v>
      </c>
      <c r="N897">
        <f t="shared" si="27"/>
        <v>274.77800483002045</v>
      </c>
      <c r="O897">
        <v>45700</v>
      </c>
      <c r="P897">
        <v>45726</v>
      </c>
      <c r="Q897" t="s">
        <v>41</v>
      </c>
    </row>
    <row r="898" spans="1:17" x14ac:dyDescent="0.3">
      <c r="A898" t="s">
        <v>949</v>
      </c>
      <c r="B898" t="s">
        <v>32</v>
      </c>
      <c r="C898" t="s">
        <v>37</v>
      </c>
      <c r="D898" t="s">
        <v>46</v>
      </c>
      <c r="E898">
        <v>471801</v>
      </c>
      <c r="F898">
        <v>295985</v>
      </c>
      <c r="G898">
        <v>782184</v>
      </c>
      <c r="H898">
        <v>17356</v>
      </c>
      <c r="I898">
        <v>656</v>
      </c>
      <c r="J898">
        <v>722</v>
      </c>
      <c r="K898">
        <f t="shared" ref="K898:K961" si="28">((H898+I898+J898)/F898)*100</f>
        <v>6.329374799398618</v>
      </c>
      <c r="L898">
        <v>86215</v>
      </c>
      <c r="M898">
        <v>264926</v>
      </c>
      <c r="N898">
        <f t="shared" ref="N898:N961" si="29">((M898-L898)/L898)*100</f>
        <v>207.2852751841327</v>
      </c>
      <c r="O898">
        <v>46058</v>
      </c>
      <c r="P898">
        <v>46087</v>
      </c>
      <c r="Q898" t="s">
        <v>47</v>
      </c>
    </row>
    <row r="899" spans="1:17" x14ac:dyDescent="0.3">
      <c r="A899" t="s">
        <v>950</v>
      </c>
      <c r="B899" t="s">
        <v>36</v>
      </c>
      <c r="C899" t="s">
        <v>37</v>
      </c>
      <c r="D899" t="s">
        <v>46</v>
      </c>
      <c r="E899">
        <v>334815</v>
      </c>
      <c r="F899">
        <v>213443</v>
      </c>
      <c r="G899">
        <v>503277</v>
      </c>
      <c r="H899">
        <v>16097</v>
      </c>
      <c r="I899">
        <v>897</v>
      </c>
      <c r="J899">
        <v>449</v>
      </c>
      <c r="K899">
        <f t="shared" si="28"/>
        <v>8.1722052257511368</v>
      </c>
      <c r="L899">
        <v>90330</v>
      </c>
      <c r="M899">
        <v>354746</v>
      </c>
      <c r="N899">
        <f t="shared" si="29"/>
        <v>292.72224067308758</v>
      </c>
      <c r="O899">
        <v>45968</v>
      </c>
      <c r="P899">
        <v>45996</v>
      </c>
      <c r="Q899" t="s">
        <v>47</v>
      </c>
    </row>
    <row r="900" spans="1:17" x14ac:dyDescent="0.3">
      <c r="A900" t="s">
        <v>951</v>
      </c>
      <c r="B900" t="s">
        <v>32</v>
      </c>
      <c r="C900" t="s">
        <v>43</v>
      </c>
      <c r="D900" t="s">
        <v>24</v>
      </c>
      <c r="E900">
        <v>965239</v>
      </c>
      <c r="F900">
        <v>621827</v>
      </c>
      <c r="G900">
        <v>732261</v>
      </c>
      <c r="H900">
        <v>57792</v>
      </c>
      <c r="I900">
        <v>8212</v>
      </c>
      <c r="J900">
        <v>1668</v>
      </c>
      <c r="K900">
        <f t="shared" si="28"/>
        <v>10.882769644933397</v>
      </c>
      <c r="L900">
        <v>452178</v>
      </c>
      <c r="M900">
        <v>1577427</v>
      </c>
      <c r="N900">
        <f t="shared" si="29"/>
        <v>248.85089500152594</v>
      </c>
      <c r="O900">
        <v>45840</v>
      </c>
      <c r="P900">
        <v>45864</v>
      </c>
      <c r="Q900" t="s">
        <v>41</v>
      </c>
    </row>
    <row r="901" spans="1:17" x14ac:dyDescent="0.3">
      <c r="A901" t="s">
        <v>952</v>
      </c>
      <c r="B901" t="s">
        <v>23</v>
      </c>
      <c r="C901" t="s">
        <v>33</v>
      </c>
      <c r="D901" t="s">
        <v>20</v>
      </c>
      <c r="E901">
        <v>232230</v>
      </c>
      <c r="F901">
        <v>79947</v>
      </c>
      <c r="G901">
        <v>104003</v>
      </c>
      <c r="H901">
        <v>1922</v>
      </c>
      <c r="I901">
        <v>135</v>
      </c>
      <c r="J901">
        <v>179</v>
      </c>
      <c r="K901">
        <f t="shared" si="28"/>
        <v>2.7968529150562249</v>
      </c>
      <c r="L901">
        <v>187403</v>
      </c>
      <c r="M901">
        <v>653531</v>
      </c>
      <c r="N901">
        <f t="shared" si="29"/>
        <v>248.73027646302353</v>
      </c>
      <c r="O901">
        <v>46089</v>
      </c>
      <c r="P901">
        <v>46114</v>
      </c>
      <c r="Q901" t="s">
        <v>47</v>
      </c>
    </row>
    <row r="902" spans="1:17" x14ac:dyDescent="0.3">
      <c r="A902" t="s">
        <v>953</v>
      </c>
      <c r="B902" t="s">
        <v>39</v>
      </c>
      <c r="C902" t="s">
        <v>33</v>
      </c>
      <c r="D902" t="s">
        <v>72</v>
      </c>
      <c r="E902">
        <v>1955248</v>
      </c>
      <c r="F902">
        <v>1305407</v>
      </c>
      <c r="G902">
        <v>2489114</v>
      </c>
      <c r="H902">
        <v>31040</v>
      </c>
      <c r="I902">
        <v>3246</v>
      </c>
      <c r="J902">
        <v>2874</v>
      </c>
      <c r="K902">
        <f t="shared" si="28"/>
        <v>2.8466217815593144</v>
      </c>
      <c r="L902">
        <v>393716</v>
      </c>
      <c r="M902">
        <v>1430307</v>
      </c>
      <c r="N902">
        <f t="shared" si="29"/>
        <v>263.28394070853102</v>
      </c>
      <c r="O902">
        <v>46075</v>
      </c>
      <c r="P902">
        <v>46093</v>
      </c>
      <c r="Q902" t="s">
        <v>25</v>
      </c>
    </row>
    <row r="903" spans="1:17" x14ac:dyDescent="0.3">
      <c r="A903" t="s">
        <v>954</v>
      </c>
      <c r="B903" t="s">
        <v>36</v>
      </c>
      <c r="C903" t="s">
        <v>28</v>
      </c>
      <c r="D903" t="s">
        <v>51</v>
      </c>
      <c r="E903">
        <v>1149091</v>
      </c>
      <c r="F903">
        <v>532853</v>
      </c>
      <c r="G903">
        <v>628755</v>
      </c>
      <c r="H903">
        <v>11380</v>
      </c>
      <c r="I903">
        <v>1341</v>
      </c>
      <c r="J903">
        <v>1098</v>
      </c>
      <c r="K903">
        <f t="shared" si="28"/>
        <v>2.5933981792351739</v>
      </c>
      <c r="L903">
        <v>142848</v>
      </c>
      <c r="M903">
        <v>477927</v>
      </c>
      <c r="N903">
        <f t="shared" si="29"/>
        <v>234.5703125</v>
      </c>
      <c r="O903">
        <v>45691</v>
      </c>
      <c r="P903">
        <v>45720</v>
      </c>
      <c r="Q903" t="s">
        <v>78</v>
      </c>
    </row>
    <row r="904" spans="1:17" x14ac:dyDescent="0.3">
      <c r="A904" t="s">
        <v>955</v>
      </c>
      <c r="B904" t="s">
        <v>45</v>
      </c>
      <c r="C904" t="s">
        <v>37</v>
      </c>
      <c r="D904" t="s">
        <v>40</v>
      </c>
      <c r="E904">
        <v>514017</v>
      </c>
      <c r="F904">
        <v>328241</v>
      </c>
      <c r="G904">
        <v>462248</v>
      </c>
      <c r="H904">
        <v>21486</v>
      </c>
      <c r="I904">
        <v>2533</v>
      </c>
      <c r="J904">
        <v>680</v>
      </c>
      <c r="K904">
        <f t="shared" si="28"/>
        <v>7.5246541413168986</v>
      </c>
      <c r="L904">
        <v>427251</v>
      </c>
      <c r="M904">
        <v>562784</v>
      </c>
      <c r="N904">
        <f t="shared" si="29"/>
        <v>31.722102464359359</v>
      </c>
      <c r="O904">
        <v>46091</v>
      </c>
      <c r="P904">
        <v>46105</v>
      </c>
      <c r="Q904" t="s">
        <v>41</v>
      </c>
    </row>
    <row r="905" spans="1:17" x14ac:dyDescent="0.3">
      <c r="A905" t="s">
        <v>956</v>
      </c>
      <c r="B905" t="s">
        <v>57</v>
      </c>
      <c r="C905" t="s">
        <v>37</v>
      </c>
      <c r="D905" t="s">
        <v>29</v>
      </c>
      <c r="E905">
        <v>934044</v>
      </c>
      <c r="F905">
        <v>513421</v>
      </c>
      <c r="G905">
        <v>1521406</v>
      </c>
      <c r="H905">
        <v>57697</v>
      </c>
      <c r="I905">
        <v>2507</v>
      </c>
      <c r="J905">
        <v>2012</v>
      </c>
      <c r="K905">
        <f t="shared" si="28"/>
        <v>12.11793050927017</v>
      </c>
      <c r="L905">
        <v>460848</v>
      </c>
      <c r="M905">
        <v>931255</v>
      </c>
      <c r="N905">
        <f t="shared" si="29"/>
        <v>102.07421969933688</v>
      </c>
      <c r="O905">
        <v>45762</v>
      </c>
      <c r="P905">
        <v>45776</v>
      </c>
      <c r="Q905" t="s">
        <v>47</v>
      </c>
    </row>
    <row r="906" spans="1:17" x14ac:dyDescent="0.3">
      <c r="A906" t="s">
        <v>957</v>
      </c>
      <c r="B906" t="s">
        <v>75</v>
      </c>
      <c r="C906" t="s">
        <v>28</v>
      </c>
      <c r="D906" t="s">
        <v>58</v>
      </c>
      <c r="E906">
        <v>1371014</v>
      </c>
      <c r="F906">
        <v>1039681</v>
      </c>
      <c r="G906">
        <v>2700172</v>
      </c>
      <c r="H906">
        <v>33079</v>
      </c>
      <c r="I906">
        <v>1918</v>
      </c>
      <c r="J906">
        <v>1873</v>
      </c>
      <c r="K906">
        <f t="shared" si="28"/>
        <v>3.5462800609032965</v>
      </c>
      <c r="L906">
        <v>132647</v>
      </c>
      <c r="M906">
        <v>649921</v>
      </c>
      <c r="N906">
        <f t="shared" si="29"/>
        <v>389.96283368640076</v>
      </c>
      <c r="O906">
        <v>45826</v>
      </c>
      <c r="P906">
        <v>45844</v>
      </c>
      <c r="Q906" t="s">
        <v>30</v>
      </c>
    </row>
    <row r="907" spans="1:17" x14ac:dyDescent="0.3">
      <c r="A907" t="s">
        <v>958</v>
      </c>
      <c r="B907" t="s">
        <v>57</v>
      </c>
      <c r="C907" t="s">
        <v>33</v>
      </c>
      <c r="D907" t="s">
        <v>29</v>
      </c>
      <c r="E907">
        <v>1952559</v>
      </c>
      <c r="F907">
        <v>1305723</v>
      </c>
      <c r="G907">
        <v>3906232</v>
      </c>
      <c r="H907">
        <v>191415</v>
      </c>
      <c r="I907">
        <v>10981</v>
      </c>
      <c r="J907">
        <v>4932</v>
      </c>
      <c r="K907">
        <f t="shared" si="28"/>
        <v>15.878406063154282</v>
      </c>
      <c r="L907">
        <v>112464</v>
      </c>
      <c r="M907">
        <v>275392</v>
      </c>
      <c r="N907">
        <f t="shared" si="29"/>
        <v>144.87124768814908</v>
      </c>
      <c r="O907">
        <v>46052</v>
      </c>
      <c r="P907">
        <v>46061</v>
      </c>
      <c r="Q907" t="s">
        <v>54</v>
      </c>
    </row>
    <row r="908" spans="1:17" x14ac:dyDescent="0.3">
      <c r="A908" t="s">
        <v>959</v>
      </c>
      <c r="B908" t="s">
        <v>75</v>
      </c>
      <c r="C908" t="s">
        <v>19</v>
      </c>
      <c r="D908" t="s">
        <v>72</v>
      </c>
      <c r="E908">
        <v>1235893</v>
      </c>
      <c r="F908">
        <v>478298</v>
      </c>
      <c r="G908">
        <v>1259168</v>
      </c>
      <c r="H908">
        <v>35049</v>
      </c>
      <c r="I908">
        <v>2191</v>
      </c>
      <c r="J908">
        <v>2886</v>
      </c>
      <c r="K908">
        <f t="shared" si="28"/>
        <v>8.3893305010683719</v>
      </c>
      <c r="L908">
        <v>379884</v>
      </c>
      <c r="M908">
        <v>586526</v>
      </c>
      <c r="N908">
        <f t="shared" si="29"/>
        <v>54.396078803003022</v>
      </c>
      <c r="O908">
        <v>46123</v>
      </c>
      <c r="P908">
        <v>46142</v>
      </c>
      <c r="Q908" t="s">
        <v>78</v>
      </c>
    </row>
    <row r="909" spans="1:17" x14ac:dyDescent="0.3">
      <c r="A909" t="s">
        <v>960</v>
      </c>
      <c r="B909" t="s">
        <v>27</v>
      </c>
      <c r="C909" t="s">
        <v>43</v>
      </c>
      <c r="D909" t="s">
        <v>72</v>
      </c>
      <c r="E909">
        <v>1717926</v>
      </c>
      <c r="F909">
        <v>1153981</v>
      </c>
      <c r="G909">
        <v>2487879</v>
      </c>
      <c r="H909">
        <v>73357</v>
      </c>
      <c r="I909">
        <v>2615</v>
      </c>
      <c r="J909">
        <v>6114</v>
      </c>
      <c r="K909">
        <f t="shared" si="28"/>
        <v>7.1132886936613335</v>
      </c>
      <c r="L909">
        <v>257885</v>
      </c>
      <c r="M909">
        <v>934529</v>
      </c>
      <c r="N909">
        <f t="shared" si="29"/>
        <v>262.38206952711482</v>
      </c>
      <c r="O909">
        <v>45999</v>
      </c>
      <c r="P909">
        <v>46018</v>
      </c>
      <c r="Q909" t="s">
        <v>34</v>
      </c>
    </row>
    <row r="910" spans="1:17" x14ac:dyDescent="0.3">
      <c r="A910" t="s">
        <v>961</v>
      </c>
      <c r="B910" t="s">
        <v>80</v>
      </c>
      <c r="C910" t="s">
        <v>43</v>
      </c>
      <c r="D910" t="s">
        <v>29</v>
      </c>
      <c r="E910">
        <v>1557331</v>
      </c>
      <c r="F910">
        <v>887153</v>
      </c>
      <c r="G910">
        <v>2301619</v>
      </c>
      <c r="H910">
        <v>85311</v>
      </c>
      <c r="I910">
        <v>8888</v>
      </c>
      <c r="J910">
        <v>3172</v>
      </c>
      <c r="K910">
        <f t="shared" si="28"/>
        <v>10.975671614704567</v>
      </c>
      <c r="L910">
        <v>403686</v>
      </c>
      <c r="M910">
        <v>1106080</v>
      </c>
      <c r="N910">
        <f t="shared" si="29"/>
        <v>173.99513483251835</v>
      </c>
      <c r="O910">
        <v>45904</v>
      </c>
      <c r="P910">
        <v>45920</v>
      </c>
      <c r="Q910" t="s">
        <v>25</v>
      </c>
    </row>
    <row r="911" spans="1:17" x14ac:dyDescent="0.3">
      <c r="A911" t="s">
        <v>962</v>
      </c>
      <c r="B911" t="s">
        <v>49</v>
      </c>
      <c r="C911" t="s">
        <v>43</v>
      </c>
      <c r="D911" t="s">
        <v>40</v>
      </c>
      <c r="E911">
        <v>754136</v>
      </c>
      <c r="F911">
        <v>400467</v>
      </c>
      <c r="G911">
        <v>768522</v>
      </c>
      <c r="H911">
        <v>45754</v>
      </c>
      <c r="I911">
        <v>3618</v>
      </c>
      <c r="J911">
        <v>3256</v>
      </c>
      <c r="K911">
        <f t="shared" si="28"/>
        <v>13.141657115317868</v>
      </c>
      <c r="L911">
        <v>352206</v>
      </c>
      <c r="M911">
        <v>1053387</v>
      </c>
      <c r="N911">
        <f t="shared" si="29"/>
        <v>199.08263913732304</v>
      </c>
      <c r="O911">
        <v>46054</v>
      </c>
      <c r="P911">
        <v>46073</v>
      </c>
      <c r="Q911" t="s">
        <v>47</v>
      </c>
    </row>
    <row r="912" spans="1:17" x14ac:dyDescent="0.3">
      <c r="A912" t="s">
        <v>963</v>
      </c>
      <c r="B912" t="s">
        <v>36</v>
      </c>
      <c r="C912" t="s">
        <v>33</v>
      </c>
      <c r="D912" t="s">
        <v>51</v>
      </c>
      <c r="E912">
        <v>1922408</v>
      </c>
      <c r="F912">
        <v>1200465</v>
      </c>
      <c r="G912">
        <v>2226851</v>
      </c>
      <c r="H912">
        <v>53963</v>
      </c>
      <c r="I912">
        <v>1745</v>
      </c>
      <c r="J912">
        <v>4299</v>
      </c>
      <c r="K912">
        <f t="shared" si="28"/>
        <v>4.9986463578696583</v>
      </c>
      <c r="L912">
        <v>113046</v>
      </c>
      <c r="M912">
        <v>384367</v>
      </c>
      <c r="N912">
        <f t="shared" si="29"/>
        <v>240.00937671390409</v>
      </c>
      <c r="O912">
        <v>45756</v>
      </c>
      <c r="P912">
        <v>45770</v>
      </c>
      <c r="Q912" t="s">
        <v>41</v>
      </c>
    </row>
    <row r="913" spans="1:17" x14ac:dyDescent="0.3">
      <c r="A913" t="s">
        <v>964</v>
      </c>
      <c r="B913" t="s">
        <v>61</v>
      </c>
      <c r="C913" t="s">
        <v>33</v>
      </c>
      <c r="D913" t="s">
        <v>58</v>
      </c>
      <c r="E913">
        <v>830503</v>
      </c>
      <c r="F913">
        <v>732531</v>
      </c>
      <c r="G913">
        <v>976112</v>
      </c>
      <c r="H913">
        <v>105996</v>
      </c>
      <c r="I913">
        <v>6077</v>
      </c>
      <c r="J913">
        <v>8073</v>
      </c>
      <c r="K913">
        <f t="shared" si="28"/>
        <v>16.401490175842387</v>
      </c>
      <c r="L913">
        <v>265191</v>
      </c>
      <c r="M913">
        <v>1146590</v>
      </c>
      <c r="N913">
        <f t="shared" si="29"/>
        <v>332.36384341851721</v>
      </c>
      <c r="O913">
        <v>45828</v>
      </c>
      <c r="P913">
        <v>45857</v>
      </c>
      <c r="Q913" t="s">
        <v>47</v>
      </c>
    </row>
    <row r="914" spans="1:17" x14ac:dyDescent="0.3">
      <c r="A914" t="s">
        <v>965</v>
      </c>
      <c r="B914" t="s">
        <v>49</v>
      </c>
      <c r="C914" t="s">
        <v>19</v>
      </c>
      <c r="D914" t="s">
        <v>72</v>
      </c>
      <c r="E914">
        <v>1055100</v>
      </c>
      <c r="F914">
        <v>626965</v>
      </c>
      <c r="G914">
        <v>1240332</v>
      </c>
      <c r="H914">
        <v>13198</v>
      </c>
      <c r="I914">
        <v>549</v>
      </c>
      <c r="J914">
        <v>409</v>
      </c>
      <c r="K914">
        <f t="shared" si="28"/>
        <v>2.2578612841227184</v>
      </c>
      <c r="L914">
        <v>430450</v>
      </c>
      <c r="M914">
        <v>1633625</v>
      </c>
      <c r="N914">
        <f t="shared" si="29"/>
        <v>279.51562318503892</v>
      </c>
      <c r="O914">
        <v>45784</v>
      </c>
      <c r="P914">
        <v>45800</v>
      </c>
      <c r="Q914" t="s">
        <v>41</v>
      </c>
    </row>
    <row r="915" spans="1:17" x14ac:dyDescent="0.3">
      <c r="A915" t="s">
        <v>966</v>
      </c>
      <c r="B915" t="s">
        <v>45</v>
      </c>
      <c r="C915" t="s">
        <v>43</v>
      </c>
      <c r="D915" t="s">
        <v>24</v>
      </c>
      <c r="E915">
        <v>1793036</v>
      </c>
      <c r="F915">
        <v>1136414</v>
      </c>
      <c r="G915">
        <v>3178904</v>
      </c>
      <c r="H915">
        <v>159016</v>
      </c>
      <c r="I915">
        <v>21092</v>
      </c>
      <c r="J915">
        <v>13998</v>
      </c>
      <c r="K915">
        <f t="shared" si="28"/>
        <v>17.080570989093761</v>
      </c>
      <c r="L915">
        <v>414890</v>
      </c>
      <c r="M915">
        <v>505757</v>
      </c>
      <c r="N915">
        <f t="shared" si="29"/>
        <v>21.901467858950564</v>
      </c>
      <c r="O915">
        <v>45977</v>
      </c>
      <c r="P915">
        <v>45999</v>
      </c>
      <c r="Q915" t="s">
        <v>41</v>
      </c>
    </row>
    <row r="916" spans="1:17" x14ac:dyDescent="0.3">
      <c r="A916" t="s">
        <v>967</v>
      </c>
      <c r="B916" t="s">
        <v>63</v>
      </c>
      <c r="C916" t="s">
        <v>33</v>
      </c>
      <c r="D916" t="s">
        <v>72</v>
      </c>
      <c r="E916">
        <v>1107078</v>
      </c>
      <c r="F916">
        <v>744506</v>
      </c>
      <c r="G916">
        <v>885419</v>
      </c>
      <c r="H916">
        <v>67701</v>
      </c>
      <c r="I916">
        <v>9865</v>
      </c>
      <c r="J916">
        <v>2501</v>
      </c>
      <c r="K916">
        <f t="shared" si="28"/>
        <v>10.754379414000693</v>
      </c>
      <c r="L916">
        <v>211250</v>
      </c>
      <c r="M916">
        <v>362489</v>
      </c>
      <c r="N916">
        <f t="shared" si="29"/>
        <v>71.592426035502953</v>
      </c>
      <c r="O916">
        <v>46123</v>
      </c>
      <c r="P916">
        <v>46143</v>
      </c>
      <c r="Q916" t="s">
        <v>34</v>
      </c>
    </row>
    <row r="917" spans="1:17" x14ac:dyDescent="0.3">
      <c r="A917" t="s">
        <v>968</v>
      </c>
      <c r="B917" t="s">
        <v>27</v>
      </c>
      <c r="C917" t="s">
        <v>37</v>
      </c>
      <c r="D917" t="s">
        <v>29</v>
      </c>
      <c r="E917">
        <v>286358</v>
      </c>
      <c r="F917">
        <v>230689</v>
      </c>
      <c r="G917">
        <v>614732</v>
      </c>
      <c r="H917">
        <v>6923</v>
      </c>
      <c r="I917">
        <v>576</v>
      </c>
      <c r="J917">
        <v>476</v>
      </c>
      <c r="K917">
        <f t="shared" si="28"/>
        <v>3.4570352292480351</v>
      </c>
      <c r="L917">
        <v>188834</v>
      </c>
      <c r="M917">
        <v>313070</v>
      </c>
      <c r="N917">
        <f t="shared" si="29"/>
        <v>65.79111812491395</v>
      </c>
      <c r="O917">
        <v>45863</v>
      </c>
      <c r="P917">
        <v>45885</v>
      </c>
      <c r="Q917" t="s">
        <v>25</v>
      </c>
    </row>
    <row r="918" spans="1:17" x14ac:dyDescent="0.3">
      <c r="A918" t="s">
        <v>969</v>
      </c>
      <c r="B918" t="s">
        <v>61</v>
      </c>
      <c r="C918" t="s">
        <v>19</v>
      </c>
      <c r="D918" t="s">
        <v>72</v>
      </c>
      <c r="E918">
        <v>1487781</v>
      </c>
      <c r="F918">
        <v>791357</v>
      </c>
      <c r="G918">
        <v>1110064</v>
      </c>
      <c r="H918">
        <v>85029</v>
      </c>
      <c r="I918">
        <v>6039</v>
      </c>
      <c r="J918">
        <v>3182</v>
      </c>
      <c r="K918">
        <f t="shared" si="28"/>
        <v>11.909921817839484</v>
      </c>
      <c r="L918">
        <v>204716</v>
      </c>
      <c r="M918">
        <v>225440</v>
      </c>
      <c r="N918">
        <f t="shared" si="29"/>
        <v>10.123292756794779</v>
      </c>
      <c r="O918">
        <v>45789</v>
      </c>
      <c r="P918">
        <v>45819</v>
      </c>
      <c r="Q918" t="s">
        <v>34</v>
      </c>
    </row>
    <row r="919" spans="1:17" x14ac:dyDescent="0.3">
      <c r="A919" t="s">
        <v>970</v>
      </c>
      <c r="B919" t="s">
        <v>23</v>
      </c>
      <c r="C919" t="s">
        <v>19</v>
      </c>
      <c r="D919" t="s">
        <v>72</v>
      </c>
      <c r="E919">
        <v>612242</v>
      </c>
      <c r="F919">
        <v>402044</v>
      </c>
      <c r="G919">
        <v>932602</v>
      </c>
      <c r="H919">
        <v>18725</v>
      </c>
      <c r="I919">
        <v>1645</v>
      </c>
      <c r="J919">
        <v>511</v>
      </c>
      <c r="K919">
        <f t="shared" si="28"/>
        <v>5.1937101411785775</v>
      </c>
      <c r="L919">
        <v>152294</v>
      </c>
      <c r="M919">
        <v>253883</v>
      </c>
      <c r="N919">
        <f t="shared" si="29"/>
        <v>66.705845272958882</v>
      </c>
      <c r="O919">
        <v>45907</v>
      </c>
      <c r="P919">
        <v>45919</v>
      </c>
      <c r="Q919" t="s">
        <v>47</v>
      </c>
    </row>
    <row r="920" spans="1:17" x14ac:dyDescent="0.3">
      <c r="A920" t="s">
        <v>971</v>
      </c>
      <c r="B920" t="s">
        <v>63</v>
      </c>
      <c r="C920" t="s">
        <v>28</v>
      </c>
      <c r="D920" t="s">
        <v>72</v>
      </c>
      <c r="E920">
        <v>1039046</v>
      </c>
      <c r="F920">
        <v>723429</v>
      </c>
      <c r="G920">
        <v>2043809</v>
      </c>
      <c r="H920">
        <v>79771</v>
      </c>
      <c r="I920">
        <v>5766</v>
      </c>
      <c r="J920">
        <v>6555</v>
      </c>
      <c r="K920">
        <f t="shared" si="28"/>
        <v>12.729929267419472</v>
      </c>
      <c r="L920">
        <v>389824</v>
      </c>
      <c r="M920">
        <v>1446821</v>
      </c>
      <c r="N920">
        <f t="shared" si="29"/>
        <v>271.14723567558696</v>
      </c>
      <c r="O920">
        <v>45808</v>
      </c>
      <c r="P920">
        <v>45831</v>
      </c>
      <c r="Q920" t="s">
        <v>78</v>
      </c>
    </row>
    <row r="921" spans="1:17" x14ac:dyDescent="0.3">
      <c r="A921" t="s">
        <v>972</v>
      </c>
      <c r="B921" t="s">
        <v>61</v>
      </c>
      <c r="C921" t="s">
        <v>33</v>
      </c>
      <c r="D921" t="s">
        <v>72</v>
      </c>
      <c r="E921">
        <v>707362</v>
      </c>
      <c r="F921">
        <v>617087</v>
      </c>
      <c r="G921">
        <v>1395247</v>
      </c>
      <c r="H921">
        <v>55019</v>
      </c>
      <c r="I921">
        <v>7762</v>
      </c>
      <c r="J921">
        <v>3091</v>
      </c>
      <c r="K921">
        <f t="shared" si="28"/>
        <v>10.674669860165585</v>
      </c>
      <c r="L921">
        <v>360336</v>
      </c>
      <c r="M921">
        <v>1006171</v>
      </c>
      <c r="N921">
        <f t="shared" si="29"/>
        <v>179.23132853780916</v>
      </c>
      <c r="O921">
        <v>45766</v>
      </c>
      <c r="P921">
        <v>45778</v>
      </c>
      <c r="Q921" t="s">
        <v>41</v>
      </c>
    </row>
    <row r="922" spans="1:17" x14ac:dyDescent="0.3">
      <c r="A922" t="s">
        <v>973</v>
      </c>
      <c r="B922" t="s">
        <v>36</v>
      </c>
      <c r="C922" t="s">
        <v>28</v>
      </c>
      <c r="D922" t="s">
        <v>40</v>
      </c>
      <c r="E922">
        <v>1673057</v>
      </c>
      <c r="F922">
        <v>825105</v>
      </c>
      <c r="G922">
        <v>945977</v>
      </c>
      <c r="H922">
        <v>42209</v>
      </c>
      <c r="I922">
        <v>1743</v>
      </c>
      <c r="J922">
        <v>1382</v>
      </c>
      <c r="K922">
        <f t="shared" si="28"/>
        <v>5.4943310245362715</v>
      </c>
      <c r="L922">
        <v>265212</v>
      </c>
      <c r="M922">
        <v>1267918</v>
      </c>
      <c r="N922">
        <f t="shared" si="29"/>
        <v>378.07716091277922</v>
      </c>
      <c r="O922">
        <v>45953</v>
      </c>
      <c r="P922">
        <v>45960</v>
      </c>
      <c r="Q922" t="s">
        <v>21</v>
      </c>
    </row>
    <row r="923" spans="1:17" x14ac:dyDescent="0.3">
      <c r="A923" t="s">
        <v>974</v>
      </c>
      <c r="B923" t="s">
        <v>49</v>
      </c>
      <c r="C923" t="s">
        <v>33</v>
      </c>
      <c r="D923" t="s">
        <v>24</v>
      </c>
      <c r="E923">
        <v>727967</v>
      </c>
      <c r="F923">
        <v>191283</v>
      </c>
      <c r="G923">
        <v>280807</v>
      </c>
      <c r="H923">
        <v>21917</v>
      </c>
      <c r="I923">
        <v>1781</v>
      </c>
      <c r="J923">
        <v>450</v>
      </c>
      <c r="K923">
        <f t="shared" si="28"/>
        <v>12.624226930777956</v>
      </c>
      <c r="L923">
        <v>36019</v>
      </c>
      <c r="M923">
        <v>172384</v>
      </c>
      <c r="N923">
        <f t="shared" si="29"/>
        <v>378.59185429911992</v>
      </c>
      <c r="O923">
        <v>45813</v>
      </c>
      <c r="P923">
        <v>45827</v>
      </c>
      <c r="Q923" t="s">
        <v>54</v>
      </c>
    </row>
    <row r="924" spans="1:17" x14ac:dyDescent="0.3">
      <c r="A924" t="s">
        <v>975</v>
      </c>
      <c r="B924" t="s">
        <v>80</v>
      </c>
      <c r="C924" t="s">
        <v>28</v>
      </c>
      <c r="D924" t="s">
        <v>20</v>
      </c>
      <c r="E924">
        <v>1888794</v>
      </c>
      <c r="F924">
        <v>1059894</v>
      </c>
      <c r="G924">
        <v>2305741</v>
      </c>
      <c r="H924">
        <v>139974</v>
      </c>
      <c r="I924">
        <v>9616</v>
      </c>
      <c r="J924">
        <v>7143</v>
      </c>
      <c r="K924">
        <f t="shared" si="28"/>
        <v>14.787610836555354</v>
      </c>
      <c r="L924">
        <v>243401</v>
      </c>
      <c r="M924">
        <v>489189</v>
      </c>
      <c r="N924">
        <f t="shared" si="29"/>
        <v>100.98068619274365</v>
      </c>
      <c r="O924">
        <v>45694</v>
      </c>
      <c r="P924">
        <v>45712</v>
      </c>
      <c r="Q924" t="s">
        <v>41</v>
      </c>
    </row>
    <row r="925" spans="1:17" x14ac:dyDescent="0.3">
      <c r="A925" t="s">
        <v>976</v>
      </c>
      <c r="B925" t="s">
        <v>63</v>
      </c>
      <c r="C925" t="s">
        <v>33</v>
      </c>
      <c r="D925" t="s">
        <v>46</v>
      </c>
      <c r="E925">
        <v>147521</v>
      </c>
      <c r="F925">
        <v>40610</v>
      </c>
      <c r="G925">
        <v>86583</v>
      </c>
      <c r="H925">
        <v>4432</v>
      </c>
      <c r="I925">
        <v>526</v>
      </c>
      <c r="J925">
        <v>189</v>
      </c>
      <c r="K925">
        <f t="shared" si="28"/>
        <v>12.674218172863828</v>
      </c>
      <c r="L925">
        <v>462047</v>
      </c>
      <c r="M925">
        <v>1300574</v>
      </c>
      <c r="N925">
        <f t="shared" si="29"/>
        <v>181.48088830789942</v>
      </c>
      <c r="O925">
        <v>45871</v>
      </c>
      <c r="P925">
        <v>45879</v>
      </c>
      <c r="Q925" t="s">
        <v>30</v>
      </c>
    </row>
    <row r="926" spans="1:17" x14ac:dyDescent="0.3">
      <c r="A926" t="s">
        <v>977</v>
      </c>
      <c r="B926" t="s">
        <v>103</v>
      </c>
      <c r="C926" t="s">
        <v>28</v>
      </c>
      <c r="D926" t="s">
        <v>40</v>
      </c>
      <c r="E926">
        <v>957895</v>
      </c>
      <c r="F926">
        <v>513199</v>
      </c>
      <c r="G926">
        <v>977061</v>
      </c>
      <c r="H926">
        <v>31445</v>
      </c>
      <c r="I926">
        <v>3236</v>
      </c>
      <c r="J926">
        <v>2308</v>
      </c>
      <c r="K926">
        <f t="shared" si="28"/>
        <v>7.2075354784401373</v>
      </c>
      <c r="L926">
        <v>215626</v>
      </c>
      <c r="M926">
        <v>297906</v>
      </c>
      <c r="N926">
        <f t="shared" si="29"/>
        <v>38.158663611994839</v>
      </c>
      <c r="O926">
        <v>46019</v>
      </c>
      <c r="P926">
        <v>46033</v>
      </c>
      <c r="Q926" t="s">
        <v>41</v>
      </c>
    </row>
    <row r="927" spans="1:17" x14ac:dyDescent="0.3">
      <c r="A927" t="s">
        <v>978</v>
      </c>
      <c r="B927" t="s">
        <v>23</v>
      </c>
      <c r="C927" t="s">
        <v>33</v>
      </c>
      <c r="D927" t="s">
        <v>40</v>
      </c>
      <c r="E927">
        <v>136732</v>
      </c>
      <c r="F927">
        <v>113787</v>
      </c>
      <c r="G927">
        <v>331420</v>
      </c>
      <c r="H927">
        <v>4990</v>
      </c>
      <c r="I927">
        <v>345</v>
      </c>
      <c r="J927">
        <v>355</v>
      </c>
      <c r="K927">
        <f t="shared" si="28"/>
        <v>5.0005712427605964</v>
      </c>
      <c r="L927">
        <v>278877</v>
      </c>
      <c r="M927">
        <v>1015882</v>
      </c>
      <c r="N927">
        <f t="shared" si="29"/>
        <v>264.27600698515835</v>
      </c>
      <c r="O927">
        <v>46134</v>
      </c>
      <c r="P927">
        <v>46150</v>
      </c>
      <c r="Q927" t="s">
        <v>21</v>
      </c>
    </row>
    <row r="928" spans="1:17" x14ac:dyDescent="0.3">
      <c r="A928" t="s">
        <v>979</v>
      </c>
      <c r="B928" t="s">
        <v>45</v>
      </c>
      <c r="C928" t="s">
        <v>37</v>
      </c>
      <c r="D928" t="s">
        <v>51</v>
      </c>
      <c r="E928">
        <v>988433</v>
      </c>
      <c r="F928">
        <v>504876</v>
      </c>
      <c r="G928">
        <v>1343103</v>
      </c>
      <c r="H928">
        <v>65037</v>
      </c>
      <c r="I928">
        <v>3276</v>
      </c>
      <c r="J928">
        <v>4698</v>
      </c>
      <c r="K928">
        <f t="shared" si="28"/>
        <v>14.461174625056451</v>
      </c>
      <c r="L928">
        <v>125336</v>
      </c>
      <c r="M928">
        <v>505227</v>
      </c>
      <c r="N928">
        <f t="shared" si="29"/>
        <v>303.09807238143873</v>
      </c>
      <c r="O928">
        <v>45660</v>
      </c>
      <c r="P928">
        <v>45677</v>
      </c>
      <c r="Q928" t="s">
        <v>34</v>
      </c>
    </row>
    <row r="929" spans="1:17" x14ac:dyDescent="0.3">
      <c r="A929" t="s">
        <v>980</v>
      </c>
      <c r="B929" t="s">
        <v>63</v>
      </c>
      <c r="C929" t="s">
        <v>43</v>
      </c>
      <c r="D929" t="s">
        <v>72</v>
      </c>
      <c r="E929">
        <v>280209</v>
      </c>
      <c r="F929">
        <v>87846</v>
      </c>
      <c r="G929">
        <v>139112</v>
      </c>
      <c r="H929">
        <v>12401</v>
      </c>
      <c r="I929">
        <v>1847</v>
      </c>
      <c r="J929">
        <v>825</v>
      </c>
      <c r="K929">
        <f t="shared" si="28"/>
        <v>17.15843635452952</v>
      </c>
      <c r="L929">
        <v>30247</v>
      </c>
      <c r="M929">
        <v>108912</v>
      </c>
      <c r="N929">
        <f t="shared" si="29"/>
        <v>260.07537937646708</v>
      </c>
      <c r="O929">
        <v>46072</v>
      </c>
      <c r="P929">
        <v>46089</v>
      </c>
      <c r="Q929" t="s">
        <v>25</v>
      </c>
    </row>
    <row r="930" spans="1:17" x14ac:dyDescent="0.3">
      <c r="A930" t="s">
        <v>981</v>
      </c>
      <c r="B930" t="s">
        <v>23</v>
      </c>
      <c r="C930" t="s">
        <v>19</v>
      </c>
      <c r="D930" t="s">
        <v>58</v>
      </c>
      <c r="E930">
        <v>1297935</v>
      </c>
      <c r="F930">
        <v>1149482</v>
      </c>
      <c r="G930">
        <v>1633442</v>
      </c>
      <c r="H930">
        <v>162685</v>
      </c>
      <c r="I930">
        <v>8957</v>
      </c>
      <c r="J930">
        <v>5049</v>
      </c>
      <c r="K930">
        <f t="shared" si="28"/>
        <v>15.371358577167801</v>
      </c>
      <c r="L930">
        <v>134796</v>
      </c>
      <c r="M930">
        <v>158363</v>
      </c>
      <c r="N930">
        <f t="shared" si="29"/>
        <v>17.483456482388203</v>
      </c>
      <c r="O930">
        <v>46002</v>
      </c>
      <c r="P930">
        <v>46030</v>
      </c>
      <c r="Q930" t="s">
        <v>25</v>
      </c>
    </row>
    <row r="931" spans="1:17" x14ac:dyDescent="0.3">
      <c r="A931" t="s">
        <v>982</v>
      </c>
      <c r="B931" t="s">
        <v>57</v>
      </c>
      <c r="C931" t="s">
        <v>43</v>
      </c>
      <c r="D931" t="s">
        <v>58</v>
      </c>
      <c r="E931">
        <v>759387</v>
      </c>
      <c r="F931">
        <v>375612</v>
      </c>
      <c r="G931">
        <v>846039</v>
      </c>
      <c r="H931">
        <v>7652</v>
      </c>
      <c r="I931">
        <v>1131</v>
      </c>
      <c r="J931">
        <v>504</v>
      </c>
      <c r="K931">
        <f t="shared" si="28"/>
        <v>2.4724982162444222</v>
      </c>
      <c r="L931">
        <v>26969</v>
      </c>
      <c r="M931">
        <v>36182</v>
      </c>
      <c r="N931">
        <f t="shared" si="29"/>
        <v>34.161444621602584</v>
      </c>
      <c r="O931">
        <v>45687</v>
      </c>
      <c r="P931">
        <v>45703</v>
      </c>
      <c r="Q931" t="s">
        <v>25</v>
      </c>
    </row>
    <row r="932" spans="1:17" x14ac:dyDescent="0.3">
      <c r="A932" t="s">
        <v>983</v>
      </c>
      <c r="B932" t="s">
        <v>49</v>
      </c>
      <c r="C932" t="s">
        <v>33</v>
      </c>
      <c r="D932" t="s">
        <v>58</v>
      </c>
      <c r="E932">
        <v>546822</v>
      </c>
      <c r="F932">
        <v>306251</v>
      </c>
      <c r="G932">
        <v>877396</v>
      </c>
      <c r="H932">
        <v>38068</v>
      </c>
      <c r="I932">
        <v>1512</v>
      </c>
      <c r="J932">
        <v>1607</v>
      </c>
      <c r="K932">
        <f t="shared" si="28"/>
        <v>13.448772412171717</v>
      </c>
      <c r="L932">
        <v>466115</v>
      </c>
      <c r="M932">
        <v>2107702</v>
      </c>
      <c r="N932">
        <f t="shared" si="29"/>
        <v>352.1849758106905</v>
      </c>
      <c r="O932">
        <v>45934</v>
      </c>
      <c r="P932">
        <v>45954</v>
      </c>
      <c r="Q932" t="s">
        <v>47</v>
      </c>
    </row>
    <row r="933" spans="1:17" x14ac:dyDescent="0.3">
      <c r="A933" t="s">
        <v>984</v>
      </c>
      <c r="B933" t="s">
        <v>80</v>
      </c>
      <c r="C933" t="s">
        <v>19</v>
      </c>
      <c r="D933" t="s">
        <v>24</v>
      </c>
      <c r="E933">
        <v>1009126</v>
      </c>
      <c r="F933">
        <v>716286</v>
      </c>
      <c r="G933">
        <v>1911762</v>
      </c>
      <c r="H933">
        <v>27600</v>
      </c>
      <c r="I933">
        <v>2260</v>
      </c>
      <c r="J933">
        <v>1646</v>
      </c>
      <c r="K933">
        <f t="shared" si="28"/>
        <v>4.3985223779328368</v>
      </c>
      <c r="L933">
        <v>457378</v>
      </c>
      <c r="M933">
        <v>2076342</v>
      </c>
      <c r="N933">
        <f t="shared" si="29"/>
        <v>353.96630358259472</v>
      </c>
      <c r="O933">
        <v>45985</v>
      </c>
      <c r="P933">
        <v>46006</v>
      </c>
      <c r="Q933" t="s">
        <v>30</v>
      </c>
    </row>
    <row r="934" spans="1:17" x14ac:dyDescent="0.3">
      <c r="A934" t="s">
        <v>985</v>
      </c>
      <c r="B934" t="s">
        <v>39</v>
      </c>
      <c r="C934" t="s">
        <v>37</v>
      </c>
      <c r="D934" t="s">
        <v>40</v>
      </c>
      <c r="E934">
        <v>1789041</v>
      </c>
      <c r="F934">
        <v>981256</v>
      </c>
      <c r="G934">
        <v>1634468</v>
      </c>
      <c r="H934">
        <v>91043</v>
      </c>
      <c r="I934">
        <v>11904</v>
      </c>
      <c r="J934">
        <v>3445</v>
      </c>
      <c r="K934">
        <f t="shared" si="28"/>
        <v>10.842430517622313</v>
      </c>
      <c r="L934">
        <v>124747</v>
      </c>
      <c r="M934">
        <v>405343</v>
      </c>
      <c r="N934">
        <f t="shared" si="29"/>
        <v>224.93206249448883</v>
      </c>
      <c r="O934">
        <v>45802</v>
      </c>
      <c r="P934">
        <v>45815</v>
      </c>
      <c r="Q934" t="s">
        <v>21</v>
      </c>
    </row>
    <row r="935" spans="1:17" x14ac:dyDescent="0.3">
      <c r="A935" t="s">
        <v>986</v>
      </c>
      <c r="B935" t="s">
        <v>61</v>
      </c>
      <c r="C935" t="s">
        <v>33</v>
      </c>
      <c r="D935" t="s">
        <v>40</v>
      </c>
      <c r="E935">
        <v>1831602</v>
      </c>
      <c r="F935">
        <v>822430</v>
      </c>
      <c r="G935">
        <v>1712408</v>
      </c>
      <c r="H935">
        <v>17524</v>
      </c>
      <c r="I935">
        <v>1379</v>
      </c>
      <c r="J935">
        <v>1147</v>
      </c>
      <c r="K935">
        <f t="shared" si="28"/>
        <v>2.4378974502389261</v>
      </c>
      <c r="L935">
        <v>279509</v>
      </c>
      <c r="M935">
        <v>401966</v>
      </c>
      <c r="N935">
        <f t="shared" si="29"/>
        <v>43.811469398123137</v>
      </c>
      <c r="O935">
        <v>45888</v>
      </c>
      <c r="P935">
        <v>45912</v>
      </c>
      <c r="Q935" t="s">
        <v>78</v>
      </c>
    </row>
    <row r="936" spans="1:17" x14ac:dyDescent="0.3">
      <c r="A936" t="s">
        <v>987</v>
      </c>
      <c r="B936" t="s">
        <v>32</v>
      </c>
      <c r="C936" t="s">
        <v>19</v>
      </c>
      <c r="D936" t="s">
        <v>40</v>
      </c>
      <c r="E936">
        <v>955142</v>
      </c>
      <c r="F936">
        <v>690326</v>
      </c>
      <c r="G936">
        <v>1191852</v>
      </c>
      <c r="H936">
        <v>39301</v>
      </c>
      <c r="I936">
        <v>2977</v>
      </c>
      <c r="J936">
        <v>3693</v>
      </c>
      <c r="K936">
        <f t="shared" si="28"/>
        <v>6.6593174818853695</v>
      </c>
      <c r="L936">
        <v>452582</v>
      </c>
      <c r="M936">
        <v>842549</v>
      </c>
      <c r="N936">
        <f t="shared" si="29"/>
        <v>86.164938066471933</v>
      </c>
      <c r="O936">
        <v>45871</v>
      </c>
      <c r="P936">
        <v>45901</v>
      </c>
      <c r="Q936" t="s">
        <v>47</v>
      </c>
    </row>
    <row r="937" spans="1:17" x14ac:dyDescent="0.3">
      <c r="A937" t="s">
        <v>988</v>
      </c>
      <c r="B937" t="s">
        <v>57</v>
      </c>
      <c r="C937" t="s">
        <v>37</v>
      </c>
      <c r="D937" t="s">
        <v>29</v>
      </c>
      <c r="E937">
        <v>1815544</v>
      </c>
      <c r="F937">
        <v>993652</v>
      </c>
      <c r="G937">
        <v>1124492</v>
      </c>
      <c r="H937">
        <v>43096</v>
      </c>
      <c r="I937">
        <v>5967</v>
      </c>
      <c r="J937">
        <v>3651</v>
      </c>
      <c r="K937">
        <f t="shared" si="28"/>
        <v>5.305076626424543</v>
      </c>
      <c r="L937">
        <v>14674</v>
      </c>
      <c r="M937">
        <v>69317</v>
      </c>
      <c r="N937">
        <f t="shared" si="29"/>
        <v>372.37971923129345</v>
      </c>
      <c r="O937">
        <v>45664</v>
      </c>
      <c r="P937">
        <v>45692</v>
      </c>
      <c r="Q937" t="s">
        <v>41</v>
      </c>
    </row>
    <row r="938" spans="1:17" x14ac:dyDescent="0.3">
      <c r="A938" t="s">
        <v>989</v>
      </c>
      <c r="B938" t="s">
        <v>57</v>
      </c>
      <c r="C938" t="s">
        <v>33</v>
      </c>
      <c r="D938" t="s">
        <v>20</v>
      </c>
      <c r="E938">
        <v>1025414</v>
      </c>
      <c r="F938">
        <v>374645</v>
      </c>
      <c r="G938">
        <v>450029</v>
      </c>
      <c r="H938">
        <v>11267</v>
      </c>
      <c r="I938">
        <v>612</v>
      </c>
      <c r="J938">
        <v>1123</v>
      </c>
      <c r="K938">
        <f t="shared" si="28"/>
        <v>3.4704853928385537</v>
      </c>
      <c r="L938">
        <v>185666</v>
      </c>
      <c r="M938">
        <v>263454</v>
      </c>
      <c r="N938">
        <f t="shared" si="29"/>
        <v>41.896739306065733</v>
      </c>
      <c r="O938">
        <v>46010</v>
      </c>
      <c r="P938">
        <v>46039</v>
      </c>
      <c r="Q938" t="s">
        <v>30</v>
      </c>
    </row>
    <row r="939" spans="1:17" x14ac:dyDescent="0.3">
      <c r="A939" t="s">
        <v>990</v>
      </c>
      <c r="B939" t="s">
        <v>27</v>
      </c>
      <c r="C939" t="s">
        <v>28</v>
      </c>
      <c r="D939" t="s">
        <v>51</v>
      </c>
      <c r="E939">
        <v>1729537</v>
      </c>
      <c r="F939">
        <v>805606</v>
      </c>
      <c r="G939">
        <v>1318169</v>
      </c>
      <c r="H939">
        <v>114127</v>
      </c>
      <c r="I939">
        <v>10664</v>
      </c>
      <c r="J939">
        <v>2654</v>
      </c>
      <c r="K939">
        <f t="shared" si="28"/>
        <v>15.819767975908819</v>
      </c>
      <c r="L939">
        <v>258881</v>
      </c>
      <c r="M939">
        <v>1169433</v>
      </c>
      <c r="N939">
        <f t="shared" si="29"/>
        <v>351.72608264028645</v>
      </c>
      <c r="O939">
        <v>45672</v>
      </c>
      <c r="P939">
        <v>45682</v>
      </c>
      <c r="Q939" t="s">
        <v>25</v>
      </c>
    </row>
    <row r="940" spans="1:17" x14ac:dyDescent="0.3">
      <c r="A940" t="s">
        <v>991</v>
      </c>
      <c r="B940" t="s">
        <v>39</v>
      </c>
      <c r="C940" t="s">
        <v>33</v>
      </c>
      <c r="D940" t="s">
        <v>51</v>
      </c>
      <c r="E940">
        <v>423898</v>
      </c>
      <c r="F940">
        <v>221494</v>
      </c>
      <c r="G940">
        <v>536979</v>
      </c>
      <c r="H940">
        <v>23842</v>
      </c>
      <c r="I940">
        <v>2669</v>
      </c>
      <c r="J940">
        <v>1053</v>
      </c>
      <c r="K940">
        <f t="shared" si="28"/>
        <v>12.444580891581714</v>
      </c>
      <c r="L940">
        <v>53989</v>
      </c>
      <c r="M940">
        <v>81045</v>
      </c>
      <c r="N940">
        <f t="shared" si="29"/>
        <v>50.113912093204171</v>
      </c>
      <c r="O940">
        <v>46024</v>
      </c>
      <c r="P940">
        <v>46031</v>
      </c>
      <c r="Q940" t="s">
        <v>34</v>
      </c>
    </row>
    <row r="941" spans="1:17" x14ac:dyDescent="0.3">
      <c r="A941" t="s">
        <v>992</v>
      </c>
      <c r="B941" t="s">
        <v>103</v>
      </c>
      <c r="C941" t="s">
        <v>43</v>
      </c>
      <c r="D941" t="s">
        <v>58</v>
      </c>
      <c r="E941">
        <v>1664662</v>
      </c>
      <c r="F941">
        <v>1381537</v>
      </c>
      <c r="G941">
        <v>4053363</v>
      </c>
      <c r="H941">
        <v>121080</v>
      </c>
      <c r="I941">
        <v>14987</v>
      </c>
      <c r="J941">
        <v>12097</v>
      </c>
      <c r="K941">
        <f t="shared" si="28"/>
        <v>10.724577047158345</v>
      </c>
      <c r="L941">
        <v>250391</v>
      </c>
      <c r="M941">
        <v>1051890</v>
      </c>
      <c r="N941">
        <f t="shared" si="29"/>
        <v>320.09896521839846</v>
      </c>
      <c r="O941">
        <v>45937</v>
      </c>
      <c r="P941">
        <v>45944</v>
      </c>
      <c r="Q941" t="s">
        <v>25</v>
      </c>
    </row>
    <row r="942" spans="1:17" x14ac:dyDescent="0.3">
      <c r="A942" t="s">
        <v>993</v>
      </c>
      <c r="B942" t="s">
        <v>36</v>
      </c>
      <c r="C942" t="s">
        <v>28</v>
      </c>
      <c r="D942" t="s">
        <v>20</v>
      </c>
      <c r="E942">
        <v>172143</v>
      </c>
      <c r="F942">
        <v>59695</v>
      </c>
      <c r="G942">
        <v>128695</v>
      </c>
      <c r="H942">
        <v>7688</v>
      </c>
      <c r="I942">
        <v>870</v>
      </c>
      <c r="J942">
        <v>592</v>
      </c>
      <c r="K942">
        <f t="shared" si="28"/>
        <v>15.327916910964067</v>
      </c>
      <c r="L942">
        <v>279374</v>
      </c>
      <c r="M942">
        <v>909592</v>
      </c>
      <c r="N942">
        <f t="shared" si="29"/>
        <v>225.58219447765362</v>
      </c>
      <c r="O942">
        <v>45997</v>
      </c>
      <c r="P942">
        <v>46026</v>
      </c>
      <c r="Q942" t="s">
        <v>30</v>
      </c>
    </row>
    <row r="943" spans="1:17" x14ac:dyDescent="0.3">
      <c r="A943" t="s">
        <v>994</v>
      </c>
      <c r="B943" t="s">
        <v>45</v>
      </c>
      <c r="C943" t="s">
        <v>28</v>
      </c>
      <c r="D943" t="s">
        <v>58</v>
      </c>
      <c r="E943">
        <v>314675</v>
      </c>
      <c r="F943">
        <v>103000</v>
      </c>
      <c r="G943">
        <v>220454</v>
      </c>
      <c r="H943">
        <v>3471</v>
      </c>
      <c r="I943">
        <v>487</v>
      </c>
      <c r="J943">
        <v>321</v>
      </c>
      <c r="K943">
        <f t="shared" si="28"/>
        <v>4.1543689320388353</v>
      </c>
      <c r="L943">
        <v>417933</v>
      </c>
      <c r="M943">
        <v>1802970</v>
      </c>
      <c r="N943">
        <f t="shared" si="29"/>
        <v>331.40168400198121</v>
      </c>
      <c r="O943">
        <v>45902</v>
      </c>
      <c r="P943">
        <v>45918</v>
      </c>
      <c r="Q943" t="s">
        <v>41</v>
      </c>
    </row>
    <row r="944" spans="1:17" x14ac:dyDescent="0.3">
      <c r="A944" t="s">
        <v>995</v>
      </c>
      <c r="B944" t="s">
        <v>36</v>
      </c>
      <c r="C944" t="s">
        <v>33</v>
      </c>
      <c r="D944" t="s">
        <v>20</v>
      </c>
      <c r="E944">
        <v>901418</v>
      </c>
      <c r="F944">
        <v>271985</v>
      </c>
      <c r="G944">
        <v>343288</v>
      </c>
      <c r="H944">
        <v>16538</v>
      </c>
      <c r="I944">
        <v>2212</v>
      </c>
      <c r="J944">
        <v>973</v>
      </c>
      <c r="K944">
        <f t="shared" si="28"/>
        <v>7.2515028402301605</v>
      </c>
      <c r="L944">
        <v>191523</v>
      </c>
      <c r="M944">
        <v>897128</v>
      </c>
      <c r="N944">
        <f t="shared" si="29"/>
        <v>368.41789236801844</v>
      </c>
      <c r="O944">
        <v>45908</v>
      </c>
      <c r="P944">
        <v>45916</v>
      </c>
      <c r="Q944" t="s">
        <v>41</v>
      </c>
    </row>
    <row r="945" spans="1:17" x14ac:dyDescent="0.3">
      <c r="A945" t="s">
        <v>996</v>
      </c>
      <c r="B945" t="s">
        <v>23</v>
      </c>
      <c r="C945" t="s">
        <v>43</v>
      </c>
      <c r="D945" t="s">
        <v>46</v>
      </c>
      <c r="E945">
        <v>950742</v>
      </c>
      <c r="F945">
        <v>516473</v>
      </c>
      <c r="G945">
        <v>1091345</v>
      </c>
      <c r="H945">
        <v>17100</v>
      </c>
      <c r="I945">
        <v>1845</v>
      </c>
      <c r="J945">
        <v>1060</v>
      </c>
      <c r="K945">
        <f t="shared" si="28"/>
        <v>3.8733873793983422</v>
      </c>
      <c r="L945">
        <v>78541</v>
      </c>
      <c r="M945">
        <v>177725</v>
      </c>
      <c r="N945">
        <f t="shared" si="29"/>
        <v>126.28308781400797</v>
      </c>
      <c r="O945">
        <v>45681</v>
      </c>
      <c r="P945">
        <v>45689</v>
      </c>
      <c r="Q945" t="s">
        <v>78</v>
      </c>
    </row>
    <row r="946" spans="1:17" x14ac:dyDescent="0.3">
      <c r="A946" t="s">
        <v>997</v>
      </c>
      <c r="B946" t="s">
        <v>39</v>
      </c>
      <c r="C946" t="s">
        <v>43</v>
      </c>
      <c r="D946" t="s">
        <v>51</v>
      </c>
      <c r="E946">
        <v>921588</v>
      </c>
      <c r="F946">
        <v>261579</v>
      </c>
      <c r="G946">
        <v>412781</v>
      </c>
      <c r="H946">
        <v>11608</v>
      </c>
      <c r="I946">
        <v>932</v>
      </c>
      <c r="J946">
        <v>879</v>
      </c>
      <c r="K946">
        <f t="shared" si="28"/>
        <v>5.1299989678070483</v>
      </c>
      <c r="L946">
        <v>494922</v>
      </c>
      <c r="M946">
        <v>1047313</v>
      </c>
      <c r="N946">
        <f t="shared" si="29"/>
        <v>111.6117287168483</v>
      </c>
      <c r="O946">
        <v>46127</v>
      </c>
      <c r="P946">
        <v>46143</v>
      </c>
      <c r="Q946" t="s">
        <v>25</v>
      </c>
    </row>
    <row r="947" spans="1:17" x14ac:dyDescent="0.3">
      <c r="A947" t="s">
        <v>998</v>
      </c>
      <c r="B947" t="s">
        <v>53</v>
      </c>
      <c r="C947" t="s">
        <v>28</v>
      </c>
      <c r="D947" t="s">
        <v>29</v>
      </c>
      <c r="E947">
        <v>1787322</v>
      </c>
      <c r="F947">
        <v>642749</v>
      </c>
      <c r="G947">
        <v>1071186</v>
      </c>
      <c r="H947">
        <v>16479</v>
      </c>
      <c r="I947">
        <v>2345</v>
      </c>
      <c r="J947">
        <v>612</v>
      </c>
      <c r="K947">
        <f t="shared" si="28"/>
        <v>3.0238864626782771</v>
      </c>
      <c r="L947">
        <v>134078</v>
      </c>
      <c r="M947">
        <v>659880</v>
      </c>
      <c r="N947">
        <f t="shared" si="29"/>
        <v>392.16127925535881</v>
      </c>
      <c r="O947">
        <v>45729</v>
      </c>
      <c r="P947">
        <v>45736</v>
      </c>
      <c r="Q947" t="s">
        <v>41</v>
      </c>
    </row>
    <row r="948" spans="1:17" x14ac:dyDescent="0.3">
      <c r="A948" t="s">
        <v>999</v>
      </c>
      <c r="B948" t="s">
        <v>18</v>
      </c>
      <c r="C948" t="s">
        <v>33</v>
      </c>
      <c r="D948" t="s">
        <v>40</v>
      </c>
      <c r="E948">
        <v>284594</v>
      </c>
      <c r="F948">
        <v>102518</v>
      </c>
      <c r="G948">
        <v>126444</v>
      </c>
      <c r="H948">
        <v>11747</v>
      </c>
      <c r="I948">
        <v>1602</v>
      </c>
      <c r="J948">
        <v>252</v>
      </c>
      <c r="K948">
        <f t="shared" si="28"/>
        <v>13.266938488850737</v>
      </c>
      <c r="L948">
        <v>238545</v>
      </c>
      <c r="M948">
        <v>963339</v>
      </c>
      <c r="N948">
        <f t="shared" si="29"/>
        <v>303.83952713324527</v>
      </c>
      <c r="O948">
        <v>45930</v>
      </c>
      <c r="P948">
        <v>45952</v>
      </c>
      <c r="Q948" t="s">
        <v>47</v>
      </c>
    </row>
    <row r="949" spans="1:17" x14ac:dyDescent="0.3">
      <c r="A949" t="s">
        <v>1000</v>
      </c>
      <c r="B949" t="s">
        <v>49</v>
      </c>
      <c r="C949" t="s">
        <v>28</v>
      </c>
      <c r="D949" t="s">
        <v>58</v>
      </c>
      <c r="E949">
        <v>842002</v>
      </c>
      <c r="F949">
        <v>641323</v>
      </c>
      <c r="G949">
        <v>1591033</v>
      </c>
      <c r="H949">
        <v>74818</v>
      </c>
      <c r="I949">
        <v>4066</v>
      </c>
      <c r="J949">
        <v>3527</v>
      </c>
      <c r="K949">
        <f t="shared" si="28"/>
        <v>12.850155070066096</v>
      </c>
      <c r="L949">
        <v>419220</v>
      </c>
      <c r="M949">
        <v>1313509</v>
      </c>
      <c r="N949">
        <f t="shared" si="29"/>
        <v>213.3221220361624</v>
      </c>
      <c r="O949">
        <v>46006</v>
      </c>
      <c r="P949">
        <v>46029</v>
      </c>
      <c r="Q949" t="s">
        <v>21</v>
      </c>
    </row>
    <row r="950" spans="1:17" x14ac:dyDescent="0.3">
      <c r="A950" t="s">
        <v>1001</v>
      </c>
      <c r="B950" t="s">
        <v>45</v>
      </c>
      <c r="C950" t="s">
        <v>28</v>
      </c>
      <c r="D950" t="s">
        <v>40</v>
      </c>
      <c r="E950">
        <v>639256</v>
      </c>
      <c r="F950">
        <v>350659</v>
      </c>
      <c r="G950">
        <v>493202</v>
      </c>
      <c r="H950">
        <v>32462</v>
      </c>
      <c r="I950">
        <v>1531</v>
      </c>
      <c r="J950">
        <v>1957</v>
      </c>
      <c r="K950">
        <f t="shared" si="28"/>
        <v>10.252125284107922</v>
      </c>
      <c r="L950">
        <v>139067</v>
      </c>
      <c r="M950">
        <v>218072</v>
      </c>
      <c r="N950">
        <f t="shared" si="29"/>
        <v>56.810745899458539</v>
      </c>
      <c r="O950">
        <v>45811</v>
      </c>
      <c r="P950">
        <v>45829</v>
      </c>
      <c r="Q950" t="s">
        <v>78</v>
      </c>
    </row>
    <row r="951" spans="1:17" x14ac:dyDescent="0.3">
      <c r="A951" t="s">
        <v>1002</v>
      </c>
      <c r="B951" t="s">
        <v>57</v>
      </c>
      <c r="C951" t="s">
        <v>33</v>
      </c>
      <c r="D951" t="s">
        <v>20</v>
      </c>
      <c r="E951">
        <v>647871</v>
      </c>
      <c r="F951">
        <v>481012</v>
      </c>
      <c r="G951">
        <v>683897</v>
      </c>
      <c r="H951">
        <v>57891</v>
      </c>
      <c r="I951">
        <v>3924</v>
      </c>
      <c r="J951">
        <v>5277</v>
      </c>
      <c r="K951">
        <f t="shared" si="28"/>
        <v>13.94809277107432</v>
      </c>
      <c r="L951">
        <v>102880</v>
      </c>
      <c r="M951">
        <v>502584</v>
      </c>
      <c r="N951">
        <f t="shared" si="29"/>
        <v>388.51477449455678</v>
      </c>
      <c r="O951">
        <v>46150</v>
      </c>
      <c r="P951">
        <v>46173</v>
      </c>
      <c r="Q951" t="s">
        <v>25</v>
      </c>
    </row>
    <row r="952" spans="1:17" x14ac:dyDescent="0.3">
      <c r="A952" t="s">
        <v>1003</v>
      </c>
      <c r="B952" t="s">
        <v>23</v>
      </c>
      <c r="C952" t="s">
        <v>19</v>
      </c>
      <c r="D952" t="s">
        <v>20</v>
      </c>
      <c r="E952">
        <v>1660392</v>
      </c>
      <c r="F952">
        <v>923380</v>
      </c>
      <c r="G952">
        <v>2048346</v>
      </c>
      <c r="H952">
        <v>86729</v>
      </c>
      <c r="I952">
        <v>8062</v>
      </c>
      <c r="J952">
        <v>2988</v>
      </c>
      <c r="K952">
        <f t="shared" si="28"/>
        <v>10.589248196842037</v>
      </c>
      <c r="L952">
        <v>435925</v>
      </c>
      <c r="M952">
        <v>1953776</v>
      </c>
      <c r="N952">
        <f t="shared" si="29"/>
        <v>348.19085851924069</v>
      </c>
      <c r="O952">
        <v>45809</v>
      </c>
      <c r="P952">
        <v>45818</v>
      </c>
      <c r="Q952" t="s">
        <v>25</v>
      </c>
    </row>
    <row r="953" spans="1:17" x14ac:dyDescent="0.3">
      <c r="A953" t="s">
        <v>1004</v>
      </c>
      <c r="B953" t="s">
        <v>23</v>
      </c>
      <c r="C953" t="s">
        <v>19</v>
      </c>
      <c r="D953" t="s">
        <v>24</v>
      </c>
      <c r="E953">
        <v>1378485</v>
      </c>
      <c r="F953">
        <v>479803</v>
      </c>
      <c r="G953">
        <v>875115</v>
      </c>
      <c r="H953">
        <v>54064</v>
      </c>
      <c r="I953">
        <v>6387</v>
      </c>
      <c r="J953">
        <v>4816</v>
      </c>
      <c r="K953">
        <f t="shared" si="28"/>
        <v>13.602874513081412</v>
      </c>
      <c r="L953">
        <v>281859</v>
      </c>
      <c r="M953">
        <v>424220</v>
      </c>
      <c r="N953">
        <f t="shared" si="29"/>
        <v>50.507878052501432</v>
      </c>
      <c r="O953">
        <v>45691</v>
      </c>
      <c r="P953">
        <v>45710</v>
      </c>
      <c r="Q953" t="s">
        <v>41</v>
      </c>
    </row>
    <row r="954" spans="1:17" x14ac:dyDescent="0.3">
      <c r="A954" t="s">
        <v>1005</v>
      </c>
      <c r="B954" t="s">
        <v>32</v>
      </c>
      <c r="C954" t="s">
        <v>28</v>
      </c>
      <c r="D954" t="s">
        <v>46</v>
      </c>
      <c r="E954">
        <v>315111</v>
      </c>
      <c r="F954">
        <v>270880</v>
      </c>
      <c r="G954">
        <v>648241</v>
      </c>
      <c r="H954">
        <v>13957</v>
      </c>
      <c r="I954">
        <v>1333</v>
      </c>
      <c r="J954">
        <v>385</v>
      </c>
      <c r="K954">
        <f t="shared" si="28"/>
        <v>5.7866952155936211</v>
      </c>
      <c r="L954">
        <v>294521</v>
      </c>
      <c r="M954">
        <v>491400</v>
      </c>
      <c r="N954">
        <f t="shared" si="29"/>
        <v>66.847185769435796</v>
      </c>
      <c r="O954">
        <v>45954</v>
      </c>
      <c r="P954">
        <v>45961</v>
      </c>
      <c r="Q954" t="s">
        <v>25</v>
      </c>
    </row>
    <row r="955" spans="1:17" x14ac:dyDescent="0.3">
      <c r="A955" t="s">
        <v>1006</v>
      </c>
      <c r="B955" t="s">
        <v>57</v>
      </c>
      <c r="C955" t="s">
        <v>33</v>
      </c>
      <c r="D955" t="s">
        <v>40</v>
      </c>
      <c r="E955">
        <v>532981</v>
      </c>
      <c r="F955">
        <v>219526</v>
      </c>
      <c r="G955">
        <v>548171</v>
      </c>
      <c r="H955">
        <v>18733</v>
      </c>
      <c r="I955">
        <v>1310</v>
      </c>
      <c r="J955">
        <v>1721</v>
      </c>
      <c r="K955">
        <f t="shared" si="28"/>
        <v>9.9140876251560179</v>
      </c>
      <c r="L955">
        <v>274815</v>
      </c>
      <c r="M955">
        <v>564531</v>
      </c>
      <c r="N955">
        <f t="shared" si="29"/>
        <v>105.42219311172971</v>
      </c>
      <c r="O955">
        <v>45896</v>
      </c>
      <c r="P955">
        <v>45923</v>
      </c>
      <c r="Q955" t="s">
        <v>41</v>
      </c>
    </row>
    <row r="956" spans="1:17" x14ac:dyDescent="0.3">
      <c r="A956" t="s">
        <v>1007</v>
      </c>
      <c r="B956" t="s">
        <v>32</v>
      </c>
      <c r="C956" t="s">
        <v>43</v>
      </c>
      <c r="D956" t="s">
        <v>20</v>
      </c>
      <c r="E956">
        <v>1503953</v>
      </c>
      <c r="F956">
        <v>572590</v>
      </c>
      <c r="G956">
        <v>1448954</v>
      </c>
      <c r="H956">
        <v>78576</v>
      </c>
      <c r="I956">
        <v>9067</v>
      </c>
      <c r="J956">
        <v>6617</v>
      </c>
      <c r="K956">
        <f t="shared" si="28"/>
        <v>16.462040901866956</v>
      </c>
      <c r="L956">
        <v>494181</v>
      </c>
      <c r="M956">
        <v>2137638</v>
      </c>
      <c r="N956">
        <f t="shared" si="29"/>
        <v>332.56175368943769</v>
      </c>
      <c r="O956">
        <v>45804</v>
      </c>
      <c r="P956">
        <v>45824</v>
      </c>
      <c r="Q956" t="s">
        <v>34</v>
      </c>
    </row>
    <row r="957" spans="1:17" x14ac:dyDescent="0.3">
      <c r="A957" t="s">
        <v>1008</v>
      </c>
      <c r="B957" t="s">
        <v>53</v>
      </c>
      <c r="C957" t="s">
        <v>33</v>
      </c>
      <c r="D957" t="s">
        <v>72</v>
      </c>
      <c r="E957">
        <v>1906309</v>
      </c>
      <c r="F957">
        <v>599413</v>
      </c>
      <c r="G957">
        <v>1619786</v>
      </c>
      <c r="H957">
        <v>62637</v>
      </c>
      <c r="I957">
        <v>6242</v>
      </c>
      <c r="J957">
        <v>4503</v>
      </c>
      <c r="K957">
        <f t="shared" si="28"/>
        <v>12.242310393668472</v>
      </c>
      <c r="L957">
        <v>41439</v>
      </c>
      <c r="M957">
        <v>150831</v>
      </c>
      <c r="N957">
        <f t="shared" si="29"/>
        <v>263.98320422790124</v>
      </c>
      <c r="O957">
        <v>46002</v>
      </c>
      <c r="P957">
        <v>46022</v>
      </c>
      <c r="Q957" t="s">
        <v>41</v>
      </c>
    </row>
    <row r="958" spans="1:17" x14ac:dyDescent="0.3">
      <c r="A958" t="s">
        <v>1009</v>
      </c>
      <c r="B958" t="s">
        <v>39</v>
      </c>
      <c r="C958" t="s">
        <v>33</v>
      </c>
      <c r="D958" t="s">
        <v>29</v>
      </c>
      <c r="E958">
        <v>1697727</v>
      </c>
      <c r="F958">
        <v>870683</v>
      </c>
      <c r="G958">
        <v>1632822</v>
      </c>
      <c r="H958">
        <v>93954</v>
      </c>
      <c r="I958">
        <v>13302</v>
      </c>
      <c r="J958">
        <v>6265</v>
      </c>
      <c r="K958">
        <f t="shared" si="28"/>
        <v>13.038155103522179</v>
      </c>
      <c r="L958">
        <v>436297</v>
      </c>
      <c r="M958">
        <v>1233211</v>
      </c>
      <c r="N958">
        <f t="shared" si="29"/>
        <v>182.65401779063345</v>
      </c>
      <c r="O958">
        <v>45787</v>
      </c>
      <c r="P958">
        <v>45801</v>
      </c>
      <c r="Q958" t="s">
        <v>54</v>
      </c>
    </row>
    <row r="959" spans="1:17" x14ac:dyDescent="0.3">
      <c r="A959" t="s">
        <v>1010</v>
      </c>
      <c r="B959" t="s">
        <v>75</v>
      </c>
      <c r="C959" t="s">
        <v>19</v>
      </c>
      <c r="D959" t="s">
        <v>29</v>
      </c>
      <c r="E959">
        <v>1187626</v>
      </c>
      <c r="F959">
        <v>551220</v>
      </c>
      <c r="G959">
        <v>833517</v>
      </c>
      <c r="H959">
        <v>41249</v>
      </c>
      <c r="I959">
        <v>5048</v>
      </c>
      <c r="J959">
        <v>2087</v>
      </c>
      <c r="K959">
        <f t="shared" si="28"/>
        <v>8.7776205507782734</v>
      </c>
      <c r="L959">
        <v>291719</v>
      </c>
      <c r="M959">
        <v>799261</v>
      </c>
      <c r="N959">
        <f t="shared" si="29"/>
        <v>173.98318244612111</v>
      </c>
      <c r="O959">
        <v>45932</v>
      </c>
      <c r="P959">
        <v>45961</v>
      </c>
      <c r="Q959" t="s">
        <v>25</v>
      </c>
    </row>
    <row r="960" spans="1:17" x14ac:dyDescent="0.3">
      <c r="A960" t="s">
        <v>1011</v>
      </c>
      <c r="B960" t="s">
        <v>23</v>
      </c>
      <c r="C960" t="s">
        <v>19</v>
      </c>
      <c r="D960" t="s">
        <v>29</v>
      </c>
      <c r="E960">
        <v>1022154</v>
      </c>
      <c r="F960">
        <v>820770</v>
      </c>
      <c r="G960">
        <v>1319618</v>
      </c>
      <c r="H960">
        <v>77368</v>
      </c>
      <c r="I960">
        <v>7349</v>
      </c>
      <c r="J960">
        <v>1862</v>
      </c>
      <c r="K960">
        <f t="shared" si="28"/>
        <v>10.548509326607942</v>
      </c>
      <c r="L960">
        <v>185267</v>
      </c>
      <c r="M960">
        <v>581875</v>
      </c>
      <c r="N960">
        <f t="shared" si="29"/>
        <v>214.07374222068691</v>
      </c>
      <c r="O960">
        <v>45779</v>
      </c>
      <c r="P960">
        <v>45797</v>
      </c>
      <c r="Q960" t="s">
        <v>54</v>
      </c>
    </row>
    <row r="961" spans="1:17" x14ac:dyDescent="0.3">
      <c r="A961" t="s">
        <v>1012</v>
      </c>
      <c r="B961" t="s">
        <v>39</v>
      </c>
      <c r="C961" t="s">
        <v>43</v>
      </c>
      <c r="D961" t="s">
        <v>24</v>
      </c>
      <c r="E961">
        <v>1780336</v>
      </c>
      <c r="F961">
        <v>521481</v>
      </c>
      <c r="G961">
        <v>916446</v>
      </c>
      <c r="H961">
        <v>74653</v>
      </c>
      <c r="I961">
        <v>8634</v>
      </c>
      <c r="J961">
        <v>5332</v>
      </c>
      <c r="K961">
        <f t="shared" si="28"/>
        <v>16.993715974311623</v>
      </c>
      <c r="L961">
        <v>64184</v>
      </c>
      <c r="M961">
        <v>120337</v>
      </c>
      <c r="N961">
        <f t="shared" si="29"/>
        <v>87.487535834475878</v>
      </c>
      <c r="O961">
        <v>45723</v>
      </c>
      <c r="P961">
        <v>45748</v>
      </c>
      <c r="Q961" t="s">
        <v>21</v>
      </c>
    </row>
    <row r="962" spans="1:17" x14ac:dyDescent="0.3">
      <c r="A962" t="s">
        <v>1013</v>
      </c>
      <c r="B962" t="s">
        <v>23</v>
      </c>
      <c r="C962" t="s">
        <v>19</v>
      </c>
      <c r="D962" t="s">
        <v>72</v>
      </c>
      <c r="E962">
        <v>1219519</v>
      </c>
      <c r="F962">
        <v>703027</v>
      </c>
      <c r="G962">
        <v>1217988</v>
      </c>
      <c r="H962">
        <v>55769</v>
      </c>
      <c r="I962">
        <v>4309</v>
      </c>
      <c r="J962">
        <v>2772</v>
      </c>
      <c r="K962">
        <f t="shared" ref="K962:K1001" si="30">((H962+I962+J962)/F962)*100</f>
        <v>8.9399126918311804</v>
      </c>
      <c r="L962">
        <v>216442</v>
      </c>
      <c r="M962">
        <v>390648</v>
      </c>
      <c r="N962">
        <f t="shared" ref="N962:N1001" si="31">((M962-L962)/L962)*100</f>
        <v>80.486227257186684</v>
      </c>
      <c r="O962">
        <v>45685</v>
      </c>
      <c r="P962">
        <v>45701</v>
      </c>
      <c r="Q962" t="s">
        <v>78</v>
      </c>
    </row>
    <row r="963" spans="1:17" x14ac:dyDescent="0.3">
      <c r="A963" t="s">
        <v>1014</v>
      </c>
      <c r="B963" t="s">
        <v>45</v>
      </c>
      <c r="C963" t="s">
        <v>19</v>
      </c>
      <c r="D963" t="s">
        <v>40</v>
      </c>
      <c r="E963">
        <v>1803669</v>
      </c>
      <c r="F963">
        <v>1193625</v>
      </c>
      <c r="G963">
        <v>2296478</v>
      </c>
      <c r="H963">
        <v>62136</v>
      </c>
      <c r="I963">
        <v>5693</v>
      </c>
      <c r="J963">
        <v>3756</v>
      </c>
      <c r="K963">
        <f t="shared" si="30"/>
        <v>5.9972772018012357</v>
      </c>
      <c r="L963">
        <v>13112</v>
      </c>
      <c r="M963">
        <v>55548</v>
      </c>
      <c r="N963">
        <f t="shared" si="31"/>
        <v>323.64246491763271</v>
      </c>
      <c r="O963">
        <v>45949</v>
      </c>
      <c r="P963">
        <v>45975</v>
      </c>
      <c r="Q963" t="s">
        <v>54</v>
      </c>
    </row>
    <row r="964" spans="1:17" x14ac:dyDescent="0.3">
      <c r="A964" t="s">
        <v>1015</v>
      </c>
      <c r="B964" t="s">
        <v>36</v>
      </c>
      <c r="C964" t="s">
        <v>37</v>
      </c>
      <c r="D964" t="s">
        <v>24</v>
      </c>
      <c r="E964">
        <v>510407</v>
      </c>
      <c r="F964">
        <v>220612</v>
      </c>
      <c r="G964">
        <v>527998</v>
      </c>
      <c r="H964">
        <v>21949</v>
      </c>
      <c r="I964">
        <v>1327</v>
      </c>
      <c r="J964">
        <v>2032</v>
      </c>
      <c r="K964">
        <f t="shared" si="30"/>
        <v>11.471724112922233</v>
      </c>
      <c r="L964">
        <v>387048</v>
      </c>
      <c r="M964">
        <v>1451882</v>
      </c>
      <c r="N964">
        <f t="shared" si="31"/>
        <v>275.11678138112069</v>
      </c>
      <c r="O964">
        <v>45846</v>
      </c>
      <c r="P964">
        <v>45853</v>
      </c>
      <c r="Q964" t="s">
        <v>54</v>
      </c>
    </row>
    <row r="965" spans="1:17" x14ac:dyDescent="0.3">
      <c r="A965" t="s">
        <v>1016</v>
      </c>
      <c r="B965" t="s">
        <v>36</v>
      </c>
      <c r="C965" t="s">
        <v>28</v>
      </c>
      <c r="D965" t="s">
        <v>51</v>
      </c>
      <c r="E965">
        <v>1960129</v>
      </c>
      <c r="F965">
        <v>1235259</v>
      </c>
      <c r="G965">
        <v>2198649</v>
      </c>
      <c r="H965">
        <v>42307</v>
      </c>
      <c r="I965">
        <v>5901</v>
      </c>
      <c r="J965">
        <v>1629</v>
      </c>
      <c r="K965">
        <f t="shared" si="30"/>
        <v>4.0345385056899001</v>
      </c>
      <c r="L965">
        <v>389083</v>
      </c>
      <c r="M965">
        <v>617064</v>
      </c>
      <c r="N965">
        <f t="shared" si="31"/>
        <v>58.59443871873097</v>
      </c>
      <c r="O965">
        <v>45728</v>
      </c>
      <c r="P965">
        <v>45742</v>
      </c>
      <c r="Q965" t="s">
        <v>78</v>
      </c>
    </row>
    <row r="966" spans="1:17" x14ac:dyDescent="0.3">
      <c r="A966" t="s">
        <v>1017</v>
      </c>
      <c r="B966" t="s">
        <v>103</v>
      </c>
      <c r="C966" t="s">
        <v>43</v>
      </c>
      <c r="D966" t="s">
        <v>58</v>
      </c>
      <c r="E966">
        <v>111247</v>
      </c>
      <c r="F966">
        <v>34301</v>
      </c>
      <c r="G966">
        <v>57190</v>
      </c>
      <c r="H966">
        <v>3703</v>
      </c>
      <c r="I966">
        <v>509</v>
      </c>
      <c r="J966">
        <v>174</v>
      </c>
      <c r="K966">
        <f t="shared" si="30"/>
        <v>12.786799218681672</v>
      </c>
      <c r="L966">
        <v>391531</v>
      </c>
      <c r="M966">
        <v>1137303</v>
      </c>
      <c r="N966">
        <f t="shared" si="31"/>
        <v>190.4758499327001</v>
      </c>
      <c r="O966">
        <v>45716</v>
      </c>
      <c r="P966">
        <v>45728</v>
      </c>
      <c r="Q966" t="s">
        <v>30</v>
      </c>
    </row>
    <row r="967" spans="1:17" x14ac:dyDescent="0.3">
      <c r="A967" t="s">
        <v>1018</v>
      </c>
      <c r="B967" t="s">
        <v>57</v>
      </c>
      <c r="C967" t="s">
        <v>28</v>
      </c>
      <c r="D967" t="s">
        <v>46</v>
      </c>
      <c r="E967">
        <v>53208</v>
      </c>
      <c r="F967">
        <v>44207</v>
      </c>
      <c r="G967">
        <v>114052</v>
      </c>
      <c r="H967">
        <v>1174</v>
      </c>
      <c r="I967">
        <v>168</v>
      </c>
      <c r="J967">
        <v>88</v>
      </c>
      <c r="K967">
        <f t="shared" si="30"/>
        <v>3.2347818218834119</v>
      </c>
      <c r="L967">
        <v>238392</v>
      </c>
      <c r="M967">
        <v>518255</v>
      </c>
      <c r="N967">
        <f t="shared" si="31"/>
        <v>117.396137454277</v>
      </c>
      <c r="O967">
        <v>45944</v>
      </c>
      <c r="P967">
        <v>45964</v>
      </c>
      <c r="Q967" t="s">
        <v>21</v>
      </c>
    </row>
    <row r="968" spans="1:17" x14ac:dyDescent="0.3">
      <c r="A968" t="s">
        <v>1019</v>
      </c>
      <c r="B968" t="s">
        <v>49</v>
      </c>
      <c r="C968" t="s">
        <v>43</v>
      </c>
      <c r="D968" t="s">
        <v>40</v>
      </c>
      <c r="E968">
        <v>1569695</v>
      </c>
      <c r="F968">
        <v>1190890</v>
      </c>
      <c r="G968">
        <v>2710690</v>
      </c>
      <c r="H968">
        <v>134204</v>
      </c>
      <c r="I968">
        <v>17013</v>
      </c>
      <c r="J968">
        <v>8538</v>
      </c>
      <c r="K968">
        <f t="shared" si="30"/>
        <v>13.414757030456215</v>
      </c>
      <c r="L968">
        <v>228799</v>
      </c>
      <c r="M968">
        <v>1011271</v>
      </c>
      <c r="N968">
        <f t="shared" si="31"/>
        <v>341.99100520544232</v>
      </c>
      <c r="O968">
        <v>45851</v>
      </c>
      <c r="P968">
        <v>45876</v>
      </c>
      <c r="Q968" t="s">
        <v>21</v>
      </c>
    </row>
    <row r="969" spans="1:17" x14ac:dyDescent="0.3">
      <c r="A969" t="s">
        <v>1020</v>
      </c>
      <c r="B969" t="s">
        <v>23</v>
      </c>
      <c r="C969" t="s">
        <v>19</v>
      </c>
      <c r="D969" t="s">
        <v>24</v>
      </c>
      <c r="E969">
        <v>433098</v>
      </c>
      <c r="F969">
        <v>246896</v>
      </c>
      <c r="G969">
        <v>361259</v>
      </c>
      <c r="H969">
        <v>36120</v>
      </c>
      <c r="I969">
        <v>1773</v>
      </c>
      <c r="J969">
        <v>900</v>
      </c>
      <c r="K969">
        <f t="shared" si="30"/>
        <v>15.712283714600481</v>
      </c>
      <c r="L969">
        <v>238276</v>
      </c>
      <c r="M969">
        <v>806264</v>
      </c>
      <c r="N969">
        <f t="shared" si="31"/>
        <v>238.37398646947236</v>
      </c>
      <c r="O969">
        <v>45899</v>
      </c>
      <c r="P969">
        <v>45918</v>
      </c>
      <c r="Q969" t="s">
        <v>47</v>
      </c>
    </row>
    <row r="970" spans="1:17" x14ac:dyDescent="0.3">
      <c r="A970" t="s">
        <v>1021</v>
      </c>
      <c r="B970" t="s">
        <v>75</v>
      </c>
      <c r="C970" t="s">
        <v>33</v>
      </c>
      <c r="D970" t="s">
        <v>20</v>
      </c>
      <c r="E970">
        <v>1880816</v>
      </c>
      <c r="F970">
        <v>1023665</v>
      </c>
      <c r="G970">
        <v>1419699</v>
      </c>
      <c r="H970">
        <v>141055</v>
      </c>
      <c r="I970">
        <v>18311</v>
      </c>
      <c r="J970">
        <v>12880</v>
      </c>
      <c r="K970">
        <f t="shared" si="30"/>
        <v>16.826403169005484</v>
      </c>
      <c r="L970">
        <v>307667</v>
      </c>
      <c r="M970">
        <v>1321888</v>
      </c>
      <c r="N970">
        <f t="shared" si="31"/>
        <v>329.64893862520188</v>
      </c>
      <c r="O970">
        <v>45788</v>
      </c>
      <c r="P970">
        <v>45813</v>
      </c>
      <c r="Q970" t="s">
        <v>30</v>
      </c>
    </row>
    <row r="971" spans="1:17" x14ac:dyDescent="0.3">
      <c r="A971" t="s">
        <v>1022</v>
      </c>
      <c r="B971" t="s">
        <v>53</v>
      </c>
      <c r="C971" t="s">
        <v>33</v>
      </c>
      <c r="D971" t="s">
        <v>58</v>
      </c>
      <c r="E971">
        <v>60532</v>
      </c>
      <c r="F971">
        <v>31774</v>
      </c>
      <c r="G971">
        <v>82488</v>
      </c>
      <c r="H971">
        <v>3936</v>
      </c>
      <c r="I971">
        <v>231</v>
      </c>
      <c r="J971">
        <v>297</v>
      </c>
      <c r="K971">
        <f t="shared" si="30"/>
        <v>14.04922263485869</v>
      </c>
      <c r="L971">
        <v>434789</v>
      </c>
      <c r="M971">
        <v>855644</v>
      </c>
      <c r="N971">
        <f t="shared" si="31"/>
        <v>96.795227110161491</v>
      </c>
      <c r="O971">
        <v>45861</v>
      </c>
      <c r="P971">
        <v>45869</v>
      </c>
      <c r="Q971" t="s">
        <v>21</v>
      </c>
    </row>
    <row r="972" spans="1:17" x14ac:dyDescent="0.3">
      <c r="A972" t="s">
        <v>1023</v>
      </c>
      <c r="B972" t="s">
        <v>63</v>
      </c>
      <c r="C972" t="s">
        <v>43</v>
      </c>
      <c r="D972" t="s">
        <v>46</v>
      </c>
      <c r="E972">
        <v>1991662</v>
      </c>
      <c r="F972">
        <v>593676</v>
      </c>
      <c r="G972">
        <v>836297</v>
      </c>
      <c r="H972">
        <v>44733</v>
      </c>
      <c r="I972">
        <v>2723</v>
      </c>
      <c r="J972">
        <v>3535</v>
      </c>
      <c r="K972">
        <f t="shared" si="30"/>
        <v>8.5890283589028371</v>
      </c>
      <c r="L972">
        <v>162261</v>
      </c>
      <c r="M972">
        <v>733518</v>
      </c>
      <c r="N972">
        <f t="shared" si="31"/>
        <v>352.06056908314383</v>
      </c>
      <c r="O972">
        <v>46076</v>
      </c>
      <c r="P972">
        <v>46091</v>
      </c>
      <c r="Q972" t="s">
        <v>30</v>
      </c>
    </row>
    <row r="973" spans="1:17" x14ac:dyDescent="0.3">
      <c r="A973" t="s">
        <v>1024</v>
      </c>
      <c r="B973" t="s">
        <v>23</v>
      </c>
      <c r="C973" t="s">
        <v>43</v>
      </c>
      <c r="D973" t="s">
        <v>29</v>
      </c>
      <c r="E973">
        <v>412529</v>
      </c>
      <c r="F973">
        <v>296740</v>
      </c>
      <c r="G973">
        <v>861728</v>
      </c>
      <c r="H973">
        <v>22763</v>
      </c>
      <c r="I973">
        <v>981</v>
      </c>
      <c r="J973">
        <v>1207</v>
      </c>
      <c r="K973">
        <f t="shared" si="30"/>
        <v>8.4083709644806888</v>
      </c>
      <c r="L973">
        <v>43207</v>
      </c>
      <c r="M973">
        <v>124726</v>
      </c>
      <c r="N973">
        <f t="shared" si="31"/>
        <v>188.6708172286898</v>
      </c>
      <c r="O973">
        <v>45874</v>
      </c>
      <c r="P973">
        <v>45886</v>
      </c>
      <c r="Q973" t="s">
        <v>54</v>
      </c>
    </row>
    <row r="974" spans="1:17" x14ac:dyDescent="0.3">
      <c r="A974" t="s">
        <v>1025</v>
      </c>
      <c r="B974" t="s">
        <v>36</v>
      </c>
      <c r="C974" t="s">
        <v>43</v>
      </c>
      <c r="D974" t="s">
        <v>51</v>
      </c>
      <c r="E974">
        <v>274474</v>
      </c>
      <c r="F974">
        <v>210104</v>
      </c>
      <c r="G974">
        <v>553559</v>
      </c>
      <c r="H974">
        <v>16966</v>
      </c>
      <c r="I974">
        <v>2080</v>
      </c>
      <c r="J974">
        <v>441</v>
      </c>
      <c r="K974">
        <f t="shared" si="30"/>
        <v>9.2749305106042712</v>
      </c>
      <c r="L974">
        <v>458218</v>
      </c>
      <c r="M974">
        <v>1562997</v>
      </c>
      <c r="N974">
        <f t="shared" si="31"/>
        <v>241.10336128218447</v>
      </c>
      <c r="O974">
        <v>45911</v>
      </c>
      <c r="P974">
        <v>45934</v>
      </c>
      <c r="Q974" t="s">
        <v>47</v>
      </c>
    </row>
    <row r="975" spans="1:17" x14ac:dyDescent="0.3">
      <c r="A975" t="s">
        <v>1026</v>
      </c>
      <c r="B975" t="s">
        <v>103</v>
      </c>
      <c r="C975" t="s">
        <v>28</v>
      </c>
      <c r="D975" t="s">
        <v>29</v>
      </c>
      <c r="E975">
        <v>619308</v>
      </c>
      <c r="F975">
        <v>392268</v>
      </c>
      <c r="G975">
        <v>816139</v>
      </c>
      <c r="H975">
        <v>40579</v>
      </c>
      <c r="I975">
        <v>3477</v>
      </c>
      <c r="J975">
        <v>2184</v>
      </c>
      <c r="K975">
        <f t="shared" si="30"/>
        <v>11.787859320668522</v>
      </c>
      <c r="L975">
        <v>107512</v>
      </c>
      <c r="M975">
        <v>393751</v>
      </c>
      <c r="N975">
        <f t="shared" si="31"/>
        <v>266.23911749386116</v>
      </c>
      <c r="O975">
        <v>45844</v>
      </c>
      <c r="P975">
        <v>45853</v>
      </c>
      <c r="Q975" t="s">
        <v>54</v>
      </c>
    </row>
    <row r="976" spans="1:17" x14ac:dyDescent="0.3">
      <c r="A976" t="s">
        <v>1027</v>
      </c>
      <c r="B976" t="s">
        <v>61</v>
      </c>
      <c r="C976" t="s">
        <v>19</v>
      </c>
      <c r="D976" t="s">
        <v>20</v>
      </c>
      <c r="E976">
        <v>945091</v>
      </c>
      <c r="F976">
        <v>558185</v>
      </c>
      <c r="G976">
        <v>1452049</v>
      </c>
      <c r="H976">
        <v>50895</v>
      </c>
      <c r="I976">
        <v>4371</v>
      </c>
      <c r="J976">
        <v>1763</v>
      </c>
      <c r="K976">
        <f t="shared" si="30"/>
        <v>10.216863584653833</v>
      </c>
      <c r="L976">
        <v>405115</v>
      </c>
      <c r="M976">
        <v>1983204</v>
      </c>
      <c r="N976">
        <f t="shared" si="31"/>
        <v>389.54099453241673</v>
      </c>
      <c r="O976">
        <v>45686</v>
      </c>
      <c r="P976">
        <v>45694</v>
      </c>
      <c r="Q976" t="s">
        <v>25</v>
      </c>
    </row>
    <row r="977" spans="1:17" x14ac:dyDescent="0.3">
      <c r="A977" t="s">
        <v>1028</v>
      </c>
      <c r="B977" t="s">
        <v>18</v>
      </c>
      <c r="C977" t="s">
        <v>28</v>
      </c>
      <c r="D977" t="s">
        <v>58</v>
      </c>
      <c r="E977">
        <v>1750990</v>
      </c>
      <c r="F977">
        <v>593982</v>
      </c>
      <c r="G977">
        <v>895613</v>
      </c>
      <c r="H977">
        <v>14063</v>
      </c>
      <c r="I977">
        <v>1398</v>
      </c>
      <c r="J977">
        <v>1329</v>
      </c>
      <c r="K977">
        <f t="shared" si="30"/>
        <v>2.8266849837200456</v>
      </c>
      <c r="L977">
        <v>160793</v>
      </c>
      <c r="M977">
        <v>450730</v>
      </c>
      <c r="N977">
        <f t="shared" si="31"/>
        <v>180.31692921955559</v>
      </c>
      <c r="O977">
        <v>45713</v>
      </c>
      <c r="P977">
        <v>45723</v>
      </c>
      <c r="Q977" t="s">
        <v>54</v>
      </c>
    </row>
    <row r="978" spans="1:17" x14ac:dyDescent="0.3">
      <c r="A978" t="s">
        <v>1029</v>
      </c>
      <c r="B978" t="s">
        <v>75</v>
      </c>
      <c r="C978" t="s">
        <v>19</v>
      </c>
      <c r="D978" t="s">
        <v>51</v>
      </c>
      <c r="E978">
        <v>529258</v>
      </c>
      <c r="F978">
        <v>396037</v>
      </c>
      <c r="G978">
        <v>1085879</v>
      </c>
      <c r="H978">
        <v>56081</v>
      </c>
      <c r="I978">
        <v>2365</v>
      </c>
      <c r="J978">
        <v>5026</v>
      </c>
      <c r="K978">
        <f t="shared" si="30"/>
        <v>16.026785376113846</v>
      </c>
      <c r="L978">
        <v>443602</v>
      </c>
      <c r="M978">
        <v>1874455</v>
      </c>
      <c r="N978">
        <f t="shared" si="31"/>
        <v>322.55332482720996</v>
      </c>
      <c r="O978">
        <v>45707</v>
      </c>
      <c r="P978">
        <v>45718</v>
      </c>
      <c r="Q978" t="s">
        <v>47</v>
      </c>
    </row>
    <row r="979" spans="1:17" x14ac:dyDescent="0.3">
      <c r="A979" t="s">
        <v>1030</v>
      </c>
      <c r="B979" t="s">
        <v>61</v>
      </c>
      <c r="C979" t="s">
        <v>33</v>
      </c>
      <c r="D979" t="s">
        <v>40</v>
      </c>
      <c r="E979">
        <v>60696</v>
      </c>
      <c r="F979">
        <v>44954</v>
      </c>
      <c r="G979">
        <v>109166</v>
      </c>
      <c r="H979">
        <v>983</v>
      </c>
      <c r="I979">
        <v>136</v>
      </c>
      <c r="J979">
        <v>83</v>
      </c>
      <c r="K979">
        <f t="shared" si="30"/>
        <v>2.6738443742492324</v>
      </c>
      <c r="L979">
        <v>344578</v>
      </c>
      <c r="M979">
        <v>1405170</v>
      </c>
      <c r="N979">
        <f t="shared" si="31"/>
        <v>307.79446163132877</v>
      </c>
      <c r="O979">
        <v>45825</v>
      </c>
      <c r="P979">
        <v>45849</v>
      </c>
      <c r="Q979" t="s">
        <v>78</v>
      </c>
    </row>
    <row r="980" spans="1:17" x14ac:dyDescent="0.3">
      <c r="A980" t="s">
        <v>1031</v>
      </c>
      <c r="B980" t="s">
        <v>75</v>
      </c>
      <c r="C980" t="s">
        <v>19</v>
      </c>
      <c r="D980" t="s">
        <v>29</v>
      </c>
      <c r="E980">
        <v>1128470</v>
      </c>
      <c r="F980">
        <v>918877</v>
      </c>
      <c r="G980">
        <v>2482193</v>
      </c>
      <c r="H980">
        <v>137795</v>
      </c>
      <c r="I980">
        <v>13902</v>
      </c>
      <c r="J980">
        <v>13005</v>
      </c>
      <c r="K980">
        <f t="shared" si="30"/>
        <v>17.924270604226681</v>
      </c>
      <c r="L980">
        <v>346723</v>
      </c>
      <c r="M980">
        <v>1499892</v>
      </c>
      <c r="N980">
        <f t="shared" si="31"/>
        <v>332.59085783175618</v>
      </c>
      <c r="O980">
        <v>46029</v>
      </c>
      <c r="P980">
        <v>46040</v>
      </c>
      <c r="Q980" t="s">
        <v>21</v>
      </c>
    </row>
    <row r="981" spans="1:17" x14ac:dyDescent="0.3">
      <c r="A981" t="s">
        <v>1032</v>
      </c>
      <c r="B981" t="s">
        <v>53</v>
      </c>
      <c r="C981" t="s">
        <v>19</v>
      </c>
      <c r="D981" t="s">
        <v>40</v>
      </c>
      <c r="E981">
        <v>1000098</v>
      </c>
      <c r="F981">
        <v>508583</v>
      </c>
      <c r="G981">
        <v>759627</v>
      </c>
      <c r="H981">
        <v>49016</v>
      </c>
      <c r="I981">
        <v>7160</v>
      </c>
      <c r="J981">
        <v>4162</v>
      </c>
      <c r="K981">
        <f t="shared" si="30"/>
        <v>11.863943545104732</v>
      </c>
      <c r="L981">
        <v>383278</v>
      </c>
      <c r="M981">
        <v>1073999</v>
      </c>
      <c r="N981">
        <f t="shared" si="31"/>
        <v>180.21410047015482</v>
      </c>
      <c r="O981">
        <v>46015</v>
      </c>
      <c r="P981">
        <v>46025</v>
      </c>
      <c r="Q981" t="s">
        <v>41</v>
      </c>
    </row>
    <row r="982" spans="1:17" x14ac:dyDescent="0.3">
      <c r="A982" t="s">
        <v>1033</v>
      </c>
      <c r="B982" t="s">
        <v>57</v>
      </c>
      <c r="C982" t="s">
        <v>19</v>
      </c>
      <c r="D982" t="s">
        <v>20</v>
      </c>
      <c r="E982">
        <v>1422174</v>
      </c>
      <c r="F982">
        <v>472455</v>
      </c>
      <c r="G982">
        <v>994648</v>
      </c>
      <c r="H982">
        <v>21795</v>
      </c>
      <c r="I982">
        <v>918</v>
      </c>
      <c r="J982">
        <v>2109</v>
      </c>
      <c r="K982">
        <f t="shared" si="30"/>
        <v>5.2538336984474716</v>
      </c>
      <c r="L982">
        <v>15200</v>
      </c>
      <c r="M982">
        <v>51865</v>
      </c>
      <c r="N982">
        <f t="shared" si="31"/>
        <v>241.21710526315789</v>
      </c>
      <c r="O982">
        <v>46073</v>
      </c>
      <c r="P982">
        <v>46101</v>
      </c>
      <c r="Q982" t="s">
        <v>78</v>
      </c>
    </row>
    <row r="983" spans="1:17" x14ac:dyDescent="0.3">
      <c r="A983" t="s">
        <v>1034</v>
      </c>
      <c r="B983" t="s">
        <v>63</v>
      </c>
      <c r="C983" t="s">
        <v>43</v>
      </c>
      <c r="D983" t="s">
        <v>20</v>
      </c>
      <c r="E983">
        <v>933598</v>
      </c>
      <c r="F983">
        <v>799449</v>
      </c>
      <c r="G983">
        <v>2260117</v>
      </c>
      <c r="H983">
        <v>91629</v>
      </c>
      <c r="I983">
        <v>5363</v>
      </c>
      <c r="J983">
        <v>4239</v>
      </c>
      <c r="K983">
        <f t="shared" si="30"/>
        <v>12.662596363245186</v>
      </c>
      <c r="L983">
        <v>112614</v>
      </c>
      <c r="M983">
        <v>549107</v>
      </c>
      <c r="N983">
        <f t="shared" si="31"/>
        <v>387.60100875557214</v>
      </c>
      <c r="O983">
        <v>46007</v>
      </c>
      <c r="P983">
        <v>46026</v>
      </c>
      <c r="Q983" t="s">
        <v>34</v>
      </c>
    </row>
    <row r="984" spans="1:17" x14ac:dyDescent="0.3">
      <c r="A984" t="s">
        <v>1035</v>
      </c>
      <c r="B984" t="s">
        <v>36</v>
      </c>
      <c r="C984" t="s">
        <v>37</v>
      </c>
      <c r="D984" t="s">
        <v>51</v>
      </c>
      <c r="E984">
        <v>803649</v>
      </c>
      <c r="F984">
        <v>529270</v>
      </c>
      <c r="G984">
        <v>769797</v>
      </c>
      <c r="H984">
        <v>23419</v>
      </c>
      <c r="I984">
        <v>3329</v>
      </c>
      <c r="J984">
        <v>709</v>
      </c>
      <c r="K984">
        <f t="shared" si="30"/>
        <v>5.1877113760462521</v>
      </c>
      <c r="L984">
        <v>339913</v>
      </c>
      <c r="M984">
        <v>1095695</v>
      </c>
      <c r="N984">
        <f t="shared" si="31"/>
        <v>222.34571787486797</v>
      </c>
      <c r="O984">
        <v>45775</v>
      </c>
      <c r="P984">
        <v>45803</v>
      </c>
      <c r="Q984" t="s">
        <v>34</v>
      </c>
    </row>
    <row r="985" spans="1:17" x14ac:dyDescent="0.3">
      <c r="A985" t="s">
        <v>1036</v>
      </c>
      <c r="B985" t="s">
        <v>80</v>
      </c>
      <c r="C985" t="s">
        <v>28</v>
      </c>
      <c r="D985" t="s">
        <v>24</v>
      </c>
      <c r="E985">
        <v>680837</v>
      </c>
      <c r="F985">
        <v>311208</v>
      </c>
      <c r="G985">
        <v>496224</v>
      </c>
      <c r="H985">
        <v>6954</v>
      </c>
      <c r="I985">
        <v>1022</v>
      </c>
      <c r="J985">
        <v>472</v>
      </c>
      <c r="K985">
        <f t="shared" si="30"/>
        <v>2.7145831726690832</v>
      </c>
      <c r="L985">
        <v>276650</v>
      </c>
      <c r="M985">
        <v>752372</v>
      </c>
      <c r="N985">
        <f t="shared" si="31"/>
        <v>171.95806976323874</v>
      </c>
      <c r="O985">
        <v>46025</v>
      </c>
      <c r="P985">
        <v>46036</v>
      </c>
      <c r="Q985" t="s">
        <v>78</v>
      </c>
    </row>
    <row r="986" spans="1:17" x14ac:dyDescent="0.3">
      <c r="A986" t="s">
        <v>1037</v>
      </c>
      <c r="B986" t="s">
        <v>61</v>
      </c>
      <c r="C986" t="s">
        <v>43</v>
      </c>
      <c r="D986" t="s">
        <v>24</v>
      </c>
      <c r="E986">
        <v>733080</v>
      </c>
      <c r="F986">
        <v>503528</v>
      </c>
      <c r="G986">
        <v>969355</v>
      </c>
      <c r="H986">
        <v>54691</v>
      </c>
      <c r="I986">
        <v>2413</v>
      </c>
      <c r="J986">
        <v>4511</v>
      </c>
      <c r="K986">
        <f t="shared" si="30"/>
        <v>12.236658140163009</v>
      </c>
      <c r="L986">
        <v>195082</v>
      </c>
      <c r="M986">
        <v>694609</v>
      </c>
      <c r="N986">
        <f t="shared" si="31"/>
        <v>256.06001578823265</v>
      </c>
      <c r="O986">
        <v>45754</v>
      </c>
      <c r="P986">
        <v>45776</v>
      </c>
      <c r="Q986" t="s">
        <v>25</v>
      </c>
    </row>
    <row r="987" spans="1:17" x14ac:dyDescent="0.3">
      <c r="A987" t="s">
        <v>1038</v>
      </c>
      <c r="B987" t="s">
        <v>32</v>
      </c>
      <c r="C987" t="s">
        <v>33</v>
      </c>
      <c r="D987" t="s">
        <v>40</v>
      </c>
      <c r="E987">
        <v>969157</v>
      </c>
      <c r="F987">
        <v>349315</v>
      </c>
      <c r="G987">
        <v>780745</v>
      </c>
      <c r="H987">
        <v>16334</v>
      </c>
      <c r="I987">
        <v>965</v>
      </c>
      <c r="J987">
        <v>379</v>
      </c>
      <c r="K987">
        <f t="shared" si="30"/>
        <v>5.0607617766199562</v>
      </c>
      <c r="L987">
        <v>396265</v>
      </c>
      <c r="M987">
        <v>859396</v>
      </c>
      <c r="N987">
        <f t="shared" si="31"/>
        <v>116.87406154972051</v>
      </c>
      <c r="O987">
        <v>45677</v>
      </c>
      <c r="P987">
        <v>45702</v>
      </c>
      <c r="Q987" t="s">
        <v>25</v>
      </c>
    </row>
    <row r="988" spans="1:17" x14ac:dyDescent="0.3">
      <c r="A988" t="s">
        <v>1039</v>
      </c>
      <c r="B988" t="s">
        <v>36</v>
      </c>
      <c r="C988" t="s">
        <v>33</v>
      </c>
      <c r="D988" t="s">
        <v>51</v>
      </c>
      <c r="E988">
        <v>1068060</v>
      </c>
      <c r="F988">
        <v>346503</v>
      </c>
      <c r="G988">
        <v>547901</v>
      </c>
      <c r="H988">
        <v>41244</v>
      </c>
      <c r="I988">
        <v>4923</v>
      </c>
      <c r="J988">
        <v>3497</v>
      </c>
      <c r="K988">
        <f t="shared" si="30"/>
        <v>14.332920638493752</v>
      </c>
      <c r="L988">
        <v>305535</v>
      </c>
      <c r="M988">
        <v>954211</v>
      </c>
      <c r="N988">
        <f t="shared" si="31"/>
        <v>212.3082461911074</v>
      </c>
      <c r="O988">
        <v>46145</v>
      </c>
      <c r="P988">
        <v>46152</v>
      </c>
      <c r="Q988" t="s">
        <v>21</v>
      </c>
    </row>
    <row r="989" spans="1:17" x14ac:dyDescent="0.3">
      <c r="A989" t="s">
        <v>1040</v>
      </c>
      <c r="B989" t="s">
        <v>32</v>
      </c>
      <c r="C989" t="s">
        <v>19</v>
      </c>
      <c r="D989" t="s">
        <v>51</v>
      </c>
      <c r="E989">
        <v>1020799</v>
      </c>
      <c r="F989">
        <v>801730</v>
      </c>
      <c r="G989">
        <v>1824337</v>
      </c>
      <c r="H989">
        <v>47185</v>
      </c>
      <c r="I989">
        <v>2243</v>
      </c>
      <c r="J989">
        <v>4033</v>
      </c>
      <c r="K989">
        <f t="shared" si="30"/>
        <v>6.6682050066730696</v>
      </c>
      <c r="L989">
        <v>264380</v>
      </c>
      <c r="M989">
        <v>1183962</v>
      </c>
      <c r="N989">
        <f t="shared" si="31"/>
        <v>347.82585672138589</v>
      </c>
      <c r="O989">
        <v>45721</v>
      </c>
      <c r="P989">
        <v>45728</v>
      </c>
      <c r="Q989" t="s">
        <v>78</v>
      </c>
    </row>
    <row r="990" spans="1:17" x14ac:dyDescent="0.3">
      <c r="A990" t="s">
        <v>1041</v>
      </c>
      <c r="B990" t="s">
        <v>23</v>
      </c>
      <c r="C990" t="s">
        <v>19</v>
      </c>
      <c r="D990" t="s">
        <v>58</v>
      </c>
      <c r="E990">
        <v>1902665</v>
      </c>
      <c r="F990">
        <v>533389</v>
      </c>
      <c r="G990">
        <v>1035172</v>
      </c>
      <c r="H990">
        <v>74317</v>
      </c>
      <c r="I990">
        <v>2994</v>
      </c>
      <c r="J990">
        <v>5093</v>
      </c>
      <c r="K990">
        <f t="shared" si="30"/>
        <v>15.449137496273826</v>
      </c>
      <c r="L990">
        <v>140626</v>
      </c>
      <c r="M990">
        <v>667951</v>
      </c>
      <c r="N990">
        <f t="shared" si="31"/>
        <v>374.98400011377697</v>
      </c>
      <c r="O990">
        <v>45869</v>
      </c>
      <c r="P990">
        <v>45877</v>
      </c>
      <c r="Q990" t="s">
        <v>41</v>
      </c>
    </row>
    <row r="991" spans="1:17" x14ac:dyDescent="0.3">
      <c r="A991" t="s">
        <v>1042</v>
      </c>
      <c r="B991" t="s">
        <v>23</v>
      </c>
      <c r="C991" t="s">
        <v>28</v>
      </c>
      <c r="D991" t="s">
        <v>40</v>
      </c>
      <c r="E991">
        <v>52559</v>
      </c>
      <c r="F991">
        <v>24608</v>
      </c>
      <c r="G991">
        <v>42590</v>
      </c>
      <c r="H991">
        <v>3125</v>
      </c>
      <c r="I991">
        <v>197</v>
      </c>
      <c r="J991">
        <v>201</v>
      </c>
      <c r="K991">
        <f t="shared" si="30"/>
        <v>14.316482444733419</v>
      </c>
      <c r="L991">
        <v>185098</v>
      </c>
      <c r="M991">
        <v>865754</v>
      </c>
      <c r="N991">
        <f t="shared" si="31"/>
        <v>367.7273660439335</v>
      </c>
      <c r="O991">
        <v>46139</v>
      </c>
      <c r="P991">
        <v>46163</v>
      </c>
      <c r="Q991" t="s">
        <v>25</v>
      </c>
    </row>
    <row r="992" spans="1:17" x14ac:dyDescent="0.3">
      <c r="A992" t="s">
        <v>1043</v>
      </c>
      <c r="B992" t="s">
        <v>103</v>
      </c>
      <c r="C992" t="s">
        <v>43</v>
      </c>
      <c r="D992" t="s">
        <v>46</v>
      </c>
      <c r="E992">
        <v>829560</v>
      </c>
      <c r="F992">
        <v>523023</v>
      </c>
      <c r="G992">
        <v>1400829</v>
      </c>
      <c r="H992">
        <v>61839</v>
      </c>
      <c r="I992">
        <v>3542</v>
      </c>
      <c r="J992">
        <v>3822</v>
      </c>
      <c r="K992">
        <f t="shared" si="30"/>
        <v>13.231349290566571</v>
      </c>
      <c r="L992">
        <v>153301</v>
      </c>
      <c r="M992">
        <v>653444</v>
      </c>
      <c r="N992">
        <f t="shared" si="31"/>
        <v>326.24901337890816</v>
      </c>
      <c r="O992">
        <v>45870</v>
      </c>
      <c r="P992">
        <v>45880</v>
      </c>
      <c r="Q992" t="s">
        <v>34</v>
      </c>
    </row>
    <row r="993" spans="1:17" x14ac:dyDescent="0.3">
      <c r="A993" t="s">
        <v>1044</v>
      </c>
      <c r="B993" t="s">
        <v>27</v>
      </c>
      <c r="C993" t="s">
        <v>37</v>
      </c>
      <c r="D993" t="s">
        <v>29</v>
      </c>
      <c r="E993">
        <v>725719</v>
      </c>
      <c r="F993">
        <v>647380</v>
      </c>
      <c r="G993">
        <v>1881123</v>
      </c>
      <c r="H993">
        <v>82938</v>
      </c>
      <c r="I993">
        <v>9749</v>
      </c>
      <c r="J993">
        <v>6669</v>
      </c>
      <c r="K993">
        <f t="shared" si="30"/>
        <v>15.34740029040131</v>
      </c>
      <c r="L993">
        <v>45975</v>
      </c>
      <c r="M993">
        <v>175085</v>
      </c>
      <c r="N993">
        <f t="shared" si="31"/>
        <v>280.826536160957</v>
      </c>
      <c r="O993">
        <v>46123</v>
      </c>
      <c r="P993">
        <v>46142</v>
      </c>
      <c r="Q993" t="s">
        <v>54</v>
      </c>
    </row>
    <row r="994" spans="1:17" x14ac:dyDescent="0.3">
      <c r="A994" t="s">
        <v>1045</v>
      </c>
      <c r="B994" t="s">
        <v>23</v>
      </c>
      <c r="C994" t="s">
        <v>43</v>
      </c>
      <c r="D994" t="s">
        <v>46</v>
      </c>
      <c r="E994">
        <v>1268570</v>
      </c>
      <c r="F994">
        <v>412353</v>
      </c>
      <c r="G994">
        <v>927104</v>
      </c>
      <c r="H994">
        <v>55059</v>
      </c>
      <c r="I994">
        <v>5605</v>
      </c>
      <c r="J994">
        <v>5169</v>
      </c>
      <c r="K994">
        <f t="shared" si="30"/>
        <v>15.965204569870961</v>
      </c>
      <c r="L994">
        <v>333996</v>
      </c>
      <c r="M994">
        <v>939351</v>
      </c>
      <c r="N994">
        <f t="shared" si="31"/>
        <v>181.24618258901305</v>
      </c>
      <c r="O994">
        <v>45970</v>
      </c>
      <c r="P994">
        <v>45985</v>
      </c>
      <c r="Q994" t="s">
        <v>30</v>
      </c>
    </row>
    <row r="995" spans="1:17" x14ac:dyDescent="0.3">
      <c r="A995" t="s">
        <v>1046</v>
      </c>
      <c r="B995" t="s">
        <v>61</v>
      </c>
      <c r="C995" t="s">
        <v>28</v>
      </c>
      <c r="D995" t="s">
        <v>46</v>
      </c>
      <c r="E995">
        <v>820327</v>
      </c>
      <c r="F995">
        <v>235374</v>
      </c>
      <c r="G995">
        <v>524315</v>
      </c>
      <c r="H995">
        <v>16642</v>
      </c>
      <c r="I995">
        <v>804</v>
      </c>
      <c r="J995">
        <v>1154</v>
      </c>
      <c r="K995">
        <f t="shared" si="30"/>
        <v>7.9023171633230511</v>
      </c>
      <c r="L995">
        <v>31930</v>
      </c>
      <c r="M995">
        <v>102708</v>
      </c>
      <c r="N995">
        <f t="shared" si="31"/>
        <v>221.6661446915127</v>
      </c>
      <c r="O995">
        <v>45959</v>
      </c>
      <c r="P995">
        <v>45985</v>
      </c>
      <c r="Q995" t="s">
        <v>30</v>
      </c>
    </row>
    <row r="996" spans="1:17" x14ac:dyDescent="0.3">
      <c r="A996" t="s">
        <v>1047</v>
      </c>
      <c r="B996" t="s">
        <v>61</v>
      </c>
      <c r="C996" t="s">
        <v>28</v>
      </c>
      <c r="D996" t="s">
        <v>72</v>
      </c>
      <c r="E996">
        <v>402069</v>
      </c>
      <c r="F996">
        <v>297783</v>
      </c>
      <c r="G996">
        <v>434314</v>
      </c>
      <c r="H996">
        <v>8090</v>
      </c>
      <c r="I996">
        <v>613</v>
      </c>
      <c r="J996">
        <v>446</v>
      </c>
      <c r="K996">
        <f t="shared" si="30"/>
        <v>3.0723714919924912</v>
      </c>
      <c r="L996">
        <v>121753</v>
      </c>
      <c r="M996">
        <v>605980</v>
      </c>
      <c r="N996">
        <f t="shared" si="31"/>
        <v>397.71258203083295</v>
      </c>
      <c r="O996">
        <v>46070</v>
      </c>
      <c r="P996">
        <v>46078</v>
      </c>
      <c r="Q996" t="s">
        <v>41</v>
      </c>
    </row>
    <row r="997" spans="1:17" x14ac:dyDescent="0.3">
      <c r="A997" t="s">
        <v>1048</v>
      </c>
      <c r="B997" t="s">
        <v>49</v>
      </c>
      <c r="C997" t="s">
        <v>33</v>
      </c>
      <c r="D997" t="s">
        <v>24</v>
      </c>
      <c r="E997">
        <v>1094009</v>
      </c>
      <c r="F997">
        <v>923496</v>
      </c>
      <c r="G997">
        <v>2464704</v>
      </c>
      <c r="H997">
        <v>130947</v>
      </c>
      <c r="I997">
        <v>9239</v>
      </c>
      <c r="J997">
        <v>11405</v>
      </c>
      <c r="K997">
        <f t="shared" si="30"/>
        <v>16.414905966024758</v>
      </c>
      <c r="L997">
        <v>410625</v>
      </c>
      <c r="M997">
        <v>1394561</v>
      </c>
      <c r="N997">
        <f t="shared" si="31"/>
        <v>239.61911719939116</v>
      </c>
      <c r="O997">
        <v>45861</v>
      </c>
      <c r="P997">
        <v>45885</v>
      </c>
      <c r="Q997" t="s">
        <v>30</v>
      </c>
    </row>
    <row r="998" spans="1:17" x14ac:dyDescent="0.3">
      <c r="A998" t="s">
        <v>1049</v>
      </c>
      <c r="B998" t="s">
        <v>18</v>
      </c>
      <c r="C998" t="s">
        <v>37</v>
      </c>
      <c r="D998" t="s">
        <v>24</v>
      </c>
      <c r="E998">
        <v>940406</v>
      </c>
      <c r="F998">
        <v>348670</v>
      </c>
      <c r="G998">
        <v>778528</v>
      </c>
      <c r="H998">
        <v>36592</v>
      </c>
      <c r="I998">
        <v>2952</v>
      </c>
      <c r="J998">
        <v>886</v>
      </c>
      <c r="K998">
        <f t="shared" si="30"/>
        <v>11.595491438896378</v>
      </c>
      <c r="L998">
        <v>432568</v>
      </c>
      <c r="M998">
        <v>550223</v>
      </c>
      <c r="N998">
        <f t="shared" si="31"/>
        <v>27.199191803369644</v>
      </c>
      <c r="O998">
        <v>46046</v>
      </c>
      <c r="P998">
        <v>46062</v>
      </c>
      <c r="Q998" t="s">
        <v>78</v>
      </c>
    </row>
    <row r="999" spans="1:17" x14ac:dyDescent="0.3">
      <c r="A999" t="s">
        <v>1050</v>
      </c>
      <c r="B999" t="s">
        <v>45</v>
      </c>
      <c r="C999" t="s">
        <v>28</v>
      </c>
      <c r="D999" t="s">
        <v>72</v>
      </c>
      <c r="E999">
        <v>534783</v>
      </c>
      <c r="F999">
        <v>140946</v>
      </c>
      <c r="G999">
        <v>315089</v>
      </c>
      <c r="H999">
        <v>5116</v>
      </c>
      <c r="I999">
        <v>275</v>
      </c>
      <c r="J999">
        <v>241</v>
      </c>
      <c r="K999">
        <f t="shared" si="30"/>
        <v>3.9958565691825236</v>
      </c>
      <c r="L999">
        <v>125556</v>
      </c>
      <c r="M999">
        <v>195196</v>
      </c>
      <c r="N999">
        <f t="shared" si="31"/>
        <v>55.465290388352606</v>
      </c>
      <c r="O999">
        <v>46142</v>
      </c>
      <c r="P999">
        <v>46168</v>
      </c>
      <c r="Q999" t="s">
        <v>47</v>
      </c>
    </row>
    <row r="1000" spans="1:17" x14ac:dyDescent="0.3">
      <c r="A1000" t="s">
        <v>1051</v>
      </c>
      <c r="B1000" t="s">
        <v>75</v>
      </c>
      <c r="C1000" t="s">
        <v>43</v>
      </c>
      <c r="D1000" t="s">
        <v>29</v>
      </c>
      <c r="E1000">
        <v>790163</v>
      </c>
      <c r="F1000">
        <v>444867</v>
      </c>
      <c r="G1000">
        <v>539499</v>
      </c>
      <c r="H1000">
        <v>37302</v>
      </c>
      <c r="I1000">
        <v>4062</v>
      </c>
      <c r="J1000">
        <v>2854</v>
      </c>
      <c r="K1000">
        <f t="shared" si="30"/>
        <v>9.9395999253709544</v>
      </c>
      <c r="L1000">
        <v>94877</v>
      </c>
      <c r="M1000">
        <v>110387</v>
      </c>
      <c r="N1000">
        <f t="shared" si="31"/>
        <v>16.347481476016316</v>
      </c>
      <c r="O1000">
        <v>45995</v>
      </c>
      <c r="P1000">
        <v>46015</v>
      </c>
      <c r="Q1000" t="s">
        <v>25</v>
      </c>
    </row>
    <row r="1001" spans="1:17" x14ac:dyDescent="0.3">
      <c r="A1001" t="s">
        <v>1052</v>
      </c>
      <c r="B1001" t="s">
        <v>36</v>
      </c>
      <c r="C1001" t="s">
        <v>19</v>
      </c>
      <c r="D1001" t="s">
        <v>29</v>
      </c>
      <c r="E1001">
        <v>1814424</v>
      </c>
      <c r="F1001">
        <v>527331</v>
      </c>
      <c r="G1001">
        <v>817667</v>
      </c>
      <c r="H1001">
        <v>73960</v>
      </c>
      <c r="I1001">
        <v>10867</v>
      </c>
      <c r="J1001">
        <v>3095</v>
      </c>
      <c r="K1001">
        <f t="shared" si="30"/>
        <v>16.673019412854543</v>
      </c>
      <c r="L1001">
        <v>77962</v>
      </c>
      <c r="M1001">
        <v>317720</v>
      </c>
      <c r="N1001">
        <f t="shared" si="31"/>
        <v>307.53187450296298</v>
      </c>
      <c r="O1001">
        <v>45906</v>
      </c>
      <c r="P1001">
        <v>45915</v>
      </c>
      <c r="Q100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6EF0-53E8-419E-BF44-0B9C8A516AC2}">
  <dimension ref="A1:V1001"/>
  <sheetViews>
    <sheetView topLeftCell="G1" zoomScale="85" workbookViewId="0">
      <selection activeCell="D20" sqref="D20"/>
    </sheetView>
  </sheetViews>
  <sheetFormatPr defaultRowHeight="14.4" x14ac:dyDescent="0.3"/>
  <cols>
    <col min="1" max="1" width="14.109375" customWidth="1"/>
    <col min="2" max="2" width="17.44140625" customWidth="1"/>
    <col min="3" max="3" width="10.21875" customWidth="1"/>
    <col min="4" max="4" width="10.44140625" customWidth="1"/>
    <col min="5" max="5" width="10.77734375" customWidth="1"/>
    <col min="7" max="7" width="12.88671875" customWidth="1"/>
    <col min="9" max="9" width="12" customWidth="1"/>
    <col min="11" max="11" width="21.44140625" customWidth="1"/>
    <col min="12" max="12" width="18.77734375" customWidth="1"/>
    <col min="13" max="13" width="22.77734375" customWidth="1"/>
    <col min="14" max="14" width="9.109375" customWidth="1"/>
    <col min="15" max="15" width="11.77734375" style="4" customWidth="1"/>
    <col min="16" max="16" width="11" style="4" customWidth="1"/>
    <col min="17" max="17" width="10.6640625" bestFit="1" customWidth="1"/>
    <col min="18" max="18" width="20.21875" bestFit="1" customWidth="1"/>
    <col min="21" max="21" width="16.88671875" bestFit="1" customWidth="1"/>
    <col min="22" max="22" width="20.6640625" bestFit="1" customWidth="1"/>
  </cols>
  <sheetData>
    <row r="1" spans="1:22"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3" t="s">
        <v>15</v>
      </c>
      <c r="Q1" s="2" t="s">
        <v>16</v>
      </c>
      <c r="R1" s="2" t="s">
        <v>1053</v>
      </c>
      <c r="S1" s="2" t="s">
        <v>1054</v>
      </c>
      <c r="T1" s="1" t="s">
        <v>1055</v>
      </c>
      <c r="U1" s="1" t="s">
        <v>1056</v>
      </c>
      <c r="V1" s="2" t="s">
        <v>1057</v>
      </c>
    </row>
    <row r="2" spans="1:22" x14ac:dyDescent="0.3">
      <c r="A2" t="s">
        <v>17</v>
      </c>
      <c r="B2" t="s">
        <v>18</v>
      </c>
      <c r="C2" t="s">
        <v>19</v>
      </c>
      <c r="D2" t="s">
        <v>20</v>
      </c>
      <c r="E2">
        <v>1712931</v>
      </c>
      <c r="F2">
        <v>1016782</v>
      </c>
      <c r="G2">
        <v>2384921</v>
      </c>
      <c r="H2">
        <v>58091</v>
      </c>
      <c r="I2">
        <v>4354</v>
      </c>
      <c r="J2">
        <v>5367</v>
      </c>
      <c r="K2">
        <f t="shared" ref="K2:K65" si="0">((H2+I2+J2)/F2)*100</f>
        <v>6.6692762066991751</v>
      </c>
      <c r="L2">
        <v>30425</v>
      </c>
      <c r="M2">
        <v>92811</v>
      </c>
      <c r="N2">
        <f t="shared" ref="N2:N65" si="1">((M2-L2)/L2)*100</f>
        <v>205.04847986852917</v>
      </c>
      <c r="O2" s="4">
        <v>45832</v>
      </c>
      <c r="P2" s="4">
        <v>45850</v>
      </c>
      <c r="Q2" t="s">
        <v>21</v>
      </c>
      <c r="R2">
        <f>Table2[[#This Row],[End_Date]]-Table2[[#This Row],[Start_Date]]</f>
        <v>18</v>
      </c>
      <c r="S2" t="str">
        <f>TEXT(Table2[[#This Row],[Start_Date]],"MMM")</f>
        <v>Jun</v>
      </c>
      <c r="T2">
        <f>YEAR(Table2[[#This Row],[Start_Date]])</f>
        <v>2025</v>
      </c>
      <c r="U2">
        <f>Table2[[#This Row],[Campaign_Cost (₹)]]/Table2[[#This Row],[Reach]]</f>
        <v>2.9922834983310088E-2</v>
      </c>
      <c r="V2">
        <f>Table2[[#This Row],[Revenue_Generated (₹)]]/Table2[[#This Row],[Reach]]</f>
        <v>9.1279153250155884E-2</v>
      </c>
    </row>
    <row r="3" spans="1:22" x14ac:dyDescent="0.3">
      <c r="A3" t="s">
        <v>22</v>
      </c>
      <c r="B3" t="s">
        <v>23</v>
      </c>
      <c r="C3" t="s">
        <v>19</v>
      </c>
      <c r="D3" t="s">
        <v>24</v>
      </c>
      <c r="E3">
        <v>1285909</v>
      </c>
      <c r="F3">
        <v>883088</v>
      </c>
      <c r="G3">
        <v>1408475</v>
      </c>
      <c r="H3">
        <v>120024</v>
      </c>
      <c r="I3">
        <v>11977</v>
      </c>
      <c r="J3">
        <v>8288</v>
      </c>
      <c r="K3">
        <f t="shared" si="0"/>
        <v>15.886185748192705</v>
      </c>
      <c r="L3">
        <v>408018</v>
      </c>
      <c r="M3">
        <v>1251028</v>
      </c>
      <c r="N3">
        <f t="shared" si="1"/>
        <v>206.61098284879586</v>
      </c>
      <c r="O3" s="4">
        <v>46070</v>
      </c>
      <c r="P3" s="4">
        <v>46084</v>
      </c>
      <c r="Q3" t="s">
        <v>25</v>
      </c>
      <c r="R3">
        <f>Table2[[#This Row],[End_Date]]-Table2[[#This Row],[Start_Date]]</f>
        <v>14</v>
      </c>
      <c r="S3" t="str">
        <f>TEXT(Table2[[#This Row],[Start_Date]],"MMM")</f>
        <v>Feb</v>
      </c>
      <c r="T3">
        <f>YEAR(Table2[[#This Row],[Start_Date]])</f>
        <v>2026</v>
      </c>
      <c r="U3">
        <f>Table2[[#This Row],[Campaign_Cost (₹)]]/Table2[[#This Row],[Reach]]</f>
        <v>0.46203549363143875</v>
      </c>
      <c r="V3">
        <f>Table2[[#This Row],[Revenue_Generated (₹)]]/Table2[[#This Row],[Reach]]</f>
        <v>1.4166515681336402</v>
      </c>
    </row>
    <row r="4" spans="1:22" x14ac:dyDescent="0.3">
      <c r="A4" t="s">
        <v>26</v>
      </c>
      <c r="B4" t="s">
        <v>27</v>
      </c>
      <c r="C4" t="s">
        <v>28</v>
      </c>
      <c r="D4" t="s">
        <v>29</v>
      </c>
      <c r="E4">
        <v>1563075</v>
      </c>
      <c r="F4">
        <v>874368</v>
      </c>
      <c r="G4">
        <v>1661292</v>
      </c>
      <c r="H4">
        <v>88526</v>
      </c>
      <c r="I4">
        <v>9415</v>
      </c>
      <c r="J4">
        <v>8104</v>
      </c>
      <c r="K4">
        <f t="shared" si="0"/>
        <v>12.128188588786415</v>
      </c>
      <c r="L4">
        <v>451981</v>
      </c>
      <c r="M4">
        <v>1338957</v>
      </c>
      <c r="N4">
        <f t="shared" si="1"/>
        <v>196.24187742405101</v>
      </c>
      <c r="O4" s="4">
        <v>46132</v>
      </c>
      <c r="P4" s="4">
        <v>46148</v>
      </c>
      <c r="Q4" t="s">
        <v>30</v>
      </c>
      <c r="R4">
        <f>Table2[[#This Row],[End_Date]]-Table2[[#This Row],[Start_Date]]</f>
        <v>16</v>
      </c>
      <c r="S4" t="str">
        <f>TEXT(Table2[[#This Row],[Start_Date]],"MMM")</f>
        <v>Apr</v>
      </c>
      <c r="T4">
        <f>YEAR(Table2[[#This Row],[Start_Date]])</f>
        <v>2026</v>
      </c>
      <c r="U4">
        <f>Table2[[#This Row],[Campaign_Cost (₹)]]/Table2[[#This Row],[Reach]]</f>
        <v>0.51692308044210222</v>
      </c>
      <c r="V4">
        <f>Table2[[#This Row],[Revenue_Generated (₹)]]/Table2[[#This Row],[Reach]]</f>
        <v>1.5313426383399209</v>
      </c>
    </row>
    <row r="5" spans="1:22" x14ac:dyDescent="0.3">
      <c r="A5" t="s">
        <v>31</v>
      </c>
      <c r="B5" t="s">
        <v>32</v>
      </c>
      <c r="C5" t="s">
        <v>33</v>
      </c>
      <c r="D5" t="s">
        <v>29</v>
      </c>
      <c r="E5">
        <v>714018</v>
      </c>
      <c r="F5">
        <v>216080</v>
      </c>
      <c r="G5">
        <v>641408</v>
      </c>
      <c r="H5">
        <v>7475</v>
      </c>
      <c r="I5">
        <v>246</v>
      </c>
      <c r="J5">
        <v>192</v>
      </c>
      <c r="K5">
        <f t="shared" si="0"/>
        <v>3.6620696038504255</v>
      </c>
      <c r="L5">
        <v>307259</v>
      </c>
      <c r="M5">
        <v>472370</v>
      </c>
      <c r="N5">
        <f t="shared" si="1"/>
        <v>53.736749777874692</v>
      </c>
      <c r="O5" s="4">
        <v>45894</v>
      </c>
      <c r="P5" s="4">
        <v>45910</v>
      </c>
      <c r="Q5" t="s">
        <v>34</v>
      </c>
      <c r="R5">
        <f>Table2[[#This Row],[End_Date]]-Table2[[#This Row],[Start_Date]]</f>
        <v>16</v>
      </c>
      <c r="S5" t="str">
        <f>TEXT(Table2[[#This Row],[Start_Date]],"MMM")</f>
        <v>Aug</v>
      </c>
      <c r="T5">
        <f>YEAR(Table2[[#This Row],[Start_Date]])</f>
        <v>2025</v>
      </c>
      <c r="U5">
        <f>Table2[[#This Row],[Campaign_Cost (₹)]]/Table2[[#This Row],[Reach]]</f>
        <v>1.4219687152906331</v>
      </c>
      <c r="V5">
        <f>Table2[[#This Row],[Revenue_Generated (₹)]]/Table2[[#This Row],[Reach]]</f>
        <v>2.1860884857460201</v>
      </c>
    </row>
    <row r="6" spans="1:22" x14ac:dyDescent="0.3">
      <c r="A6" t="s">
        <v>35</v>
      </c>
      <c r="B6" t="s">
        <v>36</v>
      </c>
      <c r="C6" t="s">
        <v>37</v>
      </c>
      <c r="D6" t="s">
        <v>24</v>
      </c>
      <c r="E6">
        <v>1966729</v>
      </c>
      <c r="F6">
        <v>1035786</v>
      </c>
      <c r="G6">
        <v>3004655</v>
      </c>
      <c r="H6">
        <v>67844</v>
      </c>
      <c r="I6">
        <v>4538</v>
      </c>
      <c r="J6">
        <v>2293</v>
      </c>
      <c r="K6">
        <f t="shared" si="0"/>
        <v>7.2095008042201769</v>
      </c>
      <c r="L6">
        <v>134192</v>
      </c>
      <c r="M6">
        <v>454124</v>
      </c>
      <c r="N6">
        <f t="shared" si="1"/>
        <v>238.41361631095745</v>
      </c>
      <c r="O6" s="4">
        <v>46075</v>
      </c>
      <c r="P6" s="4">
        <v>46086</v>
      </c>
      <c r="Q6" t="s">
        <v>21</v>
      </c>
      <c r="R6">
        <f>Table2[[#This Row],[End_Date]]-Table2[[#This Row],[Start_Date]]</f>
        <v>11</v>
      </c>
      <c r="S6" t="str">
        <f>TEXT(Table2[[#This Row],[Start_Date]],"MMM")</f>
        <v>Feb</v>
      </c>
      <c r="T6">
        <f>YEAR(Table2[[#This Row],[Start_Date]])</f>
        <v>2026</v>
      </c>
      <c r="U6">
        <f>Table2[[#This Row],[Campaign_Cost (₹)]]/Table2[[#This Row],[Reach]]</f>
        <v>0.12955571903848864</v>
      </c>
      <c r="V6">
        <f>Table2[[#This Row],[Revenue_Generated (₹)]]/Table2[[#This Row],[Reach]]</f>
        <v>0.43843419393581301</v>
      </c>
    </row>
    <row r="7" spans="1:22" x14ac:dyDescent="0.3">
      <c r="A7" t="s">
        <v>38</v>
      </c>
      <c r="B7" t="s">
        <v>39</v>
      </c>
      <c r="C7" t="s">
        <v>19</v>
      </c>
      <c r="D7" t="s">
        <v>40</v>
      </c>
      <c r="E7">
        <v>675987</v>
      </c>
      <c r="F7">
        <v>556187</v>
      </c>
      <c r="G7">
        <v>1429308</v>
      </c>
      <c r="H7">
        <v>44880</v>
      </c>
      <c r="I7">
        <v>5150</v>
      </c>
      <c r="J7">
        <v>2532</v>
      </c>
      <c r="K7">
        <f t="shared" si="0"/>
        <v>9.4504186541576836</v>
      </c>
      <c r="L7">
        <v>59133</v>
      </c>
      <c r="M7">
        <v>276357</v>
      </c>
      <c r="N7">
        <f t="shared" si="1"/>
        <v>367.34818121860889</v>
      </c>
      <c r="O7" s="4">
        <v>45781</v>
      </c>
      <c r="P7" s="4">
        <v>45793</v>
      </c>
      <c r="Q7" t="s">
        <v>41</v>
      </c>
      <c r="R7">
        <f>Table2[[#This Row],[End_Date]]-Table2[[#This Row],[Start_Date]]</f>
        <v>12</v>
      </c>
      <c r="S7" t="str">
        <f>TEXT(Table2[[#This Row],[Start_Date]],"MMM")</f>
        <v>May</v>
      </c>
      <c r="T7">
        <f>YEAR(Table2[[#This Row],[Start_Date]])</f>
        <v>2025</v>
      </c>
      <c r="U7">
        <f>Table2[[#This Row],[Campaign_Cost (₹)]]/Table2[[#This Row],[Reach]]</f>
        <v>0.10631855832660599</v>
      </c>
      <c r="V7">
        <f>Table2[[#This Row],[Revenue_Generated (₹)]]/Table2[[#This Row],[Reach]]</f>
        <v>0.49687784863723894</v>
      </c>
    </row>
    <row r="8" spans="1:22" x14ac:dyDescent="0.3">
      <c r="A8" t="s">
        <v>42</v>
      </c>
      <c r="B8" t="s">
        <v>39</v>
      </c>
      <c r="C8" t="s">
        <v>43</v>
      </c>
      <c r="D8" t="s">
        <v>29</v>
      </c>
      <c r="E8">
        <v>1189151</v>
      </c>
      <c r="F8">
        <v>563514</v>
      </c>
      <c r="G8">
        <v>847727</v>
      </c>
      <c r="H8">
        <v>36056</v>
      </c>
      <c r="I8">
        <v>2454</v>
      </c>
      <c r="J8">
        <v>1755</v>
      </c>
      <c r="K8">
        <f t="shared" si="0"/>
        <v>7.1453415531823525</v>
      </c>
      <c r="L8">
        <v>279743</v>
      </c>
      <c r="M8">
        <v>757257</v>
      </c>
      <c r="N8">
        <f t="shared" si="1"/>
        <v>170.69739010448876</v>
      </c>
      <c r="O8" s="4">
        <v>46004</v>
      </c>
      <c r="P8" s="4">
        <v>46027</v>
      </c>
      <c r="Q8" t="s">
        <v>30</v>
      </c>
      <c r="R8">
        <f>Table2[[#This Row],[End_Date]]-Table2[[#This Row],[Start_Date]]</f>
        <v>23</v>
      </c>
      <c r="S8" t="str">
        <f>TEXT(Table2[[#This Row],[Start_Date]],"MMM")</f>
        <v>Dec</v>
      </c>
      <c r="T8">
        <f>YEAR(Table2[[#This Row],[Start_Date]])</f>
        <v>2025</v>
      </c>
      <c r="U8">
        <f>Table2[[#This Row],[Campaign_Cost (₹)]]/Table2[[#This Row],[Reach]]</f>
        <v>0.49642599828930606</v>
      </c>
      <c r="V8">
        <f>Table2[[#This Row],[Revenue_Generated (₹)]]/Table2[[#This Row],[Reach]]</f>
        <v>1.3438122211693055</v>
      </c>
    </row>
    <row r="9" spans="1:22" x14ac:dyDescent="0.3">
      <c r="A9" t="s">
        <v>44</v>
      </c>
      <c r="B9" t="s">
        <v>45</v>
      </c>
      <c r="C9" t="s">
        <v>19</v>
      </c>
      <c r="D9" t="s">
        <v>46</v>
      </c>
      <c r="E9">
        <v>1024398</v>
      </c>
      <c r="F9">
        <v>638250</v>
      </c>
      <c r="G9">
        <v>1707216</v>
      </c>
      <c r="H9">
        <v>61721</v>
      </c>
      <c r="I9">
        <v>4240</v>
      </c>
      <c r="J9">
        <v>5968</v>
      </c>
      <c r="K9">
        <f t="shared" si="0"/>
        <v>11.269721895808853</v>
      </c>
      <c r="L9">
        <v>215452</v>
      </c>
      <c r="M9">
        <v>730304</v>
      </c>
      <c r="N9">
        <f t="shared" si="1"/>
        <v>238.96366708129887</v>
      </c>
      <c r="O9" s="4">
        <v>46067</v>
      </c>
      <c r="P9" s="4">
        <v>46094</v>
      </c>
      <c r="Q9" t="s">
        <v>47</v>
      </c>
      <c r="R9">
        <f>Table2[[#This Row],[End_Date]]-Table2[[#This Row],[Start_Date]]</f>
        <v>27</v>
      </c>
      <c r="S9" t="str">
        <f>TEXT(Table2[[#This Row],[Start_Date]],"MMM")</f>
        <v>Feb</v>
      </c>
      <c r="T9">
        <f>YEAR(Table2[[#This Row],[Start_Date]])</f>
        <v>2026</v>
      </c>
      <c r="U9">
        <f>Table2[[#This Row],[Campaign_Cost (₹)]]/Table2[[#This Row],[Reach]]</f>
        <v>0.33756678417547981</v>
      </c>
      <c r="V9">
        <f>Table2[[#This Row],[Revenue_Generated (₹)]]/Table2[[#This Row],[Reach]]</f>
        <v>1.14422875048962</v>
      </c>
    </row>
    <row r="10" spans="1:22" x14ac:dyDescent="0.3">
      <c r="A10" t="s">
        <v>48</v>
      </c>
      <c r="B10" t="s">
        <v>49</v>
      </c>
      <c r="C10" t="s">
        <v>19</v>
      </c>
      <c r="D10" t="s">
        <v>20</v>
      </c>
      <c r="E10">
        <v>121584</v>
      </c>
      <c r="F10">
        <v>105283</v>
      </c>
      <c r="G10">
        <v>268985</v>
      </c>
      <c r="H10">
        <v>8596</v>
      </c>
      <c r="I10">
        <v>761</v>
      </c>
      <c r="J10">
        <v>624</v>
      </c>
      <c r="K10">
        <f t="shared" si="0"/>
        <v>9.4801629892765202</v>
      </c>
      <c r="L10">
        <v>494360</v>
      </c>
      <c r="M10">
        <v>1039931</v>
      </c>
      <c r="N10">
        <f t="shared" si="1"/>
        <v>110.35905008495833</v>
      </c>
      <c r="O10" s="4">
        <v>45809</v>
      </c>
      <c r="P10" s="4">
        <v>45832</v>
      </c>
      <c r="Q10" t="s">
        <v>30</v>
      </c>
      <c r="R10">
        <f>Table2[[#This Row],[End_Date]]-Table2[[#This Row],[Start_Date]]</f>
        <v>23</v>
      </c>
      <c r="S10" t="str">
        <f>TEXT(Table2[[#This Row],[Start_Date]],"MMM")</f>
        <v>Jun</v>
      </c>
      <c r="T10">
        <f>YEAR(Table2[[#This Row],[Start_Date]])</f>
        <v>2025</v>
      </c>
      <c r="U10">
        <f>Table2[[#This Row],[Campaign_Cost (₹)]]/Table2[[#This Row],[Reach]]</f>
        <v>4.6955348916729198</v>
      </c>
      <c r="V10">
        <f>Table2[[#This Row],[Revenue_Generated (₹)]]/Table2[[#This Row],[Reach]]</f>
        <v>9.8774825945309317</v>
      </c>
    </row>
    <row r="11" spans="1:22" x14ac:dyDescent="0.3">
      <c r="A11" t="s">
        <v>50</v>
      </c>
      <c r="B11" t="s">
        <v>27</v>
      </c>
      <c r="C11" t="s">
        <v>43</v>
      </c>
      <c r="D11" t="s">
        <v>51</v>
      </c>
      <c r="E11">
        <v>1720235</v>
      </c>
      <c r="F11">
        <v>690339</v>
      </c>
      <c r="G11">
        <v>1877705</v>
      </c>
      <c r="H11">
        <v>59205</v>
      </c>
      <c r="I11">
        <v>7731</v>
      </c>
      <c r="J11">
        <v>2883</v>
      </c>
      <c r="K11">
        <f t="shared" si="0"/>
        <v>10.113726734256648</v>
      </c>
      <c r="L11">
        <v>400612</v>
      </c>
      <c r="M11">
        <v>525748</v>
      </c>
      <c r="N11">
        <f t="shared" si="1"/>
        <v>31.236208600840715</v>
      </c>
      <c r="O11" s="4">
        <v>45966</v>
      </c>
      <c r="P11" s="4">
        <v>45975</v>
      </c>
      <c r="Q11" t="s">
        <v>25</v>
      </c>
      <c r="R11">
        <f>Table2[[#This Row],[End_Date]]-Table2[[#This Row],[Start_Date]]</f>
        <v>9</v>
      </c>
      <c r="S11" t="str">
        <f>TEXT(Table2[[#This Row],[Start_Date]],"MMM")</f>
        <v>Nov</v>
      </c>
      <c r="T11">
        <f>YEAR(Table2[[#This Row],[Start_Date]])</f>
        <v>2025</v>
      </c>
      <c r="U11">
        <f>Table2[[#This Row],[Campaign_Cost (₹)]]/Table2[[#This Row],[Reach]]</f>
        <v>0.58031199164468472</v>
      </c>
      <c r="V11">
        <f>Table2[[#This Row],[Revenue_Generated (₹)]]/Table2[[#This Row],[Reach]]</f>
        <v>0.76157945589051179</v>
      </c>
    </row>
    <row r="12" spans="1:22" x14ac:dyDescent="0.3">
      <c r="A12" t="s">
        <v>52</v>
      </c>
      <c r="B12" t="s">
        <v>53</v>
      </c>
      <c r="C12" t="s">
        <v>28</v>
      </c>
      <c r="D12" t="s">
        <v>51</v>
      </c>
      <c r="E12">
        <v>230793</v>
      </c>
      <c r="F12">
        <v>66873</v>
      </c>
      <c r="G12">
        <v>128228</v>
      </c>
      <c r="H12">
        <v>7857</v>
      </c>
      <c r="I12">
        <v>657</v>
      </c>
      <c r="J12">
        <v>267</v>
      </c>
      <c r="K12">
        <f t="shared" si="0"/>
        <v>13.1308599883361</v>
      </c>
      <c r="L12">
        <v>245864</v>
      </c>
      <c r="M12">
        <v>752035</v>
      </c>
      <c r="N12">
        <f t="shared" si="1"/>
        <v>205.87438583932581</v>
      </c>
      <c r="O12" s="4">
        <v>45696</v>
      </c>
      <c r="P12" s="4">
        <v>45714</v>
      </c>
      <c r="Q12" t="s">
        <v>54</v>
      </c>
      <c r="R12">
        <f>Table2[[#This Row],[End_Date]]-Table2[[#This Row],[Start_Date]]</f>
        <v>18</v>
      </c>
      <c r="S12" t="str">
        <f>TEXT(Table2[[#This Row],[Start_Date]],"MMM")</f>
        <v>Feb</v>
      </c>
      <c r="T12">
        <f>YEAR(Table2[[#This Row],[Start_Date]])</f>
        <v>2025</v>
      </c>
      <c r="U12">
        <f>Table2[[#This Row],[Campaign_Cost (₹)]]/Table2[[#This Row],[Reach]]</f>
        <v>3.6765809818611399</v>
      </c>
      <c r="V12">
        <f>Table2[[#This Row],[Revenue_Generated (₹)]]/Table2[[#This Row],[Reach]]</f>
        <v>11.245719498153216</v>
      </c>
    </row>
    <row r="13" spans="1:22" x14ac:dyDescent="0.3">
      <c r="A13" t="s">
        <v>55</v>
      </c>
      <c r="B13" t="s">
        <v>36</v>
      </c>
      <c r="C13" t="s">
        <v>28</v>
      </c>
      <c r="D13" t="s">
        <v>29</v>
      </c>
      <c r="E13">
        <v>855901</v>
      </c>
      <c r="F13">
        <v>712152</v>
      </c>
      <c r="G13">
        <v>1268918</v>
      </c>
      <c r="H13">
        <v>23970</v>
      </c>
      <c r="I13">
        <v>1200</v>
      </c>
      <c r="J13">
        <v>961</v>
      </c>
      <c r="K13">
        <f t="shared" si="0"/>
        <v>3.6693009357552882</v>
      </c>
      <c r="L13">
        <v>416852</v>
      </c>
      <c r="M13">
        <v>574891</v>
      </c>
      <c r="N13">
        <f t="shared" si="1"/>
        <v>37.912496521547219</v>
      </c>
      <c r="O13" s="4">
        <v>45861</v>
      </c>
      <c r="P13" s="4">
        <v>45887</v>
      </c>
      <c r="Q13" t="s">
        <v>30</v>
      </c>
      <c r="R13">
        <f>Table2[[#This Row],[End_Date]]-Table2[[#This Row],[Start_Date]]</f>
        <v>26</v>
      </c>
      <c r="S13" t="str">
        <f>TEXT(Table2[[#This Row],[Start_Date]],"MMM")</f>
        <v>Jul</v>
      </c>
      <c r="T13">
        <f>YEAR(Table2[[#This Row],[Start_Date]])</f>
        <v>2025</v>
      </c>
      <c r="U13">
        <f>Table2[[#This Row],[Campaign_Cost (₹)]]/Table2[[#This Row],[Reach]]</f>
        <v>0.58534133162583268</v>
      </c>
      <c r="V13">
        <f>Table2[[#This Row],[Revenue_Generated (₹)]]/Table2[[#This Row],[Reach]]</f>
        <v>0.80725884361765465</v>
      </c>
    </row>
    <row r="14" spans="1:22" x14ac:dyDescent="0.3">
      <c r="A14" t="s">
        <v>56</v>
      </c>
      <c r="B14" t="s">
        <v>57</v>
      </c>
      <c r="C14" t="s">
        <v>37</v>
      </c>
      <c r="D14" t="s">
        <v>58</v>
      </c>
      <c r="E14">
        <v>942577</v>
      </c>
      <c r="F14">
        <v>713925</v>
      </c>
      <c r="G14">
        <v>1993941</v>
      </c>
      <c r="H14">
        <v>89963</v>
      </c>
      <c r="I14">
        <v>4495</v>
      </c>
      <c r="J14">
        <v>5117</v>
      </c>
      <c r="K14">
        <f t="shared" si="0"/>
        <v>13.947543509472283</v>
      </c>
      <c r="L14">
        <v>142588</v>
      </c>
      <c r="M14">
        <v>170373</v>
      </c>
      <c r="N14">
        <f t="shared" si="1"/>
        <v>19.486212023452186</v>
      </c>
      <c r="O14" s="4">
        <v>45954</v>
      </c>
      <c r="P14" s="4">
        <v>45975</v>
      </c>
      <c r="Q14" t="s">
        <v>21</v>
      </c>
      <c r="R14">
        <f>Table2[[#This Row],[End_Date]]-Table2[[#This Row],[Start_Date]]</f>
        <v>21</v>
      </c>
      <c r="S14" t="str">
        <f>TEXT(Table2[[#This Row],[Start_Date]],"MMM")</f>
        <v>Oct</v>
      </c>
      <c r="T14">
        <f>YEAR(Table2[[#This Row],[Start_Date]])</f>
        <v>2025</v>
      </c>
      <c r="U14">
        <f>Table2[[#This Row],[Campaign_Cost (₹)]]/Table2[[#This Row],[Reach]]</f>
        <v>0.19972406065062856</v>
      </c>
      <c r="V14">
        <f>Table2[[#This Row],[Revenue_Generated (₹)]]/Table2[[#This Row],[Reach]]</f>
        <v>0.23864271457085828</v>
      </c>
    </row>
    <row r="15" spans="1:22" x14ac:dyDescent="0.3">
      <c r="A15" t="s">
        <v>59</v>
      </c>
      <c r="B15" t="s">
        <v>27</v>
      </c>
      <c r="C15" t="s">
        <v>43</v>
      </c>
      <c r="D15" t="s">
        <v>58</v>
      </c>
      <c r="E15">
        <v>1427509</v>
      </c>
      <c r="F15">
        <v>471186</v>
      </c>
      <c r="G15">
        <v>567831</v>
      </c>
      <c r="H15">
        <v>52512</v>
      </c>
      <c r="I15">
        <v>2623</v>
      </c>
      <c r="J15">
        <v>4415</v>
      </c>
      <c r="K15">
        <f t="shared" si="0"/>
        <v>12.638321172530592</v>
      </c>
      <c r="L15">
        <v>287966</v>
      </c>
      <c r="M15">
        <v>1002711</v>
      </c>
      <c r="N15">
        <f t="shared" si="1"/>
        <v>248.20464915997027</v>
      </c>
      <c r="O15" s="4">
        <v>45850</v>
      </c>
      <c r="P15" s="4">
        <v>45877</v>
      </c>
      <c r="Q15" t="s">
        <v>47</v>
      </c>
      <c r="R15">
        <f>Table2[[#This Row],[End_Date]]-Table2[[#This Row],[Start_Date]]</f>
        <v>27</v>
      </c>
      <c r="S15" t="str">
        <f>TEXT(Table2[[#This Row],[Start_Date]],"MMM")</f>
        <v>Jul</v>
      </c>
      <c r="T15">
        <f>YEAR(Table2[[#This Row],[Start_Date]])</f>
        <v>2025</v>
      </c>
      <c r="U15">
        <f>Table2[[#This Row],[Campaign_Cost (₹)]]/Table2[[#This Row],[Reach]]</f>
        <v>0.61115143488983115</v>
      </c>
      <c r="V15">
        <f>Table2[[#This Row],[Revenue_Generated (₹)]]/Table2[[#This Row],[Reach]]</f>
        <v>2.1280577096942608</v>
      </c>
    </row>
    <row r="16" spans="1:22" x14ac:dyDescent="0.3">
      <c r="A16" t="s">
        <v>60</v>
      </c>
      <c r="B16" t="s">
        <v>61</v>
      </c>
      <c r="C16" t="s">
        <v>37</v>
      </c>
      <c r="D16" t="s">
        <v>29</v>
      </c>
      <c r="E16">
        <v>1252995</v>
      </c>
      <c r="F16">
        <v>459798</v>
      </c>
      <c r="G16">
        <v>1350314</v>
      </c>
      <c r="H16">
        <v>52434</v>
      </c>
      <c r="I16">
        <v>5751</v>
      </c>
      <c r="J16">
        <v>1276</v>
      </c>
      <c r="K16">
        <f t="shared" si="0"/>
        <v>12.931983175220424</v>
      </c>
      <c r="L16">
        <v>210224</v>
      </c>
      <c r="M16">
        <v>759319</v>
      </c>
      <c r="N16">
        <f t="shared" si="1"/>
        <v>261.19520130907983</v>
      </c>
      <c r="O16" s="4">
        <v>45956</v>
      </c>
      <c r="P16" s="4">
        <v>45973</v>
      </c>
      <c r="Q16" t="s">
        <v>34</v>
      </c>
      <c r="R16">
        <f>Table2[[#This Row],[End_Date]]-Table2[[#This Row],[Start_Date]]</f>
        <v>17</v>
      </c>
      <c r="S16" t="str">
        <f>TEXT(Table2[[#This Row],[Start_Date]],"MMM")</f>
        <v>Oct</v>
      </c>
      <c r="T16">
        <f>YEAR(Table2[[#This Row],[Start_Date]])</f>
        <v>2025</v>
      </c>
      <c r="U16">
        <f>Table2[[#This Row],[Campaign_Cost (₹)]]/Table2[[#This Row],[Reach]]</f>
        <v>0.45720947024562958</v>
      </c>
      <c r="V16">
        <f>Table2[[#This Row],[Revenue_Generated (₹)]]/Table2[[#This Row],[Reach]]</f>
        <v>1.6514186664578794</v>
      </c>
    </row>
    <row r="17" spans="1:22" x14ac:dyDescent="0.3">
      <c r="A17" t="s">
        <v>62</v>
      </c>
      <c r="B17" t="s">
        <v>63</v>
      </c>
      <c r="C17" t="s">
        <v>37</v>
      </c>
      <c r="D17" t="s">
        <v>20</v>
      </c>
      <c r="E17">
        <v>1623200</v>
      </c>
      <c r="F17">
        <v>540452</v>
      </c>
      <c r="G17">
        <v>864049</v>
      </c>
      <c r="H17">
        <v>79016</v>
      </c>
      <c r="I17">
        <v>3612</v>
      </c>
      <c r="J17">
        <v>6055</v>
      </c>
      <c r="K17">
        <f t="shared" si="0"/>
        <v>16.409042801210838</v>
      </c>
      <c r="L17">
        <v>132867</v>
      </c>
      <c r="M17">
        <v>364949</v>
      </c>
      <c r="N17">
        <f t="shared" si="1"/>
        <v>174.67241677767993</v>
      </c>
      <c r="O17" s="4">
        <v>46103</v>
      </c>
      <c r="P17" s="4">
        <v>46114</v>
      </c>
      <c r="Q17" t="s">
        <v>25</v>
      </c>
      <c r="R17">
        <f>Table2[[#This Row],[End_Date]]-Table2[[#This Row],[Start_Date]]</f>
        <v>11</v>
      </c>
      <c r="S17" t="str">
        <f>TEXT(Table2[[#This Row],[Start_Date]],"MMM")</f>
        <v>Mar</v>
      </c>
      <c r="T17">
        <f>YEAR(Table2[[#This Row],[Start_Date]])</f>
        <v>2026</v>
      </c>
      <c r="U17">
        <f>Table2[[#This Row],[Campaign_Cost (₹)]]/Table2[[#This Row],[Reach]]</f>
        <v>0.24584421928311859</v>
      </c>
      <c r="V17">
        <f>Table2[[#This Row],[Revenue_Generated (₹)]]/Table2[[#This Row],[Reach]]</f>
        <v>0.67526625861316081</v>
      </c>
    </row>
    <row r="18" spans="1:22" x14ac:dyDescent="0.3">
      <c r="A18" t="s">
        <v>64</v>
      </c>
      <c r="B18" t="s">
        <v>32</v>
      </c>
      <c r="C18" t="s">
        <v>19</v>
      </c>
      <c r="D18" t="s">
        <v>46</v>
      </c>
      <c r="E18">
        <v>920355</v>
      </c>
      <c r="F18">
        <v>285829</v>
      </c>
      <c r="G18">
        <v>771314</v>
      </c>
      <c r="H18">
        <v>20363</v>
      </c>
      <c r="I18">
        <v>1003</v>
      </c>
      <c r="J18">
        <v>1676</v>
      </c>
      <c r="K18">
        <f t="shared" si="0"/>
        <v>8.0614633224760261</v>
      </c>
      <c r="L18">
        <v>315176</v>
      </c>
      <c r="M18">
        <v>829259</v>
      </c>
      <c r="N18">
        <f t="shared" si="1"/>
        <v>163.1098180064472</v>
      </c>
      <c r="O18" s="4">
        <v>45813</v>
      </c>
      <c r="P18" s="4">
        <v>45831</v>
      </c>
      <c r="Q18" t="s">
        <v>41</v>
      </c>
      <c r="R18">
        <f>Table2[[#This Row],[End_Date]]-Table2[[#This Row],[Start_Date]]</f>
        <v>18</v>
      </c>
      <c r="S18" t="str">
        <f>TEXT(Table2[[#This Row],[Start_Date]],"MMM")</f>
        <v>Jun</v>
      </c>
      <c r="T18">
        <f>YEAR(Table2[[#This Row],[Start_Date]])</f>
        <v>2025</v>
      </c>
      <c r="U18">
        <f>Table2[[#This Row],[Campaign_Cost (₹)]]/Table2[[#This Row],[Reach]]</f>
        <v>1.1026732766794132</v>
      </c>
      <c r="V18">
        <f>Table2[[#This Row],[Revenue_Generated (₹)]]/Table2[[#This Row],[Reach]]</f>
        <v>2.9012416514769321</v>
      </c>
    </row>
    <row r="19" spans="1:22" x14ac:dyDescent="0.3">
      <c r="A19" t="s">
        <v>65</v>
      </c>
      <c r="B19" t="s">
        <v>61</v>
      </c>
      <c r="C19" t="s">
        <v>28</v>
      </c>
      <c r="D19" t="s">
        <v>51</v>
      </c>
      <c r="E19">
        <v>210297</v>
      </c>
      <c r="F19">
        <v>184680</v>
      </c>
      <c r="G19">
        <v>495866</v>
      </c>
      <c r="H19">
        <v>8065</v>
      </c>
      <c r="I19">
        <v>851</v>
      </c>
      <c r="J19">
        <v>766</v>
      </c>
      <c r="K19">
        <f t="shared" si="0"/>
        <v>5.2425817630495999</v>
      </c>
      <c r="L19">
        <v>499982</v>
      </c>
      <c r="M19">
        <v>2273782</v>
      </c>
      <c r="N19">
        <f t="shared" si="1"/>
        <v>354.77277181978548</v>
      </c>
      <c r="O19" s="4">
        <v>45739</v>
      </c>
      <c r="P19" s="4">
        <v>45765</v>
      </c>
      <c r="Q19" t="s">
        <v>34</v>
      </c>
      <c r="R19">
        <f>Table2[[#This Row],[End_Date]]-Table2[[#This Row],[Start_Date]]</f>
        <v>26</v>
      </c>
      <c r="S19" t="str">
        <f>TEXT(Table2[[#This Row],[Start_Date]],"MMM")</f>
        <v>Mar</v>
      </c>
      <c r="T19">
        <f>YEAR(Table2[[#This Row],[Start_Date]])</f>
        <v>2025</v>
      </c>
      <c r="U19">
        <f>Table2[[#This Row],[Campaign_Cost (₹)]]/Table2[[#This Row],[Reach]]</f>
        <v>2.7072882824344813</v>
      </c>
      <c r="V19">
        <f>Table2[[#This Row],[Revenue_Generated (₹)]]/Table2[[#This Row],[Reach]]</f>
        <v>12.312009963179554</v>
      </c>
    </row>
    <row r="20" spans="1:22" x14ac:dyDescent="0.3">
      <c r="A20" t="s">
        <v>66</v>
      </c>
      <c r="B20" t="s">
        <v>45</v>
      </c>
      <c r="C20" t="s">
        <v>28</v>
      </c>
      <c r="D20" t="s">
        <v>51</v>
      </c>
      <c r="E20">
        <v>282532</v>
      </c>
      <c r="F20">
        <v>230506</v>
      </c>
      <c r="G20">
        <v>585831</v>
      </c>
      <c r="H20">
        <v>8187</v>
      </c>
      <c r="I20">
        <v>1098</v>
      </c>
      <c r="J20">
        <v>626</v>
      </c>
      <c r="K20">
        <f t="shared" si="0"/>
        <v>4.2996711582344931</v>
      </c>
      <c r="L20">
        <v>13714</v>
      </c>
      <c r="M20">
        <v>62084</v>
      </c>
      <c r="N20">
        <f t="shared" si="1"/>
        <v>352.70526469301444</v>
      </c>
      <c r="O20" s="4">
        <v>45812</v>
      </c>
      <c r="P20" s="4">
        <v>45827</v>
      </c>
      <c r="Q20" t="s">
        <v>34</v>
      </c>
      <c r="R20">
        <f>Table2[[#This Row],[End_Date]]-Table2[[#This Row],[Start_Date]]</f>
        <v>15</v>
      </c>
      <c r="S20" t="str">
        <f>TEXT(Table2[[#This Row],[Start_Date]],"MMM")</f>
        <v>Jun</v>
      </c>
      <c r="T20">
        <f>YEAR(Table2[[#This Row],[Start_Date]])</f>
        <v>2025</v>
      </c>
      <c r="U20">
        <f>Table2[[#This Row],[Campaign_Cost (₹)]]/Table2[[#This Row],[Reach]]</f>
        <v>5.9495197521973395E-2</v>
      </c>
      <c r="V20">
        <f>Table2[[#This Row],[Revenue_Generated (₹)]]/Table2[[#This Row],[Reach]]</f>
        <v>0.26933789142148146</v>
      </c>
    </row>
    <row r="21" spans="1:22" x14ac:dyDescent="0.3">
      <c r="A21" t="s">
        <v>67</v>
      </c>
      <c r="B21" t="s">
        <v>36</v>
      </c>
      <c r="C21" t="s">
        <v>37</v>
      </c>
      <c r="D21" t="s">
        <v>29</v>
      </c>
      <c r="E21">
        <v>1308843</v>
      </c>
      <c r="F21">
        <v>763386</v>
      </c>
      <c r="G21">
        <v>2036275</v>
      </c>
      <c r="H21">
        <v>18605</v>
      </c>
      <c r="I21">
        <v>1283</v>
      </c>
      <c r="J21">
        <v>1769</v>
      </c>
      <c r="K21">
        <f t="shared" si="0"/>
        <v>2.836965833798367</v>
      </c>
      <c r="L21">
        <v>225799</v>
      </c>
      <c r="M21">
        <v>1019218</v>
      </c>
      <c r="N21">
        <f t="shared" si="1"/>
        <v>351.38286706318456</v>
      </c>
      <c r="O21" s="4">
        <v>46074</v>
      </c>
      <c r="P21" s="4">
        <v>46087</v>
      </c>
      <c r="Q21" t="s">
        <v>34</v>
      </c>
      <c r="R21">
        <f>Table2[[#This Row],[End_Date]]-Table2[[#This Row],[Start_Date]]</f>
        <v>13</v>
      </c>
      <c r="S21" t="str">
        <f>TEXT(Table2[[#This Row],[Start_Date]],"MMM")</f>
        <v>Feb</v>
      </c>
      <c r="T21">
        <f>YEAR(Table2[[#This Row],[Start_Date]])</f>
        <v>2026</v>
      </c>
      <c r="U21">
        <f>Table2[[#This Row],[Campaign_Cost (₹)]]/Table2[[#This Row],[Reach]]</f>
        <v>0.29578614226616678</v>
      </c>
      <c r="V21">
        <f>Table2[[#This Row],[Revenue_Generated (₹)]]/Table2[[#This Row],[Reach]]</f>
        <v>1.3351279693366134</v>
      </c>
    </row>
    <row r="22" spans="1:22" x14ac:dyDescent="0.3">
      <c r="A22" t="s">
        <v>68</v>
      </c>
      <c r="B22" t="s">
        <v>32</v>
      </c>
      <c r="C22" t="s">
        <v>43</v>
      </c>
      <c r="D22" t="s">
        <v>51</v>
      </c>
      <c r="E22">
        <v>918384</v>
      </c>
      <c r="F22">
        <v>634661</v>
      </c>
      <c r="G22">
        <v>1101238</v>
      </c>
      <c r="H22">
        <v>46375</v>
      </c>
      <c r="I22">
        <v>3871</v>
      </c>
      <c r="J22">
        <v>2865</v>
      </c>
      <c r="K22">
        <f t="shared" si="0"/>
        <v>8.3684045498305402</v>
      </c>
      <c r="L22">
        <v>430278</v>
      </c>
      <c r="M22">
        <v>874670</v>
      </c>
      <c r="N22">
        <f t="shared" si="1"/>
        <v>103.28020489079152</v>
      </c>
      <c r="O22" s="4">
        <v>45860</v>
      </c>
      <c r="P22" s="4">
        <v>45876</v>
      </c>
      <c r="Q22" t="s">
        <v>30</v>
      </c>
      <c r="R22">
        <f>Table2[[#This Row],[End_Date]]-Table2[[#This Row],[Start_Date]]</f>
        <v>16</v>
      </c>
      <c r="S22" t="str">
        <f>TEXT(Table2[[#This Row],[Start_Date]],"MMM")</f>
        <v>Jul</v>
      </c>
      <c r="T22">
        <f>YEAR(Table2[[#This Row],[Start_Date]])</f>
        <v>2025</v>
      </c>
      <c r="U22">
        <f>Table2[[#This Row],[Campaign_Cost (₹)]]/Table2[[#This Row],[Reach]]</f>
        <v>0.6779650868731496</v>
      </c>
      <c r="V22">
        <f>Table2[[#This Row],[Revenue_Generated (₹)]]/Table2[[#This Row],[Reach]]</f>
        <v>1.3781688176837714</v>
      </c>
    </row>
    <row r="23" spans="1:22" x14ac:dyDescent="0.3">
      <c r="A23" t="s">
        <v>69</v>
      </c>
      <c r="B23" t="s">
        <v>23</v>
      </c>
      <c r="C23" t="s">
        <v>43</v>
      </c>
      <c r="D23" t="s">
        <v>29</v>
      </c>
      <c r="E23">
        <v>94549</v>
      </c>
      <c r="F23">
        <v>43533</v>
      </c>
      <c r="G23">
        <v>80627</v>
      </c>
      <c r="H23">
        <v>5796</v>
      </c>
      <c r="I23">
        <v>275</v>
      </c>
      <c r="J23">
        <v>158</v>
      </c>
      <c r="K23">
        <f t="shared" si="0"/>
        <v>14.308685365125307</v>
      </c>
      <c r="L23">
        <v>44701</v>
      </c>
      <c r="M23">
        <v>62468</v>
      </c>
      <c r="N23">
        <f t="shared" si="1"/>
        <v>39.746314400125279</v>
      </c>
      <c r="O23" s="4">
        <v>45986</v>
      </c>
      <c r="P23" s="4">
        <v>46005</v>
      </c>
      <c r="Q23" t="s">
        <v>47</v>
      </c>
      <c r="R23">
        <f>Table2[[#This Row],[End_Date]]-Table2[[#This Row],[Start_Date]]</f>
        <v>19</v>
      </c>
      <c r="S23" t="str">
        <f>TEXT(Table2[[#This Row],[Start_Date]],"MMM")</f>
        <v>Nov</v>
      </c>
      <c r="T23">
        <f>YEAR(Table2[[#This Row],[Start_Date]])</f>
        <v>2025</v>
      </c>
      <c r="U23">
        <f>Table2[[#This Row],[Campaign_Cost (₹)]]/Table2[[#This Row],[Reach]]</f>
        <v>1.0268302207520732</v>
      </c>
      <c r="V23">
        <f>Table2[[#This Row],[Revenue_Generated (₹)]]/Table2[[#This Row],[Reach]]</f>
        <v>1.4349573886476925</v>
      </c>
    </row>
    <row r="24" spans="1:22" x14ac:dyDescent="0.3">
      <c r="A24" t="s">
        <v>70</v>
      </c>
      <c r="B24" t="s">
        <v>49</v>
      </c>
      <c r="C24" t="s">
        <v>28</v>
      </c>
      <c r="D24" t="s">
        <v>29</v>
      </c>
      <c r="E24">
        <v>1860580</v>
      </c>
      <c r="F24">
        <v>684705</v>
      </c>
      <c r="G24">
        <v>1051648</v>
      </c>
      <c r="H24">
        <v>46872</v>
      </c>
      <c r="I24">
        <v>3299</v>
      </c>
      <c r="J24">
        <v>3183</v>
      </c>
      <c r="K24">
        <f t="shared" si="0"/>
        <v>7.7922609006798549</v>
      </c>
      <c r="L24">
        <v>58016</v>
      </c>
      <c r="M24">
        <v>156073</v>
      </c>
      <c r="N24">
        <f t="shared" si="1"/>
        <v>169.01716767788199</v>
      </c>
      <c r="O24" s="4">
        <v>45955</v>
      </c>
      <c r="P24" s="4">
        <v>45971</v>
      </c>
      <c r="Q24" t="s">
        <v>30</v>
      </c>
      <c r="R24">
        <f>Table2[[#This Row],[End_Date]]-Table2[[#This Row],[Start_Date]]</f>
        <v>16</v>
      </c>
      <c r="S24" t="str">
        <f>TEXT(Table2[[#This Row],[Start_Date]],"MMM")</f>
        <v>Oct</v>
      </c>
      <c r="T24">
        <f>YEAR(Table2[[#This Row],[Start_Date]])</f>
        <v>2025</v>
      </c>
      <c r="U24">
        <f>Table2[[#This Row],[Campaign_Cost (₹)]]/Table2[[#This Row],[Reach]]</f>
        <v>8.4731380667586773E-2</v>
      </c>
      <c r="V24">
        <f>Table2[[#This Row],[Revenue_Generated (₹)]]/Table2[[#This Row],[Reach]]</f>
        <v>0.22794196040630638</v>
      </c>
    </row>
    <row r="25" spans="1:22" x14ac:dyDescent="0.3">
      <c r="A25" t="s">
        <v>71</v>
      </c>
      <c r="B25" t="s">
        <v>49</v>
      </c>
      <c r="C25" t="s">
        <v>43</v>
      </c>
      <c r="D25" t="s">
        <v>72</v>
      </c>
      <c r="E25">
        <v>1140518</v>
      </c>
      <c r="F25">
        <v>482654</v>
      </c>
      <c r="G25">
        <v>847877</v>
      </c>
      <c r="H25">
        <v>60346</v>
      </c>
      <c r="I25">
        <v>7395</v>
      </c>
      <c r="J25">
        <v>4559</v>
      </c>
      <c r="K25">
        <f t="shared" si="0"/>
        <v>14.979674880970634</v>
      </c>
      <c r="L25">
        <v>216565</v>
      </c>
      <c r="M25">
        <v>383476</v>
      </c>
      <c r="N25">
        <f t="shared" si="1"/>
        <v>77.072010712719035</v>
      </c>
      <c r="O25" s="4">
        <v>45693</v>
      </c>
      <c r="P25" s="4">
        <v>45708</v>
      </c>
      <c r="Q25" t="s">
        <v>34</v>
      </c>
      <c r="R25">
        <f>Table2[[#This Row],[End_Date]]-Table2[[#This Row],[Start_Date]]</f>
        <v>15</v>
      </c>
      <c r="S25" t="str">
        <f>TEXT(Table2[[#This Row],[Start_Date]],"MMM")</f>
        <v>Feb</v>
      </c>
      <c r="T25">
        <f>YEAR(Table2[[#This Row],[Start_Date]])</f>
        <v>2025</v>
      </c>
      <c r="U25">
        <f>Table2[[#This Row],[Campaign_Cost (₹)]]/Table2[[#This Row],[Reach]]</f>
        <v>0.44869616744085827</v>
      </c>
      <c r="V25">
        <f>Table2[[#This Row],[Revenue_Generated (₹)]]/Table2[[#This Row],[Reach]]</f>
        <v>0.7945153256784363</v>
      </c>
    </row>
    <row r="26" spans="1:22" x14ac:dyDescent="0.3">
      <c r="A26" t="s">
        <v>73</v>
      </c>
      <c r="B26" t="s">
        <v>49</v>
      </c>
      <c r="C26" t="s">
        <v>37</v>
      </c>
      <c r="D26" t="s">
        <v>46</v>
      </c>
      <c r="E26">
        <v>57955</v>
      </c>
      <c r="F26">
        <v>17433</v>
      </c>
      <c r="G26">
        <v>35449</v>
      </c>
      <c r="H26">
        <v>1234</v>
      </c>
      <c r="I26">
        <v>119</v>
      </c>
      <c r="J26">
        <v>37</v>
      </c>
      <c r="K26">
        <f t="shared" si="0"/>
        <v>7.9733838123099865</v>
      </c>
      <c r="L26">
        <v>314939</v>
      </c>
      <c r="M26">
        <v>1474940</v>
      </c>
      <c r="N26">
        <f t="shared" si="1"/>
        <v>368.32561226142207</v>
      </c>
      <c r="O26" s="4">
        <v>46117</v>
      </c>
      <c r="P26" s="4">
        <v>46129</v>
      </c>
      <c r="Q26" t="s">
        <v>47</v>
      </c>
      <c r="R26">
        <f>Table2[[#This Row],[End_Date]]-Table2[[#This Row],[Start_Date]]</f>
        <v>12</v>
      </c>
      <c r="S26" t="str">
        <f>TEXT(Table2[[#This Row],[Start_Date]],"MMM")</f>
        <v>Apr</v>
      </c>
      <c r="T26">
        <f>YEAR(Table2[[#This Row],[Start_Date]])</f>
        <v>2026</v>
      </c>
      <c r="U26">
        <f>Table2[[#This Row],[Campaign_Cost (₹)]]/Table2[[#This Row],[Reach]]</f>
        <v>18.065680032122984</v>
      </c>
      <c r="V26">
        <f>Table2[[#This Row],[Revenue_Generated (₹)]]/Table2[[#This Row],[Reach]]</f>
        <v>84.606206619629432</v>
      </c>
    </row>
    <row r="27" spans="1:22" x14ac:dyDescent="0.3">
      <c r="A27" t="s">
        <v>74</v>
      </c>
      <c r="B27" t="s">
        <v>75</v>
      </c>
      <c r="C27" t="s">
        <v>43</v>
      </c>
      <c r="D27" t="s">
        <v>72</v>
      </c>
      <c r="E27">
        <v>137397</v>
      </c>
      <c r="F27">
        <v>92913</v>
      </c>
      <c r="G27">
        <v>185884</v>
      </c>
      <c r="H27">
        <v>4953</v>
      </c>
      <c r="I27">
        <v>398</v>
      </c>
      <c r="J27">
        <v>192</v>
      </c>
      <c r="K27">
        <f t="shared" si="0"/>
        <v>5.9657959596611878</v>
      </c>
      <c r="L27">
        <v>299104</v>
      </c>
      <c r="M27">
        <v>1108327</v>
      </c>
      <c r="N27">
        <f t="shared" si="1"/>
        <v>270.54903979886598</v>
      </c>
      <c r="O27" s="4">
        <v>45968</v>
      </c>
      <c r="P27" s="4">
        <v>45983</v>
      </c>
      <c r="Q27" t="s">
        <v>25</v>
      </c>
      <c r="R27">
        <f>Table2[[#This Row],[End_Date]]-Table2[[#This Row],[Start_Date]]</f>
        <v>15</v>
      </c>
      <c r="S27" t="str">
        <f>TEXT(Table2[[#This Row],[Start_Date]],"MMM")</f>
        <v>Nov</v>
      </c>
      <c r="T27">
        <f>YEAR(Table2[[#This Row],[Start_Date]])</f>
        <v>2025</v>
      </c>
      <c r="U27">
        <f>Table2[[#This Row],[Campaign_Cost (₹)]]/Table2[[#This Row],[Reach]]</f>
        <v>3.2191835372875701</v>
      </c>
      <c r="V27">
        <f>Table2[[#This Row],[Revenue_Generated (₹)]]/Table2[[#This Row],[Reach]]</f>
        <v>11.928653686782258</v>
      </c>
    </row>
    <row r="28" spans="1:22" x14ac:dyDescent="0.3">
      <c r="A28" t="s">
        <v>76</v>
      </c>
      <c r="B28" t="s">
        <v>53</v>
      </c>
      <c r="C28" t="s">
        <v>33</v>
      </c>
      <c r="D28" t="s">
        <v>40</v>
      </c>
      <c r="E28">
        <v>1607723</v>
      </c>
      <c r="F28">
        <v>1020344</v>
      </c>
      <c r="G28">
        <v>1345975</v>
      </c>
      <c r="H28">
        <v>98331</v>
      </c>
      <c r="I28">
        <v>11560</v>
      </c>
      <c r="J28">
        <v>6422</v>
      </c>
      <c r="K28">
        <f t="shared" si="0"/>
        <v>11.399390793693108</v>
      </c>
      <c r="L28">
        <v>194584</v>
      </c>
      <c r="M28">
        <v>383736</v>
      </c>
      <c r="N28">
        <f t="shared" si="1"/>
        <v>97.20840356863873</v>
      </c>
      <c r="O28" s="4">
        <v>46095</v>
      </c>
      <c r="P28" s="4">
        <v>46106</v>
      </c>
      <c r="Q28" t="s">
        <v>47</v>
      </c>
      <c r="R28">
        <f>Table2[[#This Row],[End_Date]]-Table2[[#This Row],[Start_Date]]</f>
        <v>11</v>
      </c>
      <c r="S28" t="str">
        <f>TEXT(Table2[[#This Row],[Start_Date]],"MMM")</f>
        <v>Mar</v>
      </c>
      <c r="T28">
        <f>YEAR(Table2[[#This Row],[Start_Date]])</f>
        <v>2026</v>
      </c>
      <c r="U28">
        <f>Table2[[#This Row],[Campaign_Cost (₹)]]/Table2[[#This Row],[Reach]]</f>
        <v>0.19070431148710631</v>
      </c>
      <c r="V28">
        <f>Table2[[#This Row],[Revenue_Generated (₹)]]/Table2[[#This Row],[Reach]]</f>
        <v>0.3760849282202865</v>
      </c>
    </row>
    <row r="29" spans="1:22" x14ac:dyDescent="0.3">
      <c r="A29" t="s">
        <v>77</v>
      </c>
      <c r="B29" t="s">
        <v>75</v>
      </c>
      <c r="C29" t="s">
        <v>28</v>
      </c>
      <c r="D29" t="s">
        <v>20</v>
      </c>
      <c r="E29">
        <v>672941</v>
      </c>
      <c r="F29">
        <v>558168</v>
      </c>
      <c r="G29">
        <v>1621662</v>
      </c>
      <c r="H29">
        <v>22950</v>
      </c>
      <c r="I29">
        <v>2131</v>
      </c>
      <c r="J29">
        <v>1553</v>
      </c>
      <c r="K29">
        <f t="shared" si="0"/>
        <v>4.7716816442361445</v>
      </c>
      <c r="L29">
        <v>283923</v>
      </c>
      <c r="M29">
        <v>405396</v>
      </c>
      <c r="N29">
        <f t="shared" si="1"/>
        <v>42.78378292706121</v>
      </c>
      <c r="O29" s="4">
        <v>45977</v>
      </c>
      <c r="P29" s="4">
        <v>46002</v>
      </c>
      <c r="Q29" t="s">
        <v>78</v>
      </c>
      <c r="R29">
        <f>Table2[[#This Row],[End_Date]]-Table2[[#This Row],[Start_Date]]</f>
        <v>25</v>
      </c>
      <c r="S29" t="str">
        <f>TEXT(Table2[[#This Row],[Start_Date]],"MMM")</f>
        <v>Nov</v>
      </c>
      <c r="T29">
        <f>YEAR(Table2[[#This Row],[Start_Date]])</f>
        <v>2025</v>
      </c>
      <c r="U29">
        <f>Table2[[#This Row],[Campaign_Cost (₹)]]/Table2[[#This Row],[Reach]]</f>
        <v>0.50866943285892419</v>
      </c>
      <c r="V29">
        <f>Table2[[#This Row],[Revenue_Generated (₹)]]/Table2[[#This Row],[Reach]]</f>
        <v>0.72629745882959973</v>
      </c>
    </row>
    <row r="30" spans="1:22" x14ac:dyDescent="0.3">
      <c r="A30" t="s">
        <v>79</v>
      </c>
      <c r="B30" t="s">
        <v>80</v>
      </c>
      <c r="C30" t="s">
        <v>28</v>
      </c>
      <c r="D30" t="s">
        <v>46</v>
      </c>
      <c r="E30">
        <v>482834</v>
      </c>
      <c r="F30">
        <v>327045</v>
      </c>
      <c r="G30">
        <v>770958</v>
      </c>
      <c r="H30">
        <v>41613</v>
      </c>
      <c r="I30">
        <v>3727</v>
      </c>
      <c r="J30">
        <v>2452</v>
      </c>
      <c r="K30">
        <f t="shared" si="0"/>
        <v>14.613279518109129</v>
      </c>
      <c r="L30">
        <v>29893</v>
      </c>
      <c r="M30">
        <v>103646</v>
      </c>
      <c r="N30">
        <f t="shared" si="1"/>
        <v>246.72331315023587</v>
      </c>
      <c r="O30" s="4">
        <v>45991</v>
      </c>
      <c r="P30" s="4">
        <v>46002</v>
      </c>
      <c r="Q30" t="s">
        <v>25</v>
      </c>
      <c r="R30">
        <f>Table2[[#This Row],[End_Date]]-Table2[[#This Row],[Start_Date]]</f>
        <v>11</v>
      </c>
      <c r="S30" t="str">
        <f>TEXT(Table2[[#This Row],[Start_Date]],"MMM")</f>
        <v>Nov</v>
      </c>
      <c r="T30">
        <f>YEAR(Table2[[#This Row],[Start_Date]])</f>
        <v>2025</v>
      </c>
      <c r="U30">
        <f>Table2[[#This Row],[Campaign_Cost (₹)]]/Table2[[#This Row],[Reach]]</f>
        <v>9.1403323701631276E-2</v>
      </c>
      <c r="V30">
        <f>Table2[[#This Row],[Revenue_Generated (₹)]]/Table2[[#This Row],[Reach]]</f>
        <v>0.31691663226773076</v>
      </c>
    </row>
    <row r="31" spans="1:22" x14ac:dyDescent="0.3">
      <c r="A31" t="s">
        <v>81</v>
      </c>
      <c r="B31" t="s">
        <v>45</v>
      </c>
      <c r="C31" t="s">
        <v>37</v>
      </c>
      <c r="D31" t="s">
        <v>58</v>
      </c>
      <c r="E31">
        <v>1922429</v>
      </c>
      <c r="F31">
        <v>1129863</v>
      </c>
      <c r="G31">
        <v>1506610</v>
      </c>
      <c r="H31">
        <v>96808</v>
      </c>
      <c r="I31">
        <v>5809</v>
      </c>
      <c r="J31">
        <v>3916</v>
      </c>
      <c r="K31">
        <f t="shared" si="0"/>
        <v>9.4288422578666609</v>
      </c>
      <c r="L31">
        <v>333265</v>
      </c>
      <c r="M31">
        <v>1622048</v>
      </c>
      <c r="N31">
        <f t="shared" si="1"/>
        <v>386.71417640616329</v>
      </c>
      <c r="O31" s="4">
        <v>45990</v>
      </c>
      <c r="P31" s="4">
        <v>45998</v>
      </c>
      <c r="Q31" t="s">
        <v>54</v>
      </c>
      <c r="R31">
        <f>Table2[[#This Row],[End_Date]]-Table2[[#This Row],[Start_Date]]</f>
        <v>8</v>
      </c>
      <c r="S31" t="str">
        <f>TEXT(Table2[[#This Row],[Start_Date]],"MMM")</f>
        <v>Nov</v>
      </c>
      <c r="T31">
        <f>YEAR(Table2[[#This Row],[Start_Date]])</f>
        <v>2025</v>
      </c>
      <c r="U31">
        <f>Table2[[#This Row],[Campaign_Cost (₹)]]/Table2[[#This Row],[Reach]]</f>
        <v>0.2949605394636341</v>
      </c>
      <c r="V31">
        <f>Table2[[#This Row],[Revenue_Generated (₹)]]/Table2[[#This Row],[Reach]]</f>
        <v>1.4356147603736029</v>
      </c>
    </row>
    <row r="32" spans="1:22" x14ac:dyDescent="0.3">
      <c r="A32" t="s">
        <v>82</v>
      </c>
      <c r="B32" t="s">
        <v>63</v>
      </c>
      <c r="C32" t="s">
        <v>28</v>
      </c>
      <c r="D32" t="s">
        <v>46</v>
      </c>
      <c r="E32">
        <v>890148</v>
      </c>
      <c r="F32">
        <v>238574</v>
      </c>
      <c r="G32">
        <v>625377</v>
      </c>
      <c r="H32">
        <v>7343</v>
      </c>
      <c r="I32">
        <v>1031</v>
      </c>
      <c r="J32">
        <v>504</v>
      </c>
      <c r="K32">
        <f t="shared" si="0"/>
        <v>3.7212772556942495</v>
      </c>
      <c r="L32">
        <v>155015</v>
      </c>
      <c r="M32">
        <v>464826</v>
      </c>
      <c r="N32">
        <f t="shared" si="1"/>
        <v>199.85872334935328</v>
      </c>
      <c r="O32" s="4">
        <v>45707</v>
      </c>
      <c r="P32" s="4">
        <v>45714</v>
      </c>
      <c r="Q32" t="s">
        <v>54</v>
      </c>
      <c r="R32">
        <f>Table2[[#This Row],[End_Date]]-Table2[[#This Row],[Start_Date]]</f>
        <v>7</v>
      </c>
      <c r="S32" t="str">
        <f>TEXT(Table2[[#This Row],[Start_Date]],"MMM")</f>
        <v>Feb</v>
      </c>
      <c r="T32">
        <f>YEAR(Table2[[#This Row],[Start_Date]])</f>
        <v>2025</v>
      </c>
      <c r="U32">
        <f>Table2[[#This Row],[Campaign_Cost (₹)]]/Table2[[#This Row],[Reach]]</f>
        <v>0.64975646969074585</v>
      </c>
      <c r="V32">
        <f>Table2[[#This Row],[Revenue_Generated (₹)]]/Table2[[#This Row],[Reach]]</f>
        <v>1.9483514548944982</v>
      </c>
    </row>
    <row r="33" spans="1:22" x14ac:dyDescent="0.3">
      <c r="A33" t="s">
        <v>83</v>
      </c>
      <c r="B33" t="s">
        <v>18</v>
      </c>
      <c r="C33" t="s">
        <v>28</v>
      </c>
      <c r="D33" t="s">
        <v>46</v>
      </c>
      <c r="E33">
        <v>1913304</v>
      </c>
      <c r="F33">
        <v>943878</v>
      </c>
      <c r="G33">
        <v>1750418</v>
      </c>
      <c r="H33">
        <v>101966</v>
      </c>
      <c r="I33">
        <v>5663</v>
      </c>
      <c r="J33">
        <v>8487</v>
      </c>
      <c r="K33">
        <f t="shared" si="0"/>
        <v>12.302013607690824</v>
      </c>
      <c r="L33">
        <v>104531</v>
      </c>
      <c r="M33">
        <v>299792</v>
      </c>
      <c r="N33">
        <f t="shared" si="1"/>
        <v>186.79721805014779</v>
      </c>
      <c r="O33" s="4">
        <v>46017</v>
      </c>
      <c r="P33" s="4">
        <v>46026</v>
      </c>
      <c r="Q33" t="s">
        <v>41</v>
      </c>
      <c r="R33">
        <f>Table2[[#This Row],[End_Date]]-Table2[[#This Row],[Start_Date]]</f>
        <v>9</v>
      </c>
      <c r="S33" t="str">
        <f>TEXT(Table2[[#This Row],[Start_Date]],"MMM")</f>
        <v>Dec</v>
      </c>
      <c r="T33">
        <f>YEAR(Table2[[#This Row],[Start_Date]])</f>
        <v>2025</v>
      </c>
      <c r="U33">
        <f>Table2[[#This Row],[Campaign_Cost (₹)]]/Table2[[#This Row],[Reach]]</f>
        <v>0.11074630407743373</v>
      </c>
      <c r="V33">
        <f>Table2[[#This Row],[Revenue_Generated (₹)]]/Table2[[#This Row],[Reach]]</f>
        <v>0.31761731918743735</v>
      </c>
    </row>
    <row r="34" spans="1:22" x14ac:dyDescent="0.3">
      <c r="A34" t="s">
        <v>84</v>
      </c>
      <c r="B34" t="s">
        <v>61</v>
      </c>
      <c r="C34" t="s">
        <v>19</v>
      </c>
      <c r="D34" t="s">
        <v>20</v>
      </c>
      <c r="E34">
        <v>1228070</v>
      </c>
      <c r="F34">
        <v>608693</v>
      </c>
      <c r="G34">
        <v>1530078</v>
      </c>
      <c r="H34">
        <v>31324</v>
      </c>
      <c r="I34">
        <v>1475</v>
      </c>
      <c r="J34">
        <v>1365</v>
      </c>
      <c r="K34">
        <f t="shared" si="0"/>
        <v>5.612681598112677</v>
      </c>
      <c r="L34">
        <v>44940</v>
      </c>
      <c r="M34">
        <v>125895</v>
      </c>
      <c r="N34">
        <f t="shared" si="1"/>
        <v>180.14018691588785</v>
      </c>
      <c r="O34" s="4">
        <v>45671</v>
      </c>
      <c r="P34" s="4">
        <v>45699</v>
      </c>
      <c r="Q34" t="s">
        <v>21</v>
      </c>
      <c r="R34">
        <f>Table2[[#This Row],[End_Date]]-Table2[[#This Row],[Start_Date]]</f>
        <v>28</v>
      </c>
      <c r="S34" t="str">
        <f>TEXT(Table2[[#This Row],[Start_Date]],"MMM")</f>
        <v>Jan</v>
      </c>
      <c r="T34">
        <f>YEAR(Table2[[#This Row],[Start_Date]])</f>
        <v>2025</v>
      </c>
      <c r="U34">
        <f>Table2[[#This Row],[Campaign_Cost (₹)]]/Table2[[#This Row],[Reach]]</f>
        <v>7.3830321689258793E-2</v>
      </c>
      <c r="V34">
        <f>Table2[[#This Row],[Revenue_Generated (₹)]]/Table2[[#This Row],[Reach]]</f>
        <v>0.20682840118089085</v>
      </c>
    </row>
    <row r="35" spans="1:22" x14ac:dyDescent="0.3">
      <c r="A35" t="s">
        <v>85</v>
      </c>
      <c r="B35" t="s">
        <v>80</v>
      </c>
      <c r="C35" t="s">
        <v>33</v>
      </c>
      <c r="D35" t="s">
        <v>29</v>
      </c>
      <c r="E35">
        <v>968265</v>
      </c>
      <c r="F35">
        <v>454615</v>
      </c>
      <c r="G35">
        <v>717351</v>
      </c>
      <c r="H35">
        <v>49444</v>
      </c>
      <c r="I35">
        <v>2531</v>
      </c>
      <c r="J35">
        <v>2076</v>
      </c>
      <c r="K35">
        <f t="shared" si="0"/>
        <v>11.889400921658986</v>
      </c>
      <c r="L35">
        <v>290373</v>
      </c>
      <c r="M35">
        <v>417131</v>
      </c>
      <c r="N35">
        <f t="shared" si="1"/>
        <v>43.653507729713162</v>
      </c>
      <c r="O35" s="4">
        <v>46064</v>
      </c>
      <c r="P35" s="4">
        <v>46073</v>
      </c>
      <c r="Q35" t="s">
        <v>25</v>
      </c>
      <c r="R35">
        <f>Table2[[#This Row],[End_Date]]-Table2[[#This Row],[Start_Date]]</f>
        <v>9</v>
      </c>
      <c r="S35" t="str">
        <f>TEXT(Table2[[#This Row],[Start_Date]],"MMM")</f>
        <v>Feb</v>
      </c>
      <c r="T35">
        <f>YEAR(Table2[[#This Row],[Start_Date]])</f>
        <v>2026</v>
      </c>
      <c r="U35">
        <f>Table2[[#This Row],[Campaign_Cost (₹)]]/Table2[[#This Row],[Reach]]</f>
        <v>0.63872287540006378</v>
      </c>
      <c r="V35">
        <f>Table2[[#This Row],[Revenue_Generated (₹)]]/Table2[[#This Row],[Reach]]</f>
        <v>0.91754781518427686</v>
      </c>
    </row>
    <row r="36" spans="1:22" x14ac:dyDescent="0.3">
      <c r="A36" t="s">
        <v>86</v>
      </c>
      <c r="B36" t="s">
        <v>27</v>
      </c>
      <c r="C36" t="s">
        <v>33</v>
      </c>
      <c r="D36" t="s">
        <v>72</v>
      </c>
      <c r="E36">
        <v>520021</v>
      </c>
      <c r="F36">
        <v>204711</v>
      </c>
      <c r="G36">
        <v>526099</v>
      </c>
      <c r="H36">
        <v>16662</v>
      </c>
      <c r="I36">
        <v>1344</v>
      </c>
      <c r="J36">
        <v>1007</v>
      </c>
      <c r="K36">
        <f t="shared" si="0"/>
        <v>9.2877275769255192</v>
      </c>
      <c r="L36">
        <v>129837</v>
      </c>
      <c r="M36">
        <v>158860</v>
      </c>
      <c r="N36">
        <f t="shared" si="1"/>
        <v>22.353412355491887</v>
      </c>
      <c r="O36" s="4">
        <v>46119</v>
      </c>
      <c r="P36" s="4">
        <v>46149</v>
      </c>
      <c r="Q36" t="s">
        <v>34</v>
      </c>
      <c r="R36">
        <f>Table2[[#This Row],[End_Date]]-Table2[[#This Row],[Start_Date]]</f>
        <v>30</v>
      </c>
      <c r="S36" t="str">
        <f>TEXT(Table2[[#This Row],[Start_Date]],"MMM")</f>
        <v>Apr</v>
      </c>
      <c r="T36">
        <f>YEAR(Table2[[#This Row],[Start_Date]])</f>
        <v>2026</v>
      </c>
      <c r="U36">
        <f>Table2[[#This Row],[Campaign_Cost (₹)]]/Table2[[#This Row],[Reach]]</f>
        <v>0.63424535076278266</v>
      </c>
      <c r="V36">
        <f>Table2[[#This Row],[Revenue_Generated (₹)]]/Table2[[#This Row],[Reach]]</f>
        <v>0.77602082936432337</v>
      </c>
    </row>
    <row r="37" spans="1:22" x14ac:dyDescent="0.3">
      <c r="A37" t="s">
        <v>87</v>
      </c>
      <c r="B37" t="s">
        <v>32</v>
      </c>
      <c r="C37" t="s">
        <v>19</v>
      </c>
      <c r="D37" t="s">
        <v>24</v>
      </c>
      <c r="E37">
        <v>944894</v>
      </c>
      <c r="F37">
        <v>360279</v>
      </c>
      <c r="G37">
        <v>790218</v>
      </c>
      <c r="H37">
        <v>43434</v>
      </c>
      <c r="I37">
        <v>6140</v>
      </c>
      <c r="J37">
        <v>3538</v>
      </c>
      <c r="K37">
        <f t="shared" si="0"/>
        <v>14.741908354358705</v>
      </c>
      <c r="L37">
        <v>477085</v>
      </c>
      <c r="M37">
        <v>1578056</v>
      </c>
      <c r="N37">
        <f t="shared" si="1"/>
        <v>230.77040778896841</v>
      </c>
      <c r="O37" s="4">
        <v>45794</v>
      </c>
      <c r="P37" s="4">
        <v>45815</v>
      </c>
      <c r="Q37" t="s">
        <v>25</v>
      </c>
      <c r="R37">
        <f>Table2[[#This Row],[End_Date]]-Table2[[#This Row],[Start_Date]]</f>
        <v>21</v>
      </c>
      <c r="S37" t="str">
        <f>TEXT(Table2[[#This Row],[Start_Date]],"MMM")</f>
        <v>May</v>
      </c>
      <c r="T37">
        <f>YEAR(Table2[[#This Row],[Start_Date]])</f>
        <v>2025</v>
      </c>
      <c r="U37">
        <f>Table2[[#This Row],[Campaign_Cost (₹)]]/Table2[[#This Row],[Reach]]</f>
        <v>1.3242098484785403</v>
      </c>
      <c r="V37">
        <f>Table2[[#This Row],[Revenue_Generated (₹)]]/Table2[[#This Row],[Reach]]</f>
        <v>4.3800943157941488</v>
      </c>
    </row>
    <row r="38" spans="1:22" x14ac:dyDescent="0.3">
      <c r="A38" t="s">
        <v>88</v>
      </c>
      <c r="B38" t="s">
        <v>36</v>
      </c>
      <c r="C38" t="s">
        <v>28</v>
      </c>
      <c r="D38" t="s">
        <v>72</v>
      </c>
      <c r="E38">
        <v>636981</v>
      </c>
      <c r="F38">
        <v>334852</v>
      </c>
      <c r="G38">
        <v>952600</v>
      </c>
      <c r="H38">
        <v>28503</v>
      </c>
      <c r="I38">
        <v>2887</v>
      </c>
      <c r="J38">
        <v>1375</v>
      </c>
      <c r="K38">
        <f t="shared" si="0"/>
        <v>9.7849199049132149</v>
      </c>
      <c r="L38">
        <v>108202</v>
      </c>
      <c r="M38">
        <v>269942</v>
      </c>
      <c r="N38">
        <f t="shared" si="1"/>
        <v>149.47967690061182</v>
      </c>
      <c r="O38" s="4">
        <v>45799</v>
      </c>
      <c r="P38" s="4">
        <v>45813</v>
      </c>
      <c r="Q38" t="s">
        <v>21</v>
      </c>
      <c r="R38">
        <f>Table2[[#This Row],[End_Date]]-Table2[[#This Row],[Start_Date]]</f>
        <v>14</v>
      </c>
      <c r="S38" t="str">
        <f>TEXT(Table2[[#This Row],[Start_Date]],"MMM")</f>
        <v>May</v>
      </c>
      <c r="T38">
        <f>YEAR(Table2[[#This Row],[Start_Date]])</f>
        <v>2025</v>
      </c>
      <c r="U38">
        <f>Table2[[#This Row],[Campaign_Cost (₹)]]/Table2[[#This Row],[Reach]]</f>
        <v>0.32313380239628253</v>
      </c>
      <c r="V38">
        <f>Table2[[#This Row],[Revenue_Generated (₹)]]/Table2[[#This Row],[Reach]]</f>
        <v>0.80615316617490718</v>
      </c>
    </row>
    <row r="39" spans="1:22" x14ac:dyDescent="0.3">
      <c r="A39" t="s">
        <v>89</v>
      </c>
      <c r="B39" t="s">
        <v>80</v>
      </c>
      <c r="C39" t="s">
        <v>33</v>
      </c>
      <c r="D39" t="s">
        <v>72</v>
      </c>
      <c r="E39">
        <v>1483670</v>
      </c>
      <c r="F39">
        <v>1204884</v>
      </c>
      <c r="G39">
        <v>2378890</v>
      </c>
      <c r="H39">
        <v>87292</v>
      </c>
      <c r="I39">
        <v>6159</v>
      </c>
      <c r="J39">
        <v>8150</v>
      </c>
      <c r="K39">
        <f t="shared" si="0"/>
        <v>8.4324300098598712</v>
      </c>
      <c r="L39">
        <v>453643</v>
      </c>
      <c r="M39">
        <v>2180970</v>
      </c>
      <c r="N39">
        <f t="shared" si="1"/>
        <v>380.76791662166067</v>
      </c>
      <c r="O39" s="4">
        <v>45948</v>
      </c>
      <c r="P39" s="4">
        <v>45971</v>
      </c>
      <c r="Q39" t="s">
        <v>30</v>
      </c>
      <c r="R39">
        <f>Table2[[#This Row],[End_Date]]-Table2[[#This Row],[Start_Date]]</f>
        <v>23</v>
      </c>
      <c r="S39" t="str">
        <f>TEXT(Table2[[#This Row],[Start_Date]],"MMM")</f>
        <v>Oct</v>
      </c>
      <c r="T39">
        <f>YEAR(Table2[[#This Row],[Start_Date]])</f>
        <v>2025</v>
      </c>
      <c r="U39">
        <f>Table2[[#This Row],[Campaign_Cost (₹)]]/Table2[[#This Row],[Reach]]</f>
        <v>0.37650346423390135</v>
      </c>
      <c r="V39">
        <f>Table2[[#This Row],[Revenue_Generated (₹)]]/Table2[[#This Row],[Reach]]</f>
        <v>1.8101078610057069</v>
      </c>
    </row>
    <row r="40" spans="1:22" x14ac:dyDescent="0.3">
      <c r="A40" t="s">
        <v>90</v>
      </c>
      <c r="B40" t="s">
        <v>32</v>
      </c>
      <c r="C40" t="s">
        <v>33</v>
      </c>
      <c r="D40" t="s">
        <v>20</v>
      </c>
      <c r="E40">
        <v>325042</v>
      </c>
      <c r="F40">
        <v>290590</v>
      </c>
      <c r="G40">
        <v>648474</v>
      </c>
      <c r="H40">
        <v>35536</v>
      </c>
      <c r="I40">
        <v>1498</v>
      </c>
      <c r="J40">
        <v>1304</v>
      </c>
      <c r="K40">
        <f t="shared" si="0"/>
        <v>13.193158745999517</v>
      </c>
      <c r="L40">
        <v>28334</v>
      </c>
      <c r="M40">
        <v>130442</v>
      </c>
      <c r="N40">
        <f t="shared" si="1"/>
        <v>360.37269711300911</v>
      </c>
      <c r="O40" s="4">
        <v>45721</v>
      </c>
      <c r="P40" s="4">
        <v>45730</v>
      </c>
      <c r="Q40" t="s">
        <v>34</v>
      </c>
      <c r="R40">
        <f>Table2[[#This Row],[End_Date]]-Table2[[#This Row],[Start_Date]]</f>
        <v>9</v>
      </c>
      <c r="S40" t="str">
        <f>TEXT(Table2[[#This Row],[Start_Date]],"MMM")</f>
        <v>Mar</v>
      </c>
      <c r="T40">
        <f>YEAR(Table2[[#This Row],[Start_Date]])</f>
        <v>2025</v>
      </c>
      <c r="U40">
        <f>Table2[[#This Row],[Campaign_Cost (₹)]]/Table2[[#This Row],[Reach]]</f>
        <v>9.7505075880105985E-2</v>
      </c>
      <c r="V40">
        <f>Table2[[#This Row],[Revenue_Generated (₹)]]/Table2[[#This Row],[Reach]]</f>
        <v>0.44888674765133008</v>
      </c>
    </row>
    <row r="41" spans="1:22" x14ac:dyDescent="0.3">
      <c r="A41" t="s">
        <v>91</v>
      </c>
      <c r="B41" t="s">
        <v>36</v>
      </c>
      <c r="C41" t="s">
        <v>28</v>
      </c>
      <c r="D41" t="s">
        <v>46</v>
      </c>
      <c r="E41">
        <v>119987</v>
      </c>
      <c r="F41">
        <v>32090</v>
      </c>
      <c r="G41">
        <v>57058</v>
      </c>
      <c r="H41">
        <v>4699</v>
      </c>
      <c r="I41">
        <v>508</v>
      </c>
      <c r="J41">
        <v>258</v>
      </c>
      <c r="K41">
        <f t="shared" si="0"/>
        <v>17.03022748519788</v>
      </c>
      <c r="L41">
        <v>306824</v>
      </c>
      <c r="M41">
        <v>1167718</v>
      </c>
      <c r="N41">
        <f t="shared" si="1"/>
        <v>280.58235340129846</v>
      </c>
      <c r="O41" s="4">
        <v>46108</v>
      </c>
      <c r="P41" s="4">
        <v>46131</v>
      </c>
      <c r="Q41" t="s">
        <v>30</v>
      </c>
      <c r="R41">
        <f>Table2[[#This Row],[End_Date]]-Table2[[#This Row],[Start_Date]]</f>
        <v>23</v>
      </c>
      <c r="S41" t="str">
        <f>TEXT(Table2[[#This Row],[Start_Date]],"MMM")</f>
        <v>Mar</v>
      </c>
      <c r="T41">
        <f>YEAR(Table2[[#This Row],[Start_Date]])</f>
        <v>2026</v>
      </c>
      <c r="U41">
        <f>Table2[[#This Row],[Campaign_Cost (₹)]]/Table2[[#This Row],[Reach]]</f>
        <v>9.5613586787161111</v>
      </c>
      <c r="V41">
        <f>Table2[[#This Row],[Revenue_Generated (₹)]]/Table2[[#This Row],[Reach]]</f>
        <v>36.388843876597072</v>
      </c>
    </row>
    <row r="42" spans="1:22" x14ac:dyDescent="0.3">
      <c r="A42" t="s">
        <v>92</v>
      </c>
      <c r="B42" t="s">
        <v>45</v>
      </c>
      <c r="C42" t="s">
        <v>28</v>
      </c>
      <c r="D42" t="s">
        <v>29</v>
      </c>
      <c r="E42">
        <v>687105</v>
      </c>
      <c r="F42">
        <v>335716</v>
      </c>
      <c r="G42">
        <v>696033</v>
      </c>
      <c r="H42">
        <v>17465</v>
      </c>
      <c r="I42">
        <v>1688</v>
      </c>
      <c r="J42">
        <v>1588</v>
      </c>
      <c r="K42">
        <f t="shared" si="0"/>
        <v>6.1781386648238392</v>
      </c>
      <c r="L42">
        <v>288345</v>
      </c>
      <c r="M42">
        <v>1013280</v>
      </c>
      <c r="N42">
        <f t="shared" si="1"/>
        <v>251.41237059772146</v>
      </c>
      <c r="O42" s="4">
        <v>45665</v>
      </c>
      <c r="P42" s="4">
        <v>45686</v>
      </c>
      <c r="Q42" t="s">
        <v>47</v>
      </c>
      <c r="R42">
        <f>Table2[[#This Row],[End_Date]]-Table2[[#This Row],[Start_Date]]</f>
        <v>21</v>
      </c>
      <c r="S42" t="str">
        <f>TEXT(Table2[[#This Row],[Start_Date]],"MMM")</f>
        <v>Jan</v>
      </c>
      <c r="T42">
        <f>YEAR(Table2[[#This Row],[Start_Date]])</f>
        <v>2025</v>
      </c>
      <c r="U42">
        <f>Table2[[#This Row],[Campaign_Cost (₹)]]/Table2[[#This Row],[Reach]]</f>
        <v>0.85889561415005544</v>
      </c>
      <c r="V42">
        <f>Table2[[#This Row],[Revenue_Generated (₹)]]/Table2[[#This Row],[Reach]]</f>
        <v>3.0182654386445686</v>
      </c>
    </row>
    <row r="43" spans="1:22" x14ac:dyDescent="0.3">
      <c r="A43" t="s">
        <v>93</v>
      </c>
      <c r="B43" t="s">
        <v>18</v>
      </c>
      <c r="C43" t="s">
        <v>33</v>
      </c>
      <c r="D43" t="s">
        <v>29</v>
      </c>
      <c r="E43">
        <v>1552518</v>
      </c>
      <c r="F43">
        <v>845376</v>
      </c>
      <c r="G43">
        <v>1279604</v>
      </c>
      <c r="H43">
        <v>43596</v>
      </c>
      <c r="I43">
        <v>1802</v>
      </c>
      <c r="J43">
        <v>2621</v>
      </c>
      <c r="K43">
        <f t="shared" si="0"/>
        <v>5.6801943750473161</v>
      </c>
      <c r="L43">
        <v>366840</v>
      </c>
      <c r="M43">
        <v>471335</v>
      </c>
      <c r="N43">
        <f t="shared" si="1"/>
        <v>28.485170646603425</v>
      </c>
      <c r="O43" s="4">
        <v>45913</v>
      </c>
      <c r="P43" s="4">
        <v>45939</v>
      </c>
      <c r="Q43" t="s">
        <v>34</v>
      </c>
      <c r="R43">
        <f>Table2[[#This Row],[End_Date]]-Table2[[#This Row],[Start_Date]]</f>
        <v>26</v>
      </c>
      <c r="S43" t="str">
        <f>TEXT(Table2[[#This Row],[Start_Date]],"MMM")</f>
        <v>Sep</v>
      </c>
      <c r="T43">
        <f>YEAR(Table2[[#This Row],[Start_Date]])</f>
        <v>2025</v>
      </c>
      <c r="U43">
        <f>Table2[[#This Row],[Campaign_Cost (₹)]]/Table2[[#This Row],[Reach]]</f>
        <v>0.43393708834885303</v>
      </c>
      <c r="V43">
        <f>Table2[[#This Row],[Revenue_Generated (₹)]]/Table2[[#This Row],[Reach]]</f>
        <v>0.55754480846392607</v>
      </c>
    </row>
    <row r="44" spans="1:22" x14ac:dyDescent="0.3">
      <c r="A44" t="s">
        <v>94</v>
      </c>
      <c r="B44" t="s">
        <v>27</v>
      </c>
      <c r="C44" t="s">
        <v>37</v>
      </c>
      <c r="D44" t="s">
        <v>29</v>
      </c>
      <c r="E44">
        <v>855433</v>
      </c>
      <c r="F44">
        <v>758242</v>
      </c>
      <c r="G44">
        <v>2006913</v>
      </c>
      <c r="H44">
        <v>33818</v>
      </c>
      <c r="I44">
        <v>3787</v>
      </c>
      <c r="J44">
        <v>3002</v>
      </c>
      <c r="K44">
        <f t="shared" si="0"/>
        <v>5.3554142345056066</v>
      </c>
      <c r="L44">
        <v>325214</v>
      </c>
      <c r="M44">
        <v>362692</v>
      </c>
      <c r="N44">
        <f t="shared" si="1"/>
        <v>11.524104128358557</v>
      </c>
      <c r="O44" s="4">
        <v>46138</v>
      </c>
      <c r="P44" s="4">
        <v>46152</v>
      </c>
      <c r="Q44" t="s">
        <v>78</v>
      </c>
      <c r="R44">
        <f>Table2[[#This Row],[End_Date]]-Table2[[#This Row],[Start_Date]]</f>
        <v>14</v>
      </c>
      <c r="S44" t="str">
        <f>TEXT(Table2[[#This Row],[Start_Date]],"MMM")</f>
        <v>Apr</v>
      </c>
      <c r="T44">
        <f>YEAR(Table2[[#This Row],[Start_Date]])</f>
        <v>2026</v>
      </c>
      <c r="U44">
        <f>Table2[[#This Row],[Campaign_Cost (₹)]]/Table2[[#This Row],[Reach]]</f>
        <v>0.42890528353744584</v>
      </c>
      <c r="V44">
        <f>Table2[[#This Row],[Revenue_Generated (₹)]]/Table2[[#This Row],[Reach]]</f>
        <v>0.47833277502433258</v>
      </c>
    </row>
    <row r="45" spans="1:22" x14ac:dyDescent="0.3">
      <c r="A45" t="s">
        <v>95</v>
      </c>
      <c r="B45" t="s">
        <v>36</v>
      </c>
      <c r="C45" t="s">
        <v>37</v>
      </c>
      <c r="D45" t="s">
        <v>40</v>
      </c>
      <c r="E45">
        <v>153045</v>
      </c>
      <c r="F45">
        <v>42319</v>
      </c>
      <c r="G45">
        <v>87926</v>
      </c>
      <c r="H45">
        <v>1758</v>
      </c>
      <c r="I45">
        <v>215</v>
      </c>
      <c r="J45">
        <v>128</v>
      </c>
      <c r="K45">
        <f t="shared" si="0"/>
        <v>4.9646730782863493</v>
      </c>
      <c r="L45">
        <v>234724</v>
      </c>
      <c r="M45">
        <v>788150</v>
      </c>
      <c r="N45">
        <f t="shared" si="1"/>
        <v>235.7773384911641</v>
      </c>
      <c r="O45" s="4">
        <v>45958</v>
      </c>
      <c r="P45" s="4">
        <v>45975</v>
      </c>
      <c r="Q45" t="s">
        <v>21</v>
      </c>
      <c r="R45">
        <f>Table2[[#This Row],[End_Date]]-Table2[[#This Row],[Start_Date]]</f>
        <v>17</v>
      </c>
      <c r="S45" t="str">
        <f>TEXT(Table2[[#This Row],[Start_Date]],"MMM")</f>
        <v>Oct</v>
      </c>
      <c r="T45">
        <f>YEAR(Table2[[#This Row],[Start_Date]])</f>
        <v>2025</v>
      </c>
      <c r="U45">
        <f>Table2[[#This Row],[Campaign_Cost (₹)]]/Table2[[#This Row],[Reach]]</f>
        <v>5.5465393794749405</v>
      </c>
      <c r="V45">
        <f>Table2[[#This Row],[Revenue_Generated (₹)]]/Table2[[#This Row],[Reach]]</f>
        <v>18.624022306765283</v>
      </c>
    </row>
    <row r="46" spans="1:22" x14ac:dyDescent="0.3">
      <c r="A46" t="s">
        <v>96</v>
      </c>
      <c r="B46" t="s">
        <v>39</v>
      </c>
      <c r="C46" t="s">
        <v>19</v>
      </c>
      <c r="D46" t="s">
        <v>46</v>
      </c>
      <c r="E46">
        <v>991333</v>
      </c>
      <c r="F46">
        <v>250935</v>
      </c>
      <c r="G46">
        <v>683178</v>
      </c>
      <c r="H46">
        <v>19686</v>
      </c>
      <c r="I46">
        <v>1518</v>
      </c>
      <c r="J46">
        <v>1297</v>
      </c>
      <c r="K46">
        <f t="shared" si="0"/>
        <v>8.9668639289058927</v>
      </c>
      <c r="L46">
        <v>335334</v>
      </c>
      <c r="M46">
        <v>1227988</v>
      </c>
      <c r="N46">
        <f t="shared" si="1"/>
        <v>266.19847674259097</v>
      </c>
      <c r="O46" s="4">
        <v>46049</v>
      </c>
      <c r="P46" s="4">
        <v>46071</v>
      </c>
      <c r="Q46" t="s">
        <v>41</v>
      </c>
      <c r="R46">
        <f>Table2[[#This Row],[End_Date]]-Table2[[#This Row],[Start_Date]]</f>
        <v>22</v>
      </c>
      <c r="S46" t="str">
        <f>TEXT(Table2[[#This Row],[Start_Date]],"MMM")</f>
        <v>Jan</v>
      </c>
      <c r="T46">
        <f>YEAR(Table2[[#This Row],[Start_Date]])</f>
        <v>2026</v>
      </c>
      <c r="U46">
        <f>Table2[[#This Row],[Campaign_Cost (₹)]]/Table2[[#This Row],[Reach]]</f>
        <v>1.3363380955227449</v>
      </c>
      <c r="V46">
        <f>Table2[[#This Row],[Revenue_Generated (₹)]]/Table2[[#This Row],[Reach]]</f>
        <v>4.8936497499352418</v>
      </c>
    </row>
    <row r="47" spans="1:22" x14ac:dyDescent="0.3">
      <c r="A47" t="s">
        <v>97</v>
      </c>
      <c r="B47" t="s">
        <v>80</v>
      </c>
      <c r="C47" t="s">
        <v>28</v>
      </c>
      <c r="D47" t="s">
        <v>46</v>
      </c>
      <c r="E47">
        <v>1339725</v>
      </c>
      <c r="F47">
        <v>363001</v>
      </c>
      <c r="G47">
        <v>692147</v>
      </c>
      <c r="H47">
        <v>41620</v>
      </c>
      <c r="I47">
        <v>2290</v>
      </c>
      <c r="J47">
        <v>2532</v>
      </c>
      <c r="K47">
        <f t="shared" si="0"/>
        <v>12.793904149024382</v>
      </c>
      <c r="L47">
        <v>258172</v>
      </c>
      <c r="M47">
        <v>856134</v>
      </c>
      <c r="N47">
        <f t="shared" si="1"/>
        <v>231.61380784903091</v>
      </c>
      <c r="O47" s="4">
        <v>45688</v>
      </c>
      <c r="P47" s="4">
        <v>45695</v>
      </c>
      <c r="Q47" t="s">
        <v>47</v>
      </c>
      <c r="R47">
        <f>Table2[[#This Row],[End_Date]]-Table2[[#This Row],[Start_Date]]</f>
        <v>7</v>
      </c>
      <c r="S47" t="str">
        <f>TEXT(Table2[[#This Row],[Start_Date]],"MMM")</f>
        <v>Jan</v>
      </c>
      <c r="T47">
        <f>YEAR(Table2[[#This Row],[Start_Date]])</f>
        <v>2025</v>
      </c>
      <c r="U47">
        <f>Table2[[#This Row],[Campaign_Cost (₹)]]/Table2[[#This Row],[Reach]]</f>
        <v>0.71121567158217192</v>
      </c>
      <c r="V47">
        <f>Table2[[#This Row],[Revenue_Generated (₹)]]/Table2[[#This Row],[Reach]]</f>
        <v>2.3584893705526984</v>
      </c>
    </row>
    <row r="48" spans="1:22" x14ac:dyDescent="0.3">
      <c r="A48" t="s">
        <v>98</v>
      </c>
      <c r="B48" t="s">
        <v>23</v>
      </c>
      <c r="C48" t="s">
        <v>28</v>
      </c>
      <c r="D48" t="s">
        <v>46</v>
      </c>
      <c r="E48">
        <v>534524</v>
      </c>
      <c r="F48">
        <v>206364</v>
      </c>
      <c r="G48">
        <v>329393</v>
      </c>
      <c r="H48">
        <v>14787</v>
      </c>
      <c r="I48">
        <v>887</v>
      </c>
      <c r="J48">
        <v>540</v>
      </c>
      <c r="K48">
        <f t="shared" si="0"/>
        <v>7.8569905603690566</v>
      </c>
      <c r="L48">
        <v>229313</v>
      </c>
      <c r="M48">
        <v>843637</v>
      </c>
      <c r="N48">
        <f t="shared" si="1"/>
        <v>267.89758975723134</v>
      </c>
      <c r="O48" s="4">
        <v>46148</v>
      </c>
      <c r="P48" s="4">
        <v>46177</v>
      </c>
      <c r="Q48" t="s">
        <v>78</v>
      </c>
      <c r="R48">
        <f>Table2[[#This Row],[End_Date]]-Table2[[#This Row],[Start_Date]]</f>
        <v>29</v>
      </c>
      <c r="S48" t="str">
        <f>TEXT(Table2[[#This Row],[Start_Date]],"MMM")</f>
        <v>May</v>
      </c>
      <c r="T48">
        <f>YEAR(Table2[[#This Row],[Start_Date]])</f>
        <v>2026</v>
      </c>
      <c r="U48">
        <f>Table2[[#This Row],[Campaign_Cost (₹)]]/Table2[[#This Row],[Reach]]</f>
        <v>1.1112064119710803</v>
      </c>
      <c r="V48">
        <f>Table2[[#This Row],[Revenue_Generated (₹)]]/Table2[[#This Row],[Reach]]</f>
        <v>4.0881016068694151</v>
      </c>
    </row>
    <row r="49" spans="1:22" x14ac:dyDescent="0.3">
      <c r="A49" t="s">
        <v>99</v>
      </c>
      <c r="B49" t="s">
        <v>57</v>
      </c>
      <c r="C49" t="s">
        <v>33</v>
      </c>
      <c r="D49" t="s">
        <v>24</v>
      </c>
      <c r="E49">
        <v>685104</v>
      </c>
      <c r="F49">
        <v>428636</v>
      </c>
      <c r="G49">
        <v>487039</v>
      </c>
      <c r="H49">
        <v>22586</v>
      </c>
      <c r="I49">
        <v>2516</v>
      </c>
      <c r="J49">
        <v>1956</v>
      </c>
      <c r="K49">
        <f t="shared" si="0"/>
        <v>6.3125822376095337</v>
      </c>
      <c r="L49">
        <v>226384</v>
      </c>
      <c r="M49">
        <v>805421</v>
      </c>
      <c r="N49">
        <f t="shared" si="1"/>
        <v>255.77646830164676</v>
      </c>
      <c r="O49" s="4">
        <v>46117</v>
      </c>
      <c r="P49" s="4">
        <v>46132</v>
      </c>
      <c r="Q49" t="s">
        <v>78</v>
      </c>
      <c r="R49">
        <f>Table2[[#This Row],[End_Date]]-Table2[[#This Row],[Start_Date]]</f>
        <v>15</v>
      </c>
      <c r="S49" t="str">
        <f>TEXT(Table2[[#This Row],[Start_Date]],"MMM")</f>
        <v>Apr</v>
      </c>
      <c r="T49">
        <f>YEAR(Table2[[#This Row],[Start_Date]])</f>
        <v>2026</v>
      </c>
      <c r="U49">
        <f>Table2[[#This Row],[Campaign_Cost (₹)]]/Table2[[#This Row],[Reach]]</f>
        <v>0.52814975876967873</v>
      </c>
      <c r="V49">
        <f>Table2[[#This Row],[Revenue_Generated (₹)]]/Table2[[#This Row],[Reach]]</f>
        <v>1.8790325590944297</v>
      </c>
    </row>
    <row r="50" spans="1:22" x14ac:dyDescent="0.3">
      <c r="A50" t="s">
        <v>100</v>
      </c>
      <c r="B50" t="s">
        <v>63</v>
      </c>
      <c r="C50" t="s">
        <v>37</v>
      </c>
      <c r="D50" t="s">
        <v>46</v>
      </c>
      <c r="E50">
        <v>503984</v>
      </c>
      <c r="F50">
        <v>447234</v>
      </c>
      <c r="G50">
        <v>512463</v>
      </c>
      <c r="H50">
        <v>49533</v>
      </c>
      <c r="I50">
        <v>6120</v>
      </c>
      <c r="J50">
        <v>1231</v>
      </c>
      <c r="K50">
        <f t="shared" si="0"/>
        <v>12.719068764897123</v>
      </c>
      <c r="L50">
        <v>117812</v>
      </c>
      <c r="M50">
        <v>209328</v>
      </c>
      <c r="N50">
        <f t="shared" si="1"/>
        <v>77.679693070315409</v>
      </c>
      <c r="O50" s="4">
        <v>45967</v>
      </c>
      <c r="P50" s="4">
        <v>45977</v>
      </c>
      <c r="Q50" t="s">
        <v>41</v>
      </c>
      <c r="R50">
        <f>Table2[[#This Row],[End_Date]]-Table2[[#This Row],[Start_Date]]</f>
        <v>10</v>
      </c>
      <c r="S50" t="str">
        <f>TEXT(Table2[[#This Row],[Start_Date]],"MMM")</f>
        <v>Nov</v>
      </c>
      <c r="T50">
        <f>YEAR(Table2[[#This Row],[Start_Date]])</f>
        <v>2025</v>
      </c>
      <c r="U50">
        <f>Table2[[#This Row],[Campaign_Cost (₹)]]/Table2[[#This Row],[Reach]]</f>
        <v>0.26342362163878419</v>
      </c>
      <c r="V50">
        <f>Table2[[#This Row],[Revenue_Generated (₹)]]/Table2[[#This Row],[Reach]]</f>
        <v>0.46805028240250068</v>
      </c>
    </row>
    <row r="51" spans="1:22" x14ac:dyDescent="0.3">
      <c r="A51" t="s">
        <v>101</v>
      </c>
      <c r="B51" t="s">
        <v>49</v>
      </c>
      <c r="C51" t="s">
        <v>37</v>
      </c>
      <c r="D51" t="s">
        <v>20</v>
      </c>
      <c r="E51">
        <v>1032969</v>
      </c>
      <c r="F51">
        <v>339445</v>
      </c>
      <c r="G51">
        <v>583134</v>
      </c>
      <c r="H51">
        <v>38121</v>
      </c>
      <c r="I51">
        <v>5447</v>
      </c>
      <c r="J51">
        <v>1617</v>
      </c>
      <c r="K51">
        <f t="shared" si="0"/>
        <v>13.311434842168834</v>
      </c>
      <c r="L51">
        <v>451487</v>
      </c>
      <c r="M51">
        <v>1485472</v>
      </c>
      <c r="N51">
        <f t="shared" si="1"/>
        <v>229.0176682828077</v>
      </c>
      <c r="O51" s="4">
        <v>46012</v>
      </c>
      <c r="P51" s="4">
        <v>46019</v>
      </c>
      <c r="Q51" t="s">
        <v>25</v>
      </c>
      <c r="R51">
        <f>Table2[[#This Row],[End_Date]]-Table2[[#This Row],[Start_Date]]</f>
        <v>7</v>
      </c>
      <c r="S51" t="str">
        <f>TEXT(Table2[[#This Row],[Start_Date]],"MMM")</f>
        <v>Dec</v>
      </c>
      <c r="T51">
        <f>YEAR(Table2[[#This Row],[Start_Date]])</f>
        <v>2025</v>
      </c>
      <c r="U51">
        <f>Table2[[#This Row],[Campaign_Cost (₹)]]/Table2[[#This Row],[Reach]]</f>
        <v>1.330074091531765</v>
      </c>
      <c r="V51">
        <f>Table2[[#This Row],[Revenue_Generated (₹)]]/Table2[[#This Row],[Reach]]</f>
        <v>4.3761787623915511</v>
      </c>
    </row>
    <row r="52" spans="1:22" x14ac:dyDescent="0.3">
      <c r="A52" t="s">
        <v>102</v>
      </c>
      <c r="B52" t="s">
        <v>103</v>
      </c>
      <c r="C52" t="s">
        <v>43</v>
      </c>
      <c r="D52" t="s">
        <v>29</v>
      </c>
      <c r="E52">
        <v>1130894</v>
      </c>
      <c r="F52">
        <v>370311</v>
      </c>
      <c r="G52">
        <v>535173</v>
      </c>
      <c r="H52">
        <v>36108</v>
      </c>
      <c r="I52">
        <v>2356</v>
      </c>
      <c r="J52">
        <v>1909</v>
      </c>
      <c r="K52">
        <f t="shared" si="0"/>
        <v>10.902457663963533</v>
      </c>
      <c r="L52">
        <v>141601</v>
      </c>
      <c r="M52">
        <v>540928</v>
      </c>
      <c r="N52">
        <f t="shared" si="1"/>
        <v>282.00860163416922</v>
      </c>
      <c r="O52" s="4">
        <v>45902</v>
      </c>
      <c r="P52" s="4">
        <v>45917</v>
      </c>
      <c r="Q52" t="s">
        <v>34</v>
      </c>
      <c r="R52">
        <f>Table2[[#This Row],[End_Date]]-Table2[[#This Row],[Start_Date]]</f>
        <v>15</v>
      </c>
      <c r="S52" t="str">
        <f>TEXT(Table2[[#This Row],[Start_Date]],"MMM")</f>
        <v>Sep</v>
      </c>
      <c r="T52">
        <f>YEAR(Table2[[#This Row],[Start_Date]])</f>
        <v>2025</v>
      </c>
      <c r="U52">
        <f>Table2[[#This Row],[Campaign_Cost (₹)]]/Table2[[#This Row],[Reach]]</f>
        <v>0.38238399615458357</v>
      </c>
      <c r="V52">
        <f>Table2[[#This Row],[Revenue_Generated (₹)]]/Table2[[#This Row],[Reach]]</f>
        <v>1.4607397565829803</v>
      </c>
    </row>
    <row r="53" spans="1:22" x14ac:dyDescent="0.3">
      <c r="A53" t="s">
        <v>104</v>
      </c>
      <c r="B53" t="s">
        <v>45</v>
      </c>
      <c r="C53" t="s">
        <v>28</v>
      </c>
      <c r="D53" t="s">
        <v>40</v>
      </c>
      <c r="E53">
        <v>786063</v>
      </c>
      <c r="F53">
        <v>487277</v>
      </c>
      <c r="G53">
        <v>907043</v>
      </c>
      <c r="H53">
        <v>65921</v>
      </c>
      <c r="I53">
        <v>4819</v>
      </c>
      <c r="J53">
        <v>5662</v>
      </c>
      <c r="K53">
        <f t="shared" si="0"/>
        <v>15.67937743829485</v>
      </c>
      <c r="L53">
        <v>112437</v>
      </c>
      <c r="M53">
        <v>522995</v>
      </c>
      <c r="N53">
        <f t="shared" si="1"/>
        <v>365.144925602782</v>
      </c>
      <c r="O53" s="4">
        <v>45817</v>
      </c>
      <c r="P53" s="4">
        <v>45844</v>
      </c>
      <c r="Q53" t="s">
        <v>30</v>
      </c>
      <c r="R53">
        <f>Table2[[#This Row],[End_Date]]-Table2[[#This Row],[Start_Date]]</f>
        <v>27</v>
      </c>
      <c r="S53" t="str">
        <f>TEXT(Table2[[#This Row],[Start_Date]],"MMM")</f>
        <v>Jun</v>
      </c>
      <c r="T53">
        <f>YEAR(Table2[[#This Row],[Start_Date]])</f>
        <v>2025</v>
      </c>
      <c r="U53">
        <f>Table2[[#This Row],[Campaign_Cost (₹)]]/Table2[[#This Row],[Reach]]</f>
        <v>0.23074555129833749</v>
      </c>
      <c r="V53">
        <f>Table2[[#This Row],[Revenue_Generated (₹)]]/Table2[[#This Row],[Reach]]</f>
        <v>1.0733012229183811</v>
      </c>
    </row>
    <row r="54" spans="1:22" x14ac:dyDescent="0.3">
      <c r="A54" t="s">
        <v>105</v>
      </c>
      <c r="B54" t="s">
        <v>49</v>
      </c>
      <c r="C54" t="s">
        <v>43</v>
      </c>
      <c r="D54" t="s">
        <v>46</v>
      </c>
      <c r="E54">
        <v>1160480</v>
      </c>
      <c r="F54">
        <v>517217</v>
      </c>
      <c r="G54">
        <v>1238580</v>
      </c>
      <c r="H54">
        <v>45434</v>
      </c>
      <c r="I54">
        <v>5737</v>
      </c>
      <c r="J54">
        <v>1589</v>
      </c>
      <c r="K54">
        <f t="shared" si="0"/>
        <v>10.200747461897038</v>
      </c>
      <c r="L54">
        <v>395714</v>
      </c>
      <c r="M54">
        <v>1665091</v>
      </c>
      <c r="N54">
        <f t="shared" si="1"/>
        <v>320.78142294687575</v>
      </c>
      <c r="O54" s="4">
        <v>45675</v>
      </c>
      <c r="P54" s="4">
        <v>45692</v>
      </c>
      <c r="Q54" t="s">
        <v>47</v>
      </c>
      <c r="R54">
        <f>Table2[[#This Row],[End_Date]]-Table2[[#This Row],[Start_Date]]</f>
        <v>17</v>
      </c>
      <c r="S54" t="str">
        <f>TEXT(Table2[[#This Row],[Start_Date]],"MMM")</f>
        <v>Jan</v>
      </c>
      <c r="T54">
        <f>YEAR(Table2[[#This Row],[Start_Date]])</f>
        <v>2025</v>
      </c>
      <c r="U54">
        <f>Table2[[#This Row],[Campaign_Cost (₹)]]/Table2[[#This Row],[Reach]]</f>
        <v>0.76508312758474684</v>
      </c>
      <c r="V54">
        <f>Table2[[#This Row],[Revenue_Generated (₹)]]/Table2[[#This Row],[Reach]]</f>
        <v>3.2193276709775587</v>
      </c>
    </row>
    <row r="55" spans="1:22" x14ac:dyDescent="0.3">
      <c r="A55" t="s">
        <v>106</v>
      </c>
      <c r="B55" t="s">
        <v>49</v>
      </c>
      <c r="C55" t="s">
        <v>33</v>
      </c>
      <c r="D55" t="s">
        <v>58</v>
      </c>
      <c r="E55">
        <v>277183</v>
      </c>
      <c r="F55">
        <v>117987</v>
      </c>
      <c r="G55">
        <v>231614</v>
      </c>
      <c r="H55">
        <v>10263</v>
      </c>
      <c r="I55">
        <v>575</v>
      </c>
      <c r="J55">
        <v>890</v>
      </c>
      <c r="K55">
        <f t="shared" si="0"/>
        <v>9.940078144202328</v>
      </c>
      <c r="L55">
        <v>88957</v>
      </c>
      <c r="M55">
        <v>419272</v>
      </c>
      <c r="N55">
        <f t="shared" si="1"/>
        <v>371.31985116404553</v>
      </c>
      <c r="O55" s="4">
        <v>46111</v>
      </c>
      <c r="P55" s="4">
        <v>46120</v>
      </c>
      <c r="Q55" t="s">
        <v>34</v>
      </c>
      <c r="R55">
        <f>Table2[[#This Row],[End_Date]]-Table2[[#This Row],[Start_Date]]</f>
        <v>9</v>
      </c>
      <c r="S55" t="str">
        <f>TEXT(Table2[[#This Row],[Start_Date]],"MMM")</f>
        <v>Mar</v>
      </c>
      <c r="T55">
        <f>YEAR(Table2[[#This Row],[Start_Date]])</f>
        <v>2026</v>
      </c>
      <c r="U55">
        <f>Table2[[#This Row],[Campaign_Cost (₹)]]/Table2[[#This Row],[Reach]]</f>
        <v>0.75395594429894819</v>
      </c>
      <c r="V55">
        <f>Table2[[#This Row],[Revenue_Generated (₹)]]/Table2[[#This Row],[Reach]]</f>
        <v>3.5535440345122766</v>
      </c>
    </row>
    <row r="56" spans="1:22" x14ac:dyDescent="0.3">
      <c r="A56" t="s">
        <v>107</v>
      </c>
      <c r="B56" t="s">
        <v>23</v>
      </c>
      <c r="C56" t="s">
        <v>33</v>
      </c>
      <c r="D56" t="s">
        <v>58</v>
      </c>
      <c r="E56">
        <v>226300</v>
      </c>
      <c r="F56">
        <v>62347</v>
      </c>
      <c r="G56">
        <v>158302</v>
      </c>
      <c r="H56">
        <v>6443</v>
      </c>
      <c r="I56">
        <v>559</v>
      </c>
      <c r="J56">
        <v>564</v>
      </c>
      <c r="K56">
        <f t="shared" si="0"/>
        <v>12.135307232104191</v>
      </c>
      <c r="L56">
        <v>72333</v>
      </c>
      <c r="M56">
        <v>270976</v>
      </c>
      <c r="N56">
        <f t="shared" si="1"/>
        <v>274.62292452960611</v>
      </c>
      <c r="O56" s="4">
        <v>45855</v>
      </c>
      <c r="P56" s="4">
        <v>45871</v>
      </c>
      <c r="Q56" t="s">
        <v>25</v>
      </c>
      <c r="R56">
        <f>Table2[[#This Row],[End_Date]]-Table2[[#This Row],[Start_Date]]</f>
        <v>16</v>
      </c>
      <c r="S56" t="str">
        <f>TEXT(Table2[[#This Row],[Start_Date]],"MMM")</f>
        <v>Jul</v>
      </c>
      <c r="T56">
        <f>YEAR(Table2[[#This Row],[Start_Date]])</f>
        <v>2025</v>
      </c>
      <c r="U56">
        <f>Table2[[#This Row],[Campaign_Cost (₹)]]/Table2[[#This Row],[Reach]]</f>
        <v>1.1601680914879626</v>
      </c>
      <c r="V56">
        <f>Table2[[#This Row],[Revenue_Generated (₹)]]/Table2[[#This Row],[Reach]]</f>
        <v>4.3462556337915217</v>
      </c>
    </row>
    <row r="57" spans="1:22" x14ac:dyDescent="0.3">
      <c r="A57" t="s">
        <v>108</v>
      </c>
      <c r="B57" t="s">
        <v>36</v>
      </c>
      <c r="C57" t="s">
        <v>19</v>
      </c>
      <c r="D57" t="s">
        <v>46</v>
      </c>
      <c r="E57">
        <v>1807598</v>
      </c>
      <c r="F57">
        <v>1100855</v>
      </c>
      <c r="G57">
        <v>2015351</v>
      </c>
      <c r="H57">
        <v>49140</v>
      </c>
      <c r="I57">
        <v>4294</v>
      </c>
      <c r="J57">
        <v>2092</v>
      </c>
      <c r="K57">
        <f t="shared" si="0"/>
        <v>5.0438976976986076</v>
      </c>
      <c r="L57">
        <v>276027</v>
      </c>
      <c r="M57">
        <v>495543</v>
      </c>
      <c r="N57">
        <f t="shared" si="1"/>
        <v>79.527002793205014</v>
      </c>
      <c r="O57" s="4">
        <v>45914</v>
      </c>
      <c r="P57" s="4">
        <v>45930</v>
      </c>
      <c r="Q57" t="s">
        <v>41</v>
      </c>
      <c r="R57">
        <f>Table2[[#This Row],[End_Date]]-Table2[[#This Row],[Start_Date]]</f>
        <v>16</v>
      </c>
      <c r="S57" t="str">
        <f>TEXT(Table2[[#This Row],[Start_Date]],"MMM")</f>
        <v>Sep</v>
      </c>
      <c r="T57">
        <f>YEAR(Table2[[#This Row],[Start_Date]])</f>
        <v>2025</v>
      </c>
      <c r="U57">
        <f>Table2[[#This Row],[Campaign_Cost (₹)]]/Table2[[#This Row],[Reach]]</f>
        <v>0.25073874397627299</v>
      </c>
      <c r="V57">
        <f>Table2[[#This Row],[Revenue_Generated (₹)]]/Table2[[#This Row],[Reach]]</f>
        <v>0.45014375190193079</v>
      </c>
    </row>
    <row r="58" spans="1:22" x14ac:dyDescent="0.3">
      <c r="A58" t="s">
        <v>109</v>
      </c>
      <c r="B58" t="s">
        <v>32</v>
      </c>
      <c r="C58" t="s">
        <v>33</v>
      </c>
      <c r="D58" t="s">
        <v>29</v>
      </c>
      <c r="E58">
        <v>275910</v>
      </c>
      <c r="F58">
        <v>150310</v>
      </c>
      <c r="G58">
        <v>175532</v>
      </c>
      <c r="H58">
        <v>18856</v>
      </c>
      <c r="I58">
        <v>2076</v>
      </c>
      <c r="J58">
        <v>694</v>
      </c>
      <c r="K58">
        <f t="shared" si="0"/>
        <v>14.387598962144901</v>
      </c>
      <c r="L58">
        <v>482437</v>
      </c>
      <c r="M58">
        <v>1963393</v>
      </c>
      <c r="N58">
        <f t="shared" si="1"/>
        <v>306.97396758540492</v>
      </c>
      <c r="O58" s="4">
        <v>45768</v>
      </c>
      <c r="P58" s="4">
        <v>45781</v>
      </c>
      <c r="Q58" t="s">
        <v>54</v>
      </c>
      <c r="R58">
        <f>Table2[[#This Row],[End_Date]]-Table2[[#This Row],[Start_Date]]</f>
        <v>13</v>
      </c>
      <c r="S58" t="str">
        <f>TEXT(Table2[[#This Row],[Start_Date]],"MMM")</f>
        <v>Apr</v>
      </c>
      <c r="T58">
        <f>YEAR(Table2[[#This Row],[Start_Date]])</f>
        <v>2025</v>
      </c>
      <c r="U58">
        <f>Table2[[#This Row],[Campaign_Cost (₹)]]/Table2[[#This Row],[Reach]]</f>
        <v>3.2096134655046238</v>
      </c>
      <c r="V58">
        <f>Table2[[#This Row],[Revenue_Generated (₹)]]/Table2[[#This Row],[Reach]]</f>
        <v>13.06229126471958</v>
      </c>
    </row>
    <row r="59" spans="1:22" x14ac:dyDescent="0.3">
      <c r="A59" t="s">
        <v>110</v>
      </c>
      <c r="B59" t="s">
        <v>53</v>
      </c>
      <c r="C59" t="s">
        <v>33</v>
      </c>
      <c r="D59" t="s">
        <v>58</v>
      </c>
      <c r="E59">
        <v>124480</v>
      </c>
      <c r="F59">
        <v>68150</v>
      </c>
      <c r="G59">
        <v>128563</v>
      </c>
      <c r="H59">
        <v>8710</v>
      </c>
      <c r="I59">
        <v>832</v>
      </c>
      <c r="J59">
        <v>638</v>
      </c>
      <c r="K59">
        <f t="shared" si="0"/>
        <v>14.937637564196626</v>
      </c>
      <c r="L59">
        <v>39407</v>
      </c>
      <c r="M59">
        <v>130979</v>
      </c>
      <c r="N59">
        <f t="shared" si="1"/>
        <v>232.37495876367143</v>
      </c>
      <c r="O59" s="4">
        <v>45845</v>
      </c>
      <c r="P59" s="4">
        <v>45868</v>
      </c>
      <c r="Q59" t="s">
        <v>41</v>
      </c>
      <c r="R59">
        <f>Table2[[#This Row],[End_Date]]-Table2[[#This Row],[Start_Date]]</f>
        <v>23</v>
      </c>
      <c r="S59" t="str">
        <f>TEXT(Table2[[#This Row],[Start_Date]],"MMM")</f>
        <v>Jul</v>
      </c>
      <c r="T59">
        <f>YEAR(Table2[[#This Row],[Start_Date]])</f>
        <v>2025</v>
      </c>
      <c r="U59">
        <f>Table2[[#This Row],[Campaign_Cost (₹)]]/Table2[[#This Row],[Reach]]</f>
        <v>0.57823917828319882</v>
      </c>
      <c r="V59">
        <f>Table2[[#This Row],[Revenue_Generated (₹)]]/Table2[[#This Row],[Reach]]</f>
        <v>1.9219222303741745</v>
      </c>
    </row>
    <row r="60" spans="1:22" x14ac:dyDescent="0.3">
      <c r="A60" t="s">
        <v>111</v>
      </c>
      <c r="B60" t="s">
        <v>36</v>
      </c>
      <c r="C60" t="s">
        <v>37</v>
      </c>
      <c r="D60" t="s">
        <v>24</v>
      </c>
      <c r="E60">
        <v>1787675</v>
      </c>
      <c r="F60">
        <v>1054549</v>
      </c>
      <c r="G60">
        <v>2964850</v>
      </c>
      <c r="H60">
        <v>100167</v>
      </c>
      <c r="I60">
        <v>15007</v>
      </c>
      <c r="J60">
        <v>4929</v>
      </c>
      <c r="K60">
        <f t="shared" si="0"/>
        <v>11.389039295471335</v>
      </c>
      <c r="L60">
        <v>418994</v>
      </c>
      <c r="M60">
        <v>618344</v>
      </c>
      <c r="N60">
        <f t="shared" si="1"/>
        <v>47.578246943870319</v>
      </c>
      <c r="O60" s="4">
        <v>46035</v>
      </c>
      <c r="P60" s="4">
        <v>46047</v>
      </c>
      <c r="Q60" t="s">
        <v>41</v>
      </c>
      <c r="R60">
        <f>Table2[[#This Row],[End_Date]]-Table2[[#This Row],[Start_Date]]</f>
        <v>12</v>
      </c>
      <c r="S60" t="str">
        <f>TEXT(Table2[[#This Row],[Start_Date]],"MMM")</f>
        <v>Jan</v>
      </c>
      <c r="T60">
        <f>YEAR(Table2[[#This Row],[Start_Date]])</f>
        <v>2026</v>
      </c>
      <c r="U60">
        <f>Table2[[#This Row],[Campaign_Cost (₹)]]/Table2[[#This Row],[Reach]]</f>
        <v>0.39732056073259753</v>
      </c>
      <c r="V60">
        <f>Table2[[#This Row],[Revenue_Generated (₹)]]/Table2[[#This Row],[Reach]]</f>
        <v>0.58635871827672303</v>
      </c>
    </row>
    <row r="61" spans="1:22" x14ac:dyDescent="0.3">
      <c r="A61" t="s">
        <v>112</v>
      </c>
      <c r="B61" t="s">
        <v>80</v>
      </c>
      <c r="C61" t="s">
        <v>19</v>
      </c>
      <c r="D61" t="s">
        <v>51</v>
      </c>
      <c r="E61">
        <v>1856888</v>
      </c>
      <c r="F61">
        <v>906842</v>
      </c>
      <c r="G61">
        <v>2680285</v>
      </c>
      <c r="H61">
        <v>128736</v>
      </c>
      <c r="I61">
        <v>12935</v>
      </c>
      <c r="J61">
        <v>7487</v>
      </c>
      <c r="K61">
        <f t="shared" si="0"/>
        <v>16.448069233670253</v>
      </c>
      <c r="L61">
        <v>423140</v>
      </c>
      <c r="M61">
        <v>502873</v>
      </c>
      <c r="N61">
        <f t="shared" si="1"/>
        <v>18.843172472467742</v>
      </c>
      <c r="O61" s="4">
        <v>46125</v>
      </c>
      <c r="P61" s="4">
        <v>46147</v>
      </c>
      <c r="Q61" t="s">
        <v>78</v>
      </c>
      <c r="R61">
        <f>Table2[[#This Row],[End_Date]]-Table2[[#This Row],[Start_Date]]</f>
        <v>22</v>
      </c>
      <c r="S61" t="str">
        <f>TEXT(Table2[[#This Row],[Start_Date]],"MMM")</f>
        <v>Apr</v>
      </c>
      <c r="T61">
        <f>YEAR(Table2[[#This Row],[Start_Date]])</f>
        <v>2026</v>
      </c>
      <c r="U61">
        <f>Table2[[#This Row],[Campaign_Cost (₹)]]/Table2[[#This Row],[Reach]]</f>
        <v>0.4666082956016594</v>
      </c>
      <c r="V61">
        <f>Table2[[#This Row],[Revenue_Generated (₹)]]/Table2[[#This Row],[Reach]]</f>
        <v>0.55453210151272214</v>
      </c>
    </row>
    <row r="62" spans="1:22" x14ac:dyDescent="0.3">
      <c r="A62" t="s">
        <v>113</v>
      </c>
      <c r="B62" t="s">
        <v>32</v>
      </c>
      <c r="C62" t="s">
        <v>28</v>
      </c>
      <c r="D62" t="s">
        <v>46</v>
      </c>
      <c r="E62">
        <v>1332015</v>
      </c>
      <c r="F62">
        <v>869096</v>
      </c>
      <c r="G62">
        <v>2295471</v>
      </c>
      <c r="H62">
        <v>102920</v>
      </c>
      <c r="I62">
        <v>15055</v>
      </c>
      <c r="J62">
        <v>10273</v>
      </c>
      <c r="K62">
        <f t="shared" si="0"/>
        <v>14.756482598009887</v>
      </c>
      <c r="L62">
        <v>412289</v>
      </c>
      <c r="M62">
        <v>595257</v>
      </c>
      <c r="N62">
        <f t="shared" si="1"/>
        <v>44.378579103492939</v>
      </c>
      <c r="O62" s="4">
        <v>45728</v>
      </c>
      <c r="P62" s="4">
        <v>45745</v>
      </c>
      <c r="Q62" t="s">
        <v>21</v>
      </c>
      <c r="R62">
        <f>Table2[[#This Row],[End_Date]]-Table2[[#This Row],[Start_Date]]</f>
        <v>17</v>
      </c>
      <c r="S62" t="str">
        <f>TEXT(Table2[[#This Row],[Start_Date]],"MMM")</f>
        <v>Mar</v>
      </c>
      <c r="T62">
        <f>YEAR(Table2[[#This Row],[Start_Date]])</f>
        <v>2025</v>
      </c>
      <c r="U62">
        <f>Table2[[#This Row],[Campaign_Cost (₹)]]/Table2[[#This Row],[Reach]]</f>
        <v>0.47438832994283714</v>
      </c>
      <c r="V62">
        <f>Table2[[#This Row],[Revenue_Generated (₹)]]/Table2[[#This Row],[Reach]]</f>
        <v>0.6849151302042582</v>
      </c>
    </row>
    <row r="63" spans="1:22" x14ac:dyDescent="0.3">
      <c r="A63" t="s">
        <v>114</v>
      </c>
      <c r="B63" t="s">
        <v>80</v>
      </c>
      <c r="C63" t="s">
        <v>43</v>
      </c>
      <c r="D63" t="s">
        <v>40</v>
      </c>
      <c r="E63">
        <v>1404635</v>
      </c>
      <c r="F63">
        <v>637788</v>
      </c>
      <c r="G63">
        <v>1901066</v>
      </c>
      <c r="H63">
        <v>55173</v>
      </c>
      <c r="I63">
        <v>7857</v>
      </c>
      <c r="J63">
        <v>2525</v>
      </c>
      <c r="K63">
        <f t="shared" si="0"/>
        <v>10.278493794176121</v>
      </c>
      <c r="L63">
        <v>32245</v>
      </c>
      <c r="M63">
        <v>60481</v>
      </c>
      <c r="N63">
        <f t="shared" si="1"/>
        <v>87.567064661187771</v>
      </c>
      <c r="O63" s="4">
        <v>45788</v>
      </c>
      <c r="P63" s="4">
        <v>45810</v>
      </c>
      <c r="Q63" t="s">
        <v>54</v>
      </c>
      <c r="R63">
        <f>Table2[[#This Row],[End_Date]]-Table2[[#This Row],[Start_Date]]</f>
        <v>22</v>
      </c>
      <c r="S63" t="str">
        <f>TEXT(Table2[[#This Row],[Start_Date]],"MMM")</f>
        <v>May</v>
      </c>
      <c r="T63">
        <f>YEAR(Table2[[#This Row],[Start_Date]])</f>
        <v>2025</v>
      </c>
      <c r="U63">
        <f>Table2[[#This Row],[Campaign_Cost (₹)]]/Table2[[#This Row],[Reach]]</f>
        <v>5.0557552039235606E-2</v>
      </c>
      <c r="V63">
        <f>Table2[[#This Row],[Revenue_Generated (₹)]]/Table2[[#This Row],[Reach]]</f>
        <v>9.482931632454672E-2</v>
      </c>
    </row>
    <row r="64" spans="1:22" x14ac:dyDescent="0.3">
      <c r="A64" t="s">
        <v>115</v>
      </c>
      <c r="B64" t="s">
        <v>57</v>
      </c>
      <c r="C64" t="s">
        <v>43</v>
      </c>
      <c r="D64" t="s">
        <v>40</v>
      </c>
      <c r="E64">
        <v>1819865</v>
      </c>
      <c r="F64">
        <v>486868</v>
      </c>
      <c r="G64">
        <v>966622</v>
      </c>
      <c r="H64">
        <v>66429</v>
      </c>
      <c r="I64">
        <v>6000</v>
      </c>
      <c r="J64">
        <v>5826</v>
      </c>
      <c r="K64">
        <f t="shared" si="0"/>
        <v>16.073145082445343</v>
      </c>
      <c r="L64">
        <v>391795</v>
      </c>
      <c r="M64">
        <v>1415502</v>
      </c>
      <c r="N64">
        <f t="shared" si="1"/>
        <v>261.28638701361677</v>
      </c>
      <c r="O64" s="4">
        <v>45668</v>
      </c>
      <c r="P64" s="4">
        <v>45692</v>
      </c>
      <c r="Q64" t="s">
        <v>54</v>
      </c>
      <c r="R64">
        <f>Table2[[#This Row],[End_Date]]-Table2[[#This Row],[Start_Date]]</f>
        <v>24</v>
      </c>
      <c r="S64" t="str">
        <f>TEXT(Table2[[#This Row],[Start_Date]],"MMM")</f>
        <v>Jan</v>
      </c>
      <c r="T64">
        <f>YEAR(Table2[[#This Row],[Start_Date]])</f>
        <v>2025</v>
      </c>
      <c r="U64">
        <f>Table2[[#This Row],[Campaign_Cost (₹)]]/Table2[[#This Row],[Reach]]</f>
        <v>0.80472530542159271</v>
      </c>
      <c r="V64">
        <f>Table2[[#This Row],[Revenue_Generated (₹)]]/Table2[[#This Row],[Reach]]</f>
        <v>2.9073629813419655</v>
      </c>
    </row>
    <row r="65" spans="1:22" x14ac:dyDescent="0.3">
      <c r="A65" t="s">
        <v>116</v>
      </c>
      <c r="B65" t="s">
        <v>61</v>
      </c>
      <c r="C65" t="s">
        <v>33</v>
      </c>
      <c r="D65" t="s">
        <v>40</v>
      </c>
      <c r="E65">
        <v>566322</v>
      </c>
      <c r="F65">
        <v>177900</v>
      </c>
      <c r="G65">
        <v>258015</v>
      </c>
      <c r="H65">
        <v>12012</v>
      </c>
      <c r="I65">
        <v>996</v>
      </c>
      <c r="J65">
        <v>661</v>
      </c>
      <c r="K65">
        <f t="shared" si="0"/>
        <v>7.6835300730747607</v>
      </c>
      <c r="L65">
        <v>132857</v>
      </c>
      <c r="M65">
        <v>520986</v>
      </c>
      <c r="N65">
        <f t="shared" si="1"/>
        <v>292.14042165636738</v>
      </c>
      <c r="O65" s="4">
        <v>45712</v>
      </c>
      <c r="P65" s="4">
        <v>45727</v>
      </c>
      <c r="Q65" t="s">
        <v>25</v>
      </c>
      <c r="R65">
        <f>Table2[[#This Row],[End_Date]]-Table2[[#This Row],[Start_Date]]</f>
        <v>15</v>
      </c>
      <c r="S65" t="str">
        <f>TEXT(Table2[[#This Row],[Start_Date]],"MMM")</f>
        <v>Feb</v>
      </c>
      <c r="T65">
        <f>YEAR(Table2[[#This Row],[Start_Date]])</f>
        <v>2025</v>
      </c>
      <c r="U65">
        <f>Table2[[#This Row],[Campaign_Cost (₹)]]/Table2[[#This Row],[Reach]]</f>
        <v>0.74680719505340076</v>
      </c>
      <c r="V65">
        <f>Table2[[#This Row],[Revenue_Generated (₹)]]/Table2[[#This Row],[Reach]]</f>
        <v>2.9285328836424958</v>
      </c>
    </row>
    <row r="66" spans="1:22" x14ac:dyDescent="0.3">
      <c r="A66" t="s">
        <v>117</v>
      </c>
      <c r="B66" t="s">
        <v>80</v>
      </c>
      <c r="C66" t="s">
        <v>19</v>
      </c>
      <c r="D66" t="s">
        <v>72</v>
      </c>
      <c r="E66">
        <v>1485366</v>
      </c>
      <c r="F66">
        <v>1208867</v>
      </c>
      <c r="G66">
        <v>2615513</v>
      </c>
      <c r="H66">
        <v>173055</v>
      </c>
      <c r="I66">
        <v>19643</v>
      </c>
      <c r="J66">
        <v>15765</v>
      </c>
      <c r="K66">
        <f t="shared" ref="K66:K129" si="2">((H66+I66+J66)/F66)*100</f>
        <v>17.244494224757563</v>
      </c>
      <c r="L66">
        <v>369455</v>
      </c>
      <c r="M66">
        <v>447536</v>
      </c>
      <c r="N66">
        <f t="shared" ref="N66:N129" si="3">((M66-L66)/L66)*100</f>
        <v>21.134102935404854</v>
      </c>
      <c r="O66" s="4">
        <v>45768</v>
      </c>
      <c r="P66" s="4">
        <v>45778</v>
      </c>
      <c r="Q66" t="s">
        <v>78</v>
      </c>
      <c r="R66">
        <f>Table2[[#This Row],[End_Date]]-Table2[[#This Row],[Start_Date]]</f>
        <v>10</v>
      </c>
      <c r="S66" t="str">
        <f>TEXT(Table2[[#This Row],[Start_Date]],"MMM")</f>
        <v>Apr</v>
      </c>
      <c r="T66">
        <f>YEAR(Table2[[#This Row],[Start_Date]])</f>
        <v>2025</v>
      </c>
      <c r="U66">
        <f>Table2[[#This Row],[Campaign_Cost (₹)]]/Table2[[#This Row],[Reach]]</f>
        <v>0.30562088302517976</v>
      </c>
      <c r="V66">
        <f>Table2[[#This Row],[Revenue_Generated (₹)]]/Table2[[#This Row],[Reach]]</f>
        <v>0.37021111503581455</v>
      </c>
    </row>
    <row r="67" spans="1:22" x14ac:dyDescent="0.3">
      <c r="A67" t="s">
        <v>118</v>
      </c>
      <c r="B67" t="s">
        <v>75</v>
      </c>
      <c r="C67" t="s">
        <v>43</v>
      </c>
      <c r="D67" t="s">
        <v>46</v>
      </c>
      <c r="E67">
        <v>1857886</v>
      </c>
      <c r="F67">
        <v>1009400</v>
      </c>
      <c r="G67">
        <v>1209530</v>
      </c>
      <c r="H67">
        <v>94650</v>
      </c>
      <c r="I67">
        <v>2909</v>
      </c>
      <c r="J67">
        <v>4236</v>
      </c>
      <c r="K67">
        <f t="shared" si="2"/>
        <v>10.084703784426392</v>
      </c>
      <c r="L67">
        <v>390951</v>
      </c>
      <c r="M67">
        <v>797516</v>
      </c>
      <c r="N67">
        <f t="shared" si="3"/>
        <v>103.99385089179974</v>
      </c>
      <c r="O67" s="4">
        <v>45968</v>
      </c>
      <c r="P67" s="4">
        <v>45990</v>
      </c>
      <c r="Q67" t="s">
        <v>21</v>
      </c>
      <c r="R67">
        <f>Table2[[#This Row],[End_Date]]-Table2[[#This Row],[Start_Date]]</f>
        <v>22</v>
      </c>
      <c r="S67" t="str">
        <f>TEXT(Table2[[#This Row],[Start_Date]],"MMM")</f>
        <v>Nov</v>
      </c>
      <c r="T67">
        <f>YEAR(Table2[[#This Row],[Start_Date]])</f>
        <v>2025</v>
      </c>
      <c r="U67">
        <f>Table2[[#This Row],[Campaign_Cost (₹)]]/Table2[[#This Row],[Reach]]</f>
        <v>0.38731028333663564</v>
      </c>
      <c r="V67">
        <f>Table2[[#This Row],[Revenue_Generated (₹)]]/Table2[[#This Row],[Reach]]</f>
        <v>0.79008916187834355</v>
      </c>
    </row>
    <row r="68" spans="1:22" x14ac:dyDescent="0.3">
      <c r="A68" t="s">
        <v>119</v>
      </c>
      <c r="B68" t="s">
        <v>61</v>
      </c>
      <c r="C68" t="s">
        <v>37</v>
      </c>
      <c r="D68" t="s">
        <v>20</v>
      </c>
      <c r="E68">
        <v>606609</v>
      </c>
      <c r="F68">
        <v>368105</v>
      </c>
      <c r="G68">
        <v>477885</v>
      </c>
      <c r="H68">
        <v>54493</v>
      </c>
      <c r="I68">
        <v>1778</v>
      </c>
      <c r="J68">
        <v>5337</v>
      </c>
      <c r="K68">
        <f t="shared" si="2"/>
        <v>16.736528979503131</v>
      </c>
      <c r="L68">
        <v>155801</v>
      </c>
      <c r="M68">
        <v>666355</v>
      </c>
      <c r="N68">
        <f t="shared" si="3"/>
        <v>327.69622788043722</v>
      </c>
      <c r="O68" s="4">
        <v>45807</v>
      </c>
      <c r="P68" s="4">
        <v>45823</v>
      </c>
      <c r="Q68" t="s">
        <v>25</v>
      </c>
      <c r="R68">
        <f>Table2[[#This Row],[End_Date]]-Table2[[#This Row],[Start_Date]]</f>
        <v>16</v>
      </c>
      <c r="S68" t="str">
        <f>TEXT(Table2[[#This Row],[Start_Date]],"MMM")</f>
        <v>May</v>
      </c>
      <c r="T68">
        <f>YEAR(Table2[[#This Row],[Start_Date]])</f>
        <v>2025</v>
      </c>
      <c r="U68">
        <f>Table2[[#This Row],[Campaign_Cost (₹)]]/Table2[[#This Row],[Reach]]</f>
        <v>0.42325151790929216</v>
      </c>
      <c r="V68">
        <f>Table2[[#This Row],[Revenue_Generated (₹)]]/Table2[[#This Row],[Reach]]</f>
        <v>1.8102307765447359</v>
      </c>
    </row>
    <row r="69" spans="1:22" x14ac:dyDescent="0.3">
      <c r="A69" t="s">
        <v>120</v>
      </c>
      <c r="B69" t="s">
        <v>57</v>
      </c>
      <c r="C69" t="s">
        <v>19</v>
      </c>
      <c r="D69" t="s">
        <v>24</v>
      </c>
      <c r="E69">
        <v>1544670</v>
      </c>
      <c r="F69">
        <v>862620</v>
      </c>
      <c r="G69">
        <v>2191565</v>
      </c>
      <c r="H69">
        <v>42228</v>
      </c>
      <c r="I69">
        <v>2551</v>
      </c>
      <c r="J69">
        <v>3068</v>
      </c>
      <c r="K69">
        <f t="shared" si="2"/>
        <v>5.5467065451763231</v>
      </c>
      <c r="L69">
        <v>62749</v>
      </c>
      <c r="M69">
        <v>309289</v>
      </c>
      <c r="N69">
        <f t="shared" si="3"/>
        <v>392.89869161261532</v>
      </c>
      <c r="O69" s="4">
        <v>45834</v>
      </c>
      <c r="P69" s="4">
        <v>45851</v>
      </c>
      <c r="Q69" t="s">
        <v>47</v>
      </c>
      <c r="R69">
        <f>Table2[[#This Row],[End_Date]]-Table2[[#This Row],[Start_Date]]</f>
        <v>17</v>
      </c>
      <c r="S69" t="str">
        <f>TEXT(Table2[[#This Row],[Start_Date]],"MMM")</f>
        <v>Jun</v>
      </c>
      <c r="T69">
        <f>YEAR(Table2[[#This Row],[Start_Date]])</f>
        <v>2025</v>
      </c>
      <c r="U69">
        <f>Table2[[#This Row],[Campaign_Cost (₹)]]/Table2[[#This Row],[Reach]]</f>
        <v>7.2742343094294129E-2</v>
      </c>
      <c r="V69">
        <f>Table2[[#This Row],[Revenue_Generated (₹)]]/Table2[[#This Row],[Reach]]</f>
        <v>0.3585460573601354</v>
      </c>
    </row>
    <row r="70" spans="1:22" x14ac:dyDescent="0.3">
      <c r="A70" t="s">
        <v>121</v>
      </c>
      <c r="B70" t="s">
        <v>18</v>
      </c>
      <c r="C70" t="s">
        <v>19</v>
      </c>
      <c r="D70" t="s">
        <v>29</v>
      </c>
      <c r="E70">
        <v>1066617</v>
      </c>
      <c r="F70">
        <v>552181</v>
      </c>
      <c r="G70">
        <v>1396830</v>
      </c>
      <c r="H70">
        <v>36779</v>
      </c>
      <c r="I70">
        <v>1855</v>
      </c>
      <c r="J70">
        <v>740</v>
      </c>
      <c r="K70">
        <f t="shared" si="2"/>
        <v>7.130632890302274</v>
      </c>
      <c r="L70">
        <v>132764</v>
      </c>
      <c r="M70">
        <v>530419</v>
      </c>
      <c r="N70">
        <f t="shared" si="3"/>
        <v>299.52020125937753</v>
      </c>
      <c r="O70" s="4">
        <v>45978</v>
      </c>
      <c r="P70" s="4">
        <v>45993</v>
      </c>
      <c r="Q70" t="s">
        <v>78</v>
      </c>
      <c r="R70">
        <f>Table2[[#This Row],[End_Date]]-Table2[[#This Row],[Start_Date]]</f>
        <v>15</v>
      </c>
      <c r="S70" t="str">
        <f>TEXT(Table2[[#This Row],[Start_Date]],"MMM")</f>
        <v>Nov</v>
      </c>
      <c r="T70">
        <f>YEAR(Table2[[#This Row],[Start_Date]])</f>
        <v>2025</v>
      </c>
      <c r="U70">
        <f>Table2[[#This Row],[Campaign_Cost (₹)]]/Table2[[#This Row],[Reach]]</f>
        <v>0.24043565425105173</v>
      </c>
      <c r="V70">
        <f>Table2[[#This Row],[Revenue_Generated (₹)]]/Table2[[#This Row],[Reach]]</f>
        <v>0.96058900976310302</v>
      </c>
    </row>
    <row r="71" spans="1:22" x14ac:dyDescent="0.3">
      <c r="A71" t="s">
        <v>122</v>
      </c>
      <c r="B71" t="s">
        <v>49</v>
      </c>
      <c r="C71" t="s">
        <v>37</v>
      </c>
      <c r="D71" t="s">
        <v>51</v>
      </c>
      <c r="E71">
        <v>1558397</v>
      </c>
      <c r="F71">
        <v>1155974</v>
      </c>
      <c r="G71">
        <v>2646041</v>
      </c>
      <c r="H71">
        <v>140037</v>
      </c>
      <c r="I71">
        <v>5630</v>
      </c>
      <c r="J71">
        <v>7148</v>
      </c>
      <c r="K71">
        <f t="shared" si="2"/>
        <v>13.219587983812787</v>
      </c>
      <c r="L71">
        <v>256505</v>
      </c>
      <c r="M71">
        <v>749000</v>
      </c>
      <c r="N71">
        <f t="shared" si="3"/>
        <v>192.00210522212043</v>
      </c>
      <c r="O71" s="4">
        <v>45991</v>
      </c>
      <c r="P71" s="4">
        <v>46012</v>
      </c>
      <c r="Q71" t="s">
        <v>41</v>
      </c>
      <c r="R71">
        <f>Table2[[#This Row],[End_Date]]-Table2[[#This Row],[Start_Date]]</f>
        <v>21</v>
      </c>
      <c r="S71" t="str">
        <f>TEXT(Table2[[#This Row],[Start_Date]],"MMM")</f>
        <v>Nov</v>
      </c>
      <c r="T71">
        <f>YEAR(Table2[[#This Row],[Start_Date]])</f>
        <v>2025</v>
      </c>
      <c r="U71">
        <f>Table2[[#This Row],[Campaign_Cost (₹)]]/Table2[[#This Row],[Reach]]</f>
        <v>0.22189512912920187</v>
      </c>
      <c r="V71">
        <f>Table2[[#This Row],[Revenue_Generated (₹)]]/Table2[[#This Row],[Reach]]</f>
        <v>0.64793844844261206</v>
      </c>
    </row>
    <row r="72" spans="1:22" x14ac:dyDescent="0.3">
      <c r="A72" t="s">
        <v>123</v>
      </c>
      <c r="B72" t="s">
        <v>36</v>
      </c>
      <c r="C72" t="s">
        <v>43</v>
      </c>
      <c r="D72" t="s">
        <v>51</v>
      </c>
      <c r="E72">
        <v>1381863</v>
      </c>
      <c r="F72">
        <v>549471</v>
      </c>
      <c r="G72">
        <v>1351000</v>
      </c>
      <c r="H72">
        <v>29875</v>
      </c>
      <c r="I72">
        <v>3959</v>
      </c>
      <c r="J72">
        <v>2176</v>
      </c>
      <c r="K72">
        <f t="shared" si="2"/>
        <v>6.5535760758984551</v>
      </c>
      <c r="L72">
        <v>235064</v>
      </c>
      <c r="M72">
        <v>871213</v>
      </c>
      <c r="N72">
        <f t="shared" si="3"/>
        <v>270.62799918320115</v>
      </c>
      <c r="O72" s="4">
        <v>45841</v>
      </c>
      <c r="P72" s="4">
        <v>45855</v>
      </c>
      <c r="Q72" t="s">
        <v>34</v>
      </c>
      <c r="R72">
        <f>Table2[[#This Row],[End_Date]]-Table2[[#This Row],[Start_Date]]</f>
        <v>14</v>
      </c>
      <c r="S72" t="str">
        <f>TEXT(Table2[[#This Row],[Start_Date]],"MMM")</f>
        <v>Jul</v>
      </c>
      <c r="T72">
        <f>YEAR(Table2[[#This Row],[Start_Date]])</f>
        <v>2025</v>
      </c>
      <c r="U72">
        <f>Table2[[#This Row],[Campaign_Cost (₹)]]/Table2[[#This Row],[Reach]]</f>
        <v>0.42780055726325866</v>
      </c>
      <c r="V72">
        <f>Table2[[#This Row],[Revenue_Generated (₹)]]/Table2[[#This Row],[Reach]]</f>
        <v>1.5855486458794004</v>
      </c>
    </row>
    <row r="73" spans="1:22" x14ac:dyDescent="0.3">
      <c r="A73" t="s">
        <v>124</v>
      </c>
      <c r="B73" t="s">
        <v>27</v>
      </c>
      <c r="C73" t="s">
        <v>28</v>
      </c>
      <c r="D73" t="s">
        <v>51</v>
      </c>
      <c r="E73">
        <v>1812674</v>
      </c>
      <c r="F73">
        <v>1031176</v>
      </c>
      <c r="G73">
        <v>2143974</v>
      </c>
      <c r="H73">
        <v>65627</v>
      </c>
      <c r="I73">
        <v>6120</v>
      </c>
      <c r="J73">
        <v>2262</v>
      </c>
      <c r="K73">
        <f t="shared" si="2"/>
        <v>7.1771453175791518</v>
      </c>
      <c r="L73">
        <v>303403</v>
      </c>
      <c r="M73">
        <v>1391734</v>
      </c>
      <c r="N73">
        <f t="shared" si="3"/>
        <v>358.70805496320077</v>
      </c>
      <c r="O73" s="4">
        <v>45749</v>
      </c>
      <c r="P73" s="4">
        <v>45759</v>
      </c>
      <c r="Q73" t="s">
        <v>34</v>
      </c>
      <c r="R73">
        <f>Table2[[#This Row],[End_Date]]-Table2[[#This Row],[Start_Date]]</f>
        <v>10</v>
      </c>
      <c r="S73" t="str">
        <f>TEXT(Table2[[#This Row],[Start_Date]],"MMM")</f>
        <v>Apr</v>
      </c>
      <c r="T73">
        <f>YEAR(Table2[[#This Row],[Start_Date]])</f>
        <v>2025</v>
      </c>
      <c r="U73">
        <f>Table2[[#This Row],[Campaign_Cost (₹)]]/Table2[[#This Row],[Reach]]</f>
        <v>0.29423008293443603</v>
      </c>
      <c r="V73">
        <f>Table2[[#This Row],[Revenue_Generated (₹)]]/Table2[[#This Row],[Reach]]</f>
        <v>1.3496570905451639</v>
      </c>
    </row>
    <row r="74" spans="1:22" x14ac:dyDescent="0.3">
      <c r="A74" t="s">
        <v>125</v>
      </c>
      <c r="B74" t="s">
        <v>57</v>
      </c>
      <c r="C74" t="s">
        <v>37</v>
      </c>
      <c r="D74" t="s">
        <v>51</v>
      </c>
      <c r="E74">
        <v>838293</v>
      </c>
      <c r="F74">
        <v>506129</v>
      </c>
      <c r="G74">
        <v>681090</v>
      </c>
      <c r="H74">
        <v>64594</v>
      </c>
      <c r="I74">
        <v>8098</v>
      </c>
      <c r="J74">
        <v>4705</v>
      </c>
      <c r="K74">
        <f t="shared" si="2"/>
        <v>15.291951261437301</v>
      </c>
      <c r="L74">
        <v>168627</v>
      </c>
      <c r="M74">
        <v>528044</v>
      </c>
      <c r="N74">
        <f t="shared" si="3"/>
        <v>213.14320956904885</v>
      </c>
      <c r="O74" s="4">
        <v>46119</v>
      </c>
      <c r="P74" s="4">
        <v>46146</v>
      </c>
      <c r="Q74" t="s">
        <v>34</v>
      </c>
      <c r="R74">
        <f>Table2[[#This Row],[End_Date]]-Table2[[#This Row],[Start_Date]]</f>
        <v>27</v>
      </c>
      <c r="S74" t="str">
        <f>TEXT(Table2[[#This Row],[Start_Date]],"MMM")</f>
        <v>Apr</v>
      </c>
      <c r="T74">
        <f>YEAR(Table2[[#This Row],[Start_Date]])</f>
        <v>2026</v>
      </c>
      <c r="U74">
        <f>Table2[[#This Row],[Campaign_Cost (₹)]]/Table2[[#This Row],[Reach]]</f>
        <v>0.33317000211408554</v>
      </c>
      <c r="V74">
        <f>Table2[[#This Row],[Revenue_Generated (₹)]]/Table2[[#This Row],[Reach]]</f>
        <v>1.0432992379413153</v>
      </c>
    </row>
    <row r="75" spans="1:22" x14ac:dyDescent="0.3">
      <c r="A75" t="s">
        <v>126</v>
      </c>
      <c r="B75" t="s">
        <v>103</v>
      </c>
      <c r="C75" t="s">
        <v>37</v>
      </c>
      <c r="D75" t="s">
        <v>72</v>
      </c>
      <c r="E75">
        <v>55927</v>
      </c>
      <c r="F75">
        <v>21682</v>
      </c>
      <c r="G75">
        <v>61040</v>
      </c>
      <c r="H75">
        <v>1998</v>
      </c>
      <c r="I75">
        <v>211</v>
      </c>
      <c r="J75">
        <v>120</v>
      </c>
      <c r="K75">
        <f t="shared" si="2"/>
        <v>10.741629001014665</v>
      </c>
      <c r="L75">
        <v>484372</v>
      </c>
      <c r="M75">
        <v>2041207</v>
      </c>
      <c r="N75">
        <f t="shared" si="3"/>
        <v>321.41308746170296</v>
      </c>
      <c r="O75" s="4">
        <v>46060</v>
      </c>
      <c r="P75" s="4">
        <v>46080</v>
      </c>
      <c r="Q75" t="s">
        <v>78</v>
      </c>
      <c r="R75">
        <f>Table2[[#This Row],[End_Date]]-Table2[[#This Row],[Start_Date]]</f>
        <v>20</v>
      </c>
      <c r="S75" t="str">
        <f>TEXT(Table2[[#This Row],[Start_Date]],"MMM")</f>
        <v>Feb</v>
      </c>
      <c r="T75">
        <f>YEAR(Table2[[#This Row],[Start_Date]])</f>
        <v>2026</v>
      </c>
      <c r="U75">
        <f>Table2[[#This Row],[Campaign_Cost (₹)]]/Table2[[#This Row],[Reach]]</f>
        <v>22.339821049718662</v>
      </c>
      <c r="V75">
        <f>Table2[[#This Row],[Revenue_Generated (₹)]]/Table2[[#This Row],[Reach]]</f>
        <v>94.142929619038838</v>
      </c>
    </row>
    <row r="76" spans="1:22" x14ac:dyDescent="0.3">
      <c r="A76" t="s">
        <v>127</v>
      </c>
      <c r="B76" t="s">
        <v>49</v>
      </c>
      <c r="C76" t="s">
        <v>43</v>
      </c>
      <c r="D76" t="s">
        <v>40</v>
      </c>
      <c r="E76">
        <v>871758</v>
      </c>
      <c r="F76">
        <v>407633</v>
      </c>
      <c r="G76">
        <v>590946</v>
      </c>
      <c r="H76">
        <v>10330</v>
      </c>
      <c r="I76">
        <v>717</v>
      </c>
      <c r="J76">
        <v>578</v>
      </c>
      <c r="K76">
        <f t="shared" si="2"/>
        <v>2.8518299548858899</v>
      </c>
      <c r="L76">
        <v>447649</v>
      </c>
      <c r="M76">
        <v>1495680</v>
      </c>
      <c r="N76">
        <f t="shared" si="3"/>
        <v>234.11891906382007</v>
      </c>
      <c r="O76" s="4">
        <v>45982</v>
      </c>
      <c r="P76" s="4">
        <v>46006</v>
      </c>
      <c r="Q76" t="s">
        <v>47</v>
      </c>
      <c r="R76">
        <f>Table2[[#This Row],[End_Date]]-Table2[[#This Row],[Start_Date]]</f>
        <v>24</v>
      </c>
      <c r="S76" t="str">
        <f>TEXT(Table2[[#This Row],[Start_Date]],"MMM")</f>
        <v>Nov</v>
      </c>
      <c r="T76">
        <f>YEAR(Table2[[#This Row],[Start_Date]])</f>
        <v>2025</v>
      </c>
      <c r="U76">
        <f>Table2[[#This Row],[Campaign_Cost (₹)]]/Table2[[#This Row],[Reach]]</f>
        <v>1.0981667333115817</v>
      </c>
      <c r="V76">
        <f>Table2[[#This Row],[Revenue_Generated (₹)]]/Table2[[#This Row],[Reach]]</f>
        <v>3.6691828188591207</v>
      </c>
    </row>
    <row r="77" spans="1:22" x14ac:dyDescent="0.3">
      <c r="A77" t="s">
        <v>128</v>
      </c>
      <c r="B77" t="s">
        <v>80</v>
      </c>
      <c r="C77" t="s">
        <v>33</v>
      </c>
      <c r="D77" t="s">
        <v>72</v>
      </c>
      <c r="E77">
        <v>1496136</v>
      </c>
      <c r="F77">
        <v>1028998</v>
      </c>
      <c r="G77">
        <v>2903794</v>
      </c>
      <c r="H77">
        <v>117557</v>
      </c>
      <c r="I77">
        <v>4426</v>
      </c>
      <c r="J77">
        <v>11297</v>
      </c>
      <c r="K77">
        <f t="shared" si="2"/>
        <v>12.952406127125613</v>
      </c>
      <c r="L77">
        <v>237772</v>
      </c>
      <c r="M77">
        <v>1125899</v>
      </c>
      <c r="N77">
        <f t="shared" si="3"/>
        <v>373.52043133758389</v>
      </c>
      <c r="O77" s="4">
        <v>46124</v>
      </c>
      <c r="P77" s="4">
        <v>46145</v>
      </c>
      <c r="Q77" t="s">
        <v>21</v>
      </c>
      <c r="R77">
        <f>Table2[[#This Row],[End_Date]]-Table2[[#This Row],[Start_Date]]</f>
        <v>21</v>
      </c>
      <c r="S77" t="str">
        <f>TEXT(Table2[[#This Row],[Start_Date]],"MMM")</f>
        <v>Apr</v>
      </c>
      <c r="T77">
        <f>YEAR(Table2[[#This Row],[Start_Date]])</f>
        <v>2026</v>
      </c>
      <c r="U77">
        <f>Table2[[#This Row],[Campaign_Cost (₹)]]/Table2[[#This Row],[Reach]]</f>
        <v>0.23107139178113076</v>
      </c>
      <c r="V77">
        <f>Table2[[#This Row],[Revenue_Generated (₹)]]/Table2[[#This Row],[Reach]]</f>
        <v>1.0941702510597688</v>
      </c>
    </row>
    <row r="78" spans="1:22" x14ac:dyDescent="0.3">
      <c r="A78" t="s">
        <v>129</v>
      </c>
      <c r="B78" t="s">
        <v>18</v>
      </c>
      <c r="C78" t="s">
        <v>19</v>
      </c>
      <c r="D78" t="s">
        <v>46</v>
      </c>
      <c r="E78">
        <v>172579</v>
      </c>
      <c r="F78">
        <v>60811</v>
      </c>
      <c r="G78">
        <v>69289</v>
      </c>
      <c r="H78">
        <v>5401</v>
      </c>
      <c r="I78">
        <v>645</v>
      </c>
      <c r="J78">
        <v>370</v>
      </c>
      <c r="K78">
        <f t="shared" si="2"/>
        <v>10.550722731084837</v>
      </c>
      <c r="L78">
        <v>114747</v>
      </c>
      <c r="M78">
        <v>312824</v>
      </c>
      <c r="N78">
        <f t="shared" si="3"/>
        <v>172.62063496213409</v>
      </c>
      <c r="O78" s="4">
        <v>45781</v>
      </c>
      <c r="P78" s="4">
        <v>45800</v>
      </c>
      <c r="Q78" t="s">
        <v>54</v>
      </c>
      <c r="R78">
        <f>Table2[[#This Row],[End_Date]]-Table2[[#This Row],[Start_Date]]</f>
        <v>19</v>
      </c>
      <c r="S78" t="str">
        <f>TEXT(Table2[[#This Row],[Start_Date]],"MMM")</f>
        <v>May</v>
      </c>
      <c r="T78">
        <f>YEAR(Table2[[#This Row],[Start_Date]])</f>
        <v>2025</v>
      </c>
      <c r="U78">
        <f>Table2[[#This Row],[Campaign_Cost (₹)]]/Table2[[#This Row],[Reach]]</f>
        <v>1.8869447961717452</v>
      </c>
      <c r="V78">
        <f>Table2[[#This Row],[Revenue_Generated (₹)]]/Table2[[#This Row],[Reach]]</f>
        <v>5.1442008847083587</v>
      </c>
    </row>
    <row r="79" spans="1:22" x14ac:dyDescent="0.3">
      <c r="A79" t="s">
        <v>130</v>
      </c>
      <c r="B79" t="s">
        <v>75</v>
      </c>
      <c r="C79" t="s">
        <v>33</v>
      </c>
      <c r="D79" t="s">
        <v>29</v>
      </c>
      <c r="E79">
        <v>1432682</v>
      </c>
      <c r="F79">
        <v>865902</v>
      </c>
      <c r="G79">
        <v>1601644</v>
      </c>
      <c r="H79">
        <v>94848</v>
      </c>
      <c r="I79">
        <v>3962</v>
      </c>
      <c r="J79">
        <v>7553</v>
      </c>
      <c r="K79">
        <f t="shared" si="2"/>
        <v>12.283491665338572</v>
      </c>
      <c r="L79">
        <v>396073</v>
      </c>
      <c r="M79">
        <v>1842216</v>
      </c>
      <c r="N79">
        <f t="shared" si="3"/>
        <v>365.12031872912314</v>
      </c>
      <c r="O79" s="4">
        <v>45854</v>
      </c>
      <c r="P79" s="4">
        <v>45871</v>
      </c>
      <c r="Q79" t="s">
        <v>41</v>
      </c>
      <c r="R79">
        <f>Table2[[#This Row],[End_Date]]-Table2[[#This Row],[Start_Date]]</f>
        <v>17</v>
      </c>
      <c r="S79" t="str">
        <f>TEXT(Table2[[#This Row],[Start_Date]],"MMM")</f>
        <v>Jul</v>
      </c>
      <c r="T79">
        <f>YEAR(Table2[[#This Row],[Start_Date]])</f>
        <v>2025</v>
      </c>
      <c r="U79">
        <f>Table2[[#This Row],[Campaign_Cost (₹)]]/Table2[[#This Row],[Reach]]</f>
        <v>0.45741088483454245</v>
      </c>
      <c r="V79">
        <f>Table2[[#This Row],[Revenue_Generated (₹)]]/Table2[[#This Row],[Reach]]</f>
        <v>2.1275109654441264</v>
      </c>
    </row>
    <row r="80" spans="1:22" x14ac:dyDescent="0.3">
      <c r="A80" t="s">
        <v>131</v>
      </c>
      <c r="B80" t="s">
        <v>53</v>
      </c>
      <c r="C80" t="s">
        <v>33</v>
      </c>
      <c r="D80" t="s">
        <v>29</v>
      </c>
      <c r="E80">
        <v>1026359</v>
      </c>
      <c r="F80">
        <v>812890</v>
      </c>
      <c r="G80">
        <v>1889473</v>
      </c>
      <c r="H80">
        <v>28667</v>
      </c>
      <c r="I80">
        <v>2740</v>
      </c>
      <c r="J80">
        <v>2102</v>
      </c>
      <c r="K80">
        <f t="shared" si="2"/>
        <v>4.1222059565254838</v>
      </c>
      <c r="L80">
        <v>473986</v>
      </c>
      <c r="M80">
        <v>1061056</v>
      </c>
      <c r="N80">
        <f t="shared" si="3"/>
        <v>123.85808863552931</v>
      </c>
      <c r="O80" s="4">
        <v>46007</v>
      </c>
      <c r="P80" s="4">
        <v>46017</v>
      </c>
      <c r="Q80" t="s">
        <v>25</v>
      </c>
      <c r="R80">
        <f>Table2[[#This Row],[End_Date]]-Table2[[#This Row],[Start_Date]]</f>
        <v>10</v>
      </c>
      <c r="S80" t="str">
        <f>TEXT(Table2[[#This Row],[Start_Date]],"MMM")</f>
        <v>Dec</v>
      </c>
      <c r="T80">
        <f>YEAR(Table2[[#This Row],[Start_Date]])</f>
        <v>2025</v>
      </c>
      <c r="U80">
        <f>Table2[[#This Row],[Campaign_Cost (₹)]]/Table2[[#This Row],[Reach]]</f>
        <v>0.58308750261412978</v>
      </c>
      <c r="V80">
        <f>Table2[[#This Row],[Revenue_Generated (₹)]]/Table2[[#This Row],[Reach]]</f>
        <v>1.3052885384246331</v>
      </c>
    </row>
    <row r="81" spans="1:22" x14ac:dyDescent="0.3">
      <c r="A81" t="s">
        <v>132</v>
      </c>
      <c r="B81" t="s">
        <v>63</v>
      </c>
      <c r="C81" t="s">
        <v>19</v>
      </c>
      <c r="D81" t="s">
        <v>24</v>
      </c>
      <c r="E81">
        <v>1375546</v>
      </c>
      <c r="F81">
        <v>416987</v>
      </c>
      <c r="G81">
        <v>767294</v>
      </c>
      <c r="H81">
        <v>41604</v>
      </c>
      <c r="I81">
        <v>6119</v>
      </c>
      <c r="J81">
        <v>2098</v>
      </c>
      <c r="K81">
        <f t="shared" si="2"/>
        <v>11.947854489468497</v>
      </c>
      <c r="L81">
        <v>244068</v>
      </c>
      <c r="M81">
        <v>1219660</v>
      </c>
      <c r="N81">
        <f t="shared" si="3"/>
        <v>399.72138912106459</v>
      </c>
      <c r="O81" s="4">
        <v>45995</v>
      </c>
      <c r="P81" s="4">
        <v>46020</v>
      </c>
      <c r="Q81" t="s">
        <v>47</v>
      </c>
      <c r="R81">
        <f>Table2[[#This Row],[End_Date]]-Table2[[#This Row],[Start_Date]]</f>
        <v>25</v>
      </c>
      <c r="S81" t="str">
        <f>TEXT(Table2[[#This Row],[Start_Date]],"MMM")</f>
        <v>Dec</v>
      </c>
      <c r="T81">
        <f>YEAR(Table2[[#This Row],[Start_Date]])</f>
        <v>2025</v>
      </c>
      <c r="U81">
        <f>Table2[[#This Row],[Campaign_Cost (₹)]]/Table2[[#This Row],[Reach]]</f>
        <v>0.58531321120322699</v>
      </c>
      <c r="V81">
        <f>Table2[[#This Row],[Revenue_Generated (₹)]]/Table2[[#This Row],[Reach]]</f>
        <v>2.9249353097338764</v>
      </c>
    </row>
    <row r="82" spans="1:22" x14ac:dyDescent="0.3">
      <c r="A82" t="s">
        <v>133</v>
      </c>
      <c r="B82" t="s">
        <v>63</v>
      </c>
      <c r="C82" t="s">
        <v>33</v>
      </c>
      <c r="D82" t="s">
        <v>40</v>
      </c>
      <c r="E82">
        <v>668966</v>
      </c>
      <c r="F82">
        <v>197216</v>
      </c>
      <c r="G82">
        <v>486014</v>
      </c>
      <c r="H82">
        <v>21340</v>
      </c>
      <c r="I82">
        <v>1485</v>
      </c>
      <c r="J82">
        <v>1601</v>
      </c>
      <c r="K82">
        <f t="shared" si="2"/>
        <v>12.385404835307479</v>
      </c>
      <c r="L82">
        <v>474520</v>
      </c>
      <c r="M82">
        <v>597462</v>
      </c>
      <c r="N82">
        <f t="shared" si="3"/>
        <v>25.90870774677569</v>
      </c>
      <c r="O82" s="4">
        <v>46054</v>
      </c>
      <c r="P82" s="4">
        <v>46075</v>
      </c>
      <c r="Q82" t="s">
        <v>78</v>
      </c>
      <c r="R82">
        <f>Table2[[#This Row],[End_Date]]-Table2[[#This Row],[Start_Date]]</f>
        <v>21</v>
      </c>
      <c r="S82" t="str">
        <f>TEXT(Table2[[#This Row],[Start_Date]],"MMM")</f>
        <v>Feb</v>
      </c>
      <c r="T82">
        <f>YEAR(Table2[[#This Row],[Start_Date]])</f>
        <v>2026</v>
      </c>
      <c r="U82">
        <f>Table2[[#This Row],[Campaign_Cost (₹)]]/Table2[[#This Row],[Reach]]</f>
        <v>2.4060928119422358</v>
      </c>
      <c r="V82">
        <f>Table2[[#This Row],[Revenue_Generated (₹)]]/Table2[[#This Row],[Reach]]</f>
        <v>3.0294803667045271</v>
      </c>
    </row>
    <row r="83" spans="1:22" x14ac:dyDescent="0.3">
      <c r="A83" t="s">
        <v>134</v>
      </c>
      <c r="B83" t="s">
        <v>53</v>
      </c>
      <c r="C83" t="s">
        <v>33</v>
      </c>
      <c r="D83" t="s">
        <v>29</v>
      </c>
      <c r="E83">
        <v>1066607</v>
      </c>
      <c r="F83">
        <v>758269</v>
      </c>
      <c r="G83">
        <v>1334787</v>
      </c>
      <c r="H83">
        <v>87462</v>
      </c>
      <c r="I83">
        <v>8633</v>
      </c>
      <c r="J83">
        <v>8352</v>
      </c>
      <c r="K83">
        <f t="shared" si="2"/>
        <v>13.774399322667813</v>
      </c>
      <c r="L83">
        <v>298090</v>
      </c>
      <c r="M83">
        <v>847678</v>
      </c>
      <c r="N83">
        <f t="shared" si="3"/>
        <v>184.36982119494112</v>
      </c>
      <c r="O83" s="4">
        <v>45883</v>
      </c>
      <c r="P83" s="4">
        <v>45913</v>
      </c>
      <c r="Q83" t="s">
        <v>25</v>
      </c>
      <c r="R83">
        <f>Table2[[#This Row],[End_Date]]-Table2[[#This Row],[Start_Date]]</f>
        <v>30</v>
      </c>
      <c r="S83" t="str">
        <f>TEXT(Table2[[#This Row],[Start_Date]],"MMM")</f>
        <v>Aug</v>
      </c>
      <c r="T83">
        <f>YEAR(Table2[[#This Row],[Start_Date]])</f>
        <v>2025</v>
      </c>
      <c r="U83">
        <f>Table2[[#This Row],[Campaign_Cost (₹)]]/Table2[[#This Row],[Reach]]</f>
        <v>0.39311906460636004</v>
      </c>
      <c r="V83">
        <f>Table2[[#This Row],[Revenue_Generated (₹)]]/Table2[[#This Row],[Reach]]</f>
        <v>1.117911981104331</v>
      </c>
    </row>
    <row r="84" spans="1:22" x14ac:dyDescent="0.3">
      <c r="A84" t="s">
        <v>135</v>
      </c>
      <c r="B84" t="s">
        <v>53</v>
      </c>
      <c r="C84" t="s">
        <v>28</v>
      </c>
      <c r="D84" t="s">
        <v>72</v>
      </c>
      <c r="E84">
        <v>717795</v>
      </c>
      <c r="F84">
        <v>415217</v>
      </c>
      <c r="G84">
        <v>1028936</v>
      </c>
      <c r="H84">
        <v>40186</v>
      </c>
      <c r="I84">
        <v>4657</v>
      </c>
      <c r="J84">
        <v>3176</v>
      </c>
      <c r="K84">
        <f t="shared" si="2"/>
        <v>11.56479623907499</v>
      </c>
      <c r="L84">
        <v>90341</v>
      </c>
      <c r="M84">
        <v>225359</v>
      </c>
      <c r="N84">
        <f t="shared" si="3"/>
        <v>149.45373639875584</v>
      </c>
      <c r="O84" s="4">
        <v>45813</v>
      </c>
      <c r="P84" s="4">
        <v>45835</v>
      </c>
      <c r="Q84" t="s">
        <v>54</v>
      </c>
      <c r="R84">
        <f>Table2[[#This Row],[End_Date]]-Table2[[#This Row],[Start_Date]]</f>
        <v>22</v>
      </c>
      <c r="S84" t="str">
        <f>TEXT(Table2[[#This Row],[Start_Date]],"MMM")</f>
        <v>Jun</v>
      </c>
      <c r="T84">
        <f>YEAR(Table2[[#This Row],[Start_Date]])</f>
        <v>2025</v>
      </c>
      <c r="U84">
        <f>Table2[[#This Row],[Campaign_Cost (₹)]]/Table2[[#This Row],[Reach]]</f>
        <v>0.21757538829094183</v>
      </c>
      <c r="V84">
        <f>Table2[[#This Row],[Revenue_Generated (₹)]]/Table2[[#This Row],[Reach]]</f>
        <v>0.54274993557585549</v>
      </c>
    </row>
    <row r="85" spans="1:22" x14ac:dyDescent="0.3">
      <c r="A85" t="s">
        <v>136</v>
      </c>
      <c r="B85" t="s">
        <v>63</v>
      </c>
      <c r="C85" t="s">
        <v>19</v>
      </c>
      <c r="D85" t="s">
        <v>51</v>
      </c>
      <c r="E85">
        <v>1646555</v>
      </c>
      <c r="F85">
        <v>485659</v>
      </c>
      <c r="G85">
        <v>1441282</v>
      </c>
      <c r="H85">
        <v>70403</v>
      </c>
      <c r="I85">
        <v>3217</v>
      </c>
      <c r="J85">
        <v>6611</v>
      </c>
      <c r="K85">
        <f t="shared" si="2"/>
        <v>16.520027426651211</v>
      </c>
      <c r="L85">
        <v>397822</v>
      </c>
      <c r="M85">
        <v>1174383</v>
      </c>
      <c r="N85">
        <f t="shared" si="3"/>
        <v>195.20313104855938</v>
      </c>
      <c r="O85" s="4">
        <v>45757</v>
      </c>
      <c r="P85" s="4">
        <v>45781</v>
      </c>
      <c r="Q85" t="s">
        <v>30</v>
      </c>
      <c r="R85">
        <f>Table2[[#This Row],[End_Date]]-Table2[[#This Row],[Start_Date]]</f>
        <v>24</v>
      </c>
      <c r="S85" t="str">
        <f>TEXT(Table2[[#This Row],[Start_Date]],"MMM")</f>
        <v>Apr</v>
      </c>
      <c r="T85">
        <f>YEAR(Table2[[#This Row],[Start_Date]])</f>
        <v>2025</v>
      </c>
      <c r="U85">
        <f>Table2[[#This Row],[Campaign_Cost (₹)]]/Table2[[#This Row],[Reach]]</f>
        <v>0.81913853135636316</v>
      </c>
      <c r="V85">
        <f>Table2[[#This Row],[Revenue_Generated (₹)]]/Table2[[#This Row],[Reach]]</f>
        <v>2.4181225921891696</v>
      </c>
    </row>
    <row r="86" spans="1:22" x14ac:dyDescent="0.3">
      <c r="A86" t="s">
        <v>137</v>
      </c>
      <c r="B86" t="s">
        <v>61</v>
      </c>
      <c r="C86" t="s">
        <v>28</v>
      </c>
      <c r="D86" t="s">
        <v>72</v>
      </c>
      <c r="E86">
        <v>1276098</v>
      </c>
      <c r="F86">
        <v>754337</v>
      </c>
      <c r="G86">
        <v>854021</v>
      </c>
      <c r="H86">
        <v>39255</v>
      </c>
      <c r="I86">
        <v>2232</v>
      </c>
      <c r="J86">
        <v>3512</v>
      </c>
      <c r="K86">
        <f t="shared" si="2"/>
        <v>5.9653709151214906</v>
      </c>
      <c r="L86">
        <v>201393</v>
      </c>
      <c r="M86">
        <v>675798</v>
      </c>
      <c r="N86">
        <f t="shared" si="3"/>
        <v>235.56181197956235</v>
      </c>
      <c r="O86" s="4">
        <v>45758</v>
      </c>
      <c r="P86" s="4">
        <v>45768</v>
      </c>
      <c r="Q86" t="s">
        <v>25</v>
      </c>
      <c r="R86">
        <f>Table2[[#This Row],[End_Date]]-Table2[[#This Row],[Start_Date]]</f>
        <v>10</v>
      </c>
      <c r="S86" t="str">
        <f>TEXT(Table2[[#This Row],[Start_Date]],"MMM")</f>
        <v>Apr</v>
      </c>
      <c r="T86">
        <f>YEAR(Table2[[#This Row],[Start_Date]])</f>
        <v>2025</v>
      </c>
      <c r="U86">
        <f>Table2[[#This Row],[Campaign_Cost (₹)]]/Table2[[#This Row],[Reach]]</f>
        <v>0.26698014282741001</v>
      </c>
      <c r="V86">
        <f>Table2[[#This Row],[Revenue_Generated (₹)]]/Table2[[#This Row],[Reach]]</f>
        <v>0.89588340489728069</v>
      </c>
    </row>
    <row r="87" spans="1:22" x14ac:dyDescent="0.3">
      <c r="A87" t="s">
        <v>138</v>
      </c>
      <c r="B87" t="s">
        <v>49</v>
      </c>
      <c r="C87" t="s">
        <v>28</v>
      </c>
      <c r="D87" t="s">
        <v>58</v>
      </c>
      <c r="E87">
        <v>1161785</v>
      </c>
      <c r="F87">
        <v>990396</v>
      </c>
      <c r="G87">
        <v>2322284</v>
      </c>
      <c r="H87">
        <v>102465</v>
      </c>
      <c r="I87">
        <v>10839</v>
      </c>
      <c r="J87">
        <v>6520</v>
      </c>
      <c r="K87">
        <f t="shared" si="2"/>
        <v>12.098594905472154</v>
      </c>
      <c r="L87">
        <v>180648</v>
      </c>
      <c r="M87">
        <v>835730</v>
      </c>
      <c r="N87">
        <f t="shared" si="3"/>
        <v>362.62898011602675</v>
      </c>
      <c r="O87" s="4">
        <v>45734</v>
      </c>
      <c r="P87" s="4">
        <v>45761</v>
      </c>
      <c r="Q87" t="s">
        <v>47</v>
      </c>
      <c r="R87">
        <f>Table2[[#This Row],[End_Date]]-Table2[[#This Row],[Start_Date]]</f>
        <v>27</v>
      </c>
      <c r="S87" t="str">
        <f>TEXT(Table2[[#This Row],[Start_Date]],"MMM")</f>
        <v>Mar</v>
      </c>
      <c r="T87">
        <f>YEAR(Table2[[#This Row],[Start_Date]])</f>
        <v>2025</v>
      </c>
      <c r="U87">
        <f>Table2[[#This Row],[Campaign_Cost (₹)]]/Table2[[#This Row],[Reach]]</f>
        <v>0.18239976736578095</v>
      </c>
      <c r="V87">
        <f>Table2[[#This Row],[Revenue_Generated (₹)]]/Table2[[#This Row],[Reach]]</f>
        <v>0.84383418349831785</v>
      </c>
    </row>
    <row r="88" spans="1:22" x14ac:dyDescent="0.3">
      <c r="A88" t="s">
        <v>139</v>
      </c>
      <c r="B88" t="s">
        <v>32</v>
      </c>
      <c r="C88" t="s">
        <v>37</v>
      </c>
      <c r="D88" t="s">
        <v>24</v>
      </c>
      <c r="E88">
        <v>441054</v>
      </c>
      <c r="F88">
        <v>282275</v>
      </c>
      <c r="G88">
        <v>510116</v>
      </c>
      <c r="H88">
        <v>38303</v>
      </c>
      <c r="I88">
        <v>2126</v>
      </c>
      <c r="J88">
        <v>3311</v>
      </c>
      <c r="K88">
        <f t="shared" si="2"/>
        <v>15.495527411212469</v>
      </c>
      <c r="L88">
        <v>478332</v>
      </c>
      <c r="M88">
        <v>1779288</v>
      </c>
      <c r="N88">
        <f t="shared" si="3"/>
        <v>271.97762223727449</v>
      </c>
      <c r="O88" s="4">
        <v>45754</v>
      </c>
      <c r="P88" s="4">
        <v>45783</v>
      </c>
      <c r="Q88" t="s">
        <v>47</v>
      </c>
      <c r="R88">
        <f>Table2[[#This Row],[End_Date]]-Table2[[#This Row],[Start_Date]]</f>
        <v>29</v>
      </c>
      <c r="S88" t="str">
        <f>TEXT(Table2[[#This Row],[Start_Date]],"MMM")</f>
        <v>Apr</v>
      </c>
      <c r="T88">
        <f>YEAR(Table2[[#This Row],[Start_Date]])</f>
        <v>2025</v>
      </c>
      <c r="U88">
        <f>Table2[[#This Row],[Campaign_Cost (₹)]]/Table2[[#This Row],[Reach]]</f>
        <v>1.6945602692409885</v>
      </c>
      <c r="V88">
        <f>Table2[[#This Row],[Revenue_Generated (₹)]]/Table2[[#This Row],[Reach]]</f>
        <v>6.3033849969001858</v>
      </c>
    </row>
    <row r="89" spans="1:22" x14ac:dyDescent="0.3">
      <c r="A89" t="s">
        <v>140</v>
      </c>
      <c r="B89" t="s">
        <v>27</v>
      </c>
      <c r="C89" t="s">
        <v>37</v>
      </c>
      <c r="D89" t="s">
        <v>46</v>
      </c>
      <c r="E89">
        <v>893940</v>
      </c>
      <c r="F89">
        <v>646438</v>
      </c>
      <c r="G89">
        <v>1470831</v>
      </c>
      <c r="H89">
        <v>15097</v>
      </c>
      <c r="I89">
        <v>1753</v>
      </c>
      <c r="J89">
        <v>1130</v>
      </c>
      <c r="K89">
        <f t="shared" si="2"/>
        <v>2.7813958956620746</v>
      </c>
      <c r="L89">
        <v>462669</v>
      </c>
      <c r="M89">
        <v>737357</v>
      </c>
      <c r="N89">
        <f t="shared" si="3"/>
        <v>59.370305769351305</v>
      </c>
      <c r="O89" s="4">
        <v>45843</v>
      </c>
      <c r="P89" s="4">
        <v>45853</v>
      </c>
      <c r="Q89" t="s">
        <v>54</v>
      </c>
      <c r="R89">
        <f>Table2[[#This Row],[End_Date]]-Table2[[#This Row],[Start_Date]]</f>
        <v>10</v>
      </c>
      <c r="S89" t="str">
        <f>TEXT(Table2[[#This Row],[Start_Date]],"MMM")</f>
        <v>Jul</v>
      </c>
      <c r="T89">
        <f>YEAR(Table2[[#This Row],[Start_Date]])</f>
        <v>2025</v>
      </c>
      <c r="U89">
        <f>Table2[[#This Row],[Campaign_Cost (₹)]]/Table2[[#This Row],[Reach]]</f>
        <v>0.71572061048391333</v>
      </c>
      <c r="V89">
        <f>Table2[[#This Row],[Revenue_Generated (₹)]]/Table2[[#This Row],[Reach]]</f>
        <v>1.1406461253824807</v>
      </c>
    </row>
    <row r="90" spans="1:22" x14ac:dyDescent="0.3">
      <c r="A90" t="s">
        <v>141</v>
      </c>
      <c r="B90" t="s">
        <v>23</v>
      </c>
      <c r="C90" t="s">
        <v>43</v>
      </c>
      <c r="D90" t="s">
        <v>20</v>
      </c>
      <c r="E90">
        <v>683914</v>
      </c>
      <c r="F90">
        <v>242829</v>
      </c>
      <c r="G90">
        <v>601767</v>
      </c>
      <c r="H90">
        <v>17489</v>
      </c>
      <c r="I90">
        <v>705</v>
      </c>
      <c r="J90">
        <v>633</v>
      </c>
      <c r="K90">
        <f t="shared" si="2"/>
        <v>7.7531925758455538</v>
      </c>
      <c r="L90">
        <v>185052</v>
      </c>
      <c r="M90">
        <v>801539</v>
      </c>
      <c r="N90">
        <f t="shared" si="3"/>
        <v>333.14257614076041</v>
      </c>
      <c r="O90" s="4">
        <v>45821</v>
      </c>
      <c r="P90" s="4">
        <v>45838</v>
      </c>
      <c r="Q90" t="s">
        <v>54</v>
      </c>
      <c r="R90">
        <f>Table2[[#This Row],[End_Date]]-Table2[[#This Row],[Start_Date]]</f>
        <v>17</v>
      </c>
      <c r="S90" t="str">
        <f>TEXT(Table2[[#This Row],[Start_Date]],"MMM")</f>
        <v>Jun</v>
      </c>
      <c r="T90">
        <f>YEAR(Table2[[#This Row],[Start_Date]])</f>
        <v>2025</v>
      </c>
      <c r="U90">
        <f>Table2[[#This Row],[Campaign_Cost (₹)]]/Table2[[#This Row],[Reach]]</f>
        <v>0.76206713366195966</v>
      </c>
      <c r="V90">
        <f>Table2[[#This Row],[Revenue_Generated (₹)]]/Table2[[#This Row],[Reach]]</f>
        <v>3.3008372146654641</v>
      </c>
    </row>
    <row r="91" spans="1:22" x14ac:dyDescent="0.3">
      <c r="A91" t="s">
        <v>142</v>
      </c>
      <c r="B91" t="s">
        <v>80</v>
      </c>
      <c r="C91" t="s">
        <v>33</v>
      </c>
      <c r="D91" t="s">
        <v>24</v>
      </c>
      <c r="E91">
        <v>1876995</v>
      </c>
      <c r="F91">
        <v>526335</v>
      </c>
      <c r="G91">
        <v>1519322</v>
      </c>
      <c r="H91">
        <v>54674</v>
      </c>
      <c r="I91">
        <v>3637</v>
      </c>
      <c r="J91">
        <v>4924</v>
      </c>
      <c r="K91">
        <f t="shared" si="2"/>
        <v>12.014211481280933</v>
      </c>
      <c r="L91">
        <v>374721</v>
      </c>
      <c r="M91">
        <v>1413864</v>
      </c>
      <c r="N91">
        <f t="shared" si="3"/>
        <v>277.31111947288787</v>
      </c>
      <c r="O91" s="4">
        <v>45835</v>
      </c>
      <c r="P91" s="4">
        <v>45859</v>
      </c>
      <c r="Q91" t="s">
        <v>54</v>
      </c>
      <c r="R91">
        <f>Table2[[#This Row],[End_Date]]-Table2[[#This Row],[Start_Date]]</f>
        <v>24</v>
      </c>
      <c r="S91" t="str">
        <f>TEXT(Table2[[#This Row],[Start_Date]],"MMM")</f>
        <v>Jun</v>
      </c>
      <c r="T91">
        <f>YEAR(Table2[[#This Row],[Start_Date]])</f>
        <v>2025</v>
      </c>
      <c r="U91">
        <f>Table2[[#This Row],[Campaign_Cost (₹)]]/Table2[[#This Row],[Reach]]</f>
        <v>0.71194391404713731</v>
      </c>
      <c r="V91">
        <f>Table2[[#This Row],[Revenue_Generated (₹)]]/Table2[[#This Row],[Reach]]</f>
        <v>2.6862435521103478</v>
      </c>
    </row>
    <row r="92" spans="1:22" x14ac:dyDescent="0.3">
      <c r="A92" t="s">
        <v>143</v>
      </c>
      <c r="B92" t="s">
        <v>53</v>
      </c>
      <c r="C92" t="s">
        <v>28</v>
      </c>
      <c r="D92" t="s">
        <v>58</v>
      </c>
      <c r="E92">
        <v>1071885</v>
      </c>
      <c r="F92">
        <v>663959</v>
      </c>
      <c r="G92">
        <v>1295506</v>
      </c>
      <c r="H92">
        <v>44397</v>
      </c>
      <c r="I92">
        <v>1765</v>
      </c>
      <c r="J92">
        <v>1942</v>
      </c>
      <c r="K92">
        <f t="shared" si="2"/>
        <v>7.2450256717658768</v>
      </c>
      <c r="L92">
        <v>260880</v>
      </c>
      <c r="M92">
        <v>1109031</v>
      </c>
      <c r="N92">
        <f t="shared" si="3"/>
        <v>325.11154553817846</v>
      </c>
      <c r="O92" s="4">
        <v>45805</v>
      </c>
      <c r="P92" s="4">
        <v>45813</v>
      </c>
      <c r="Q92" t="s">
        <v>34</v>
      </c>
      <c r="R92">
        <f>Table2[[#This Row],[End_Date]]-Table2[[#This Row],[Start_Date]]</f>
        <v>8</v>
      </c>
      <c r="S92" t="str">
        <f>TEXT(Table2[[#This Row],[Start_Date]],"MMM")</f>
        <v>May</v>
      </c>
      <c r="T92">
        <f>YEAR(Table2[[#This Row],[Start_Date]])</f>
        <v>2025</v>
      </c>
      <c r="U92">
        <f>Table2[[#This Row],[Campaign_Cost (₹)]]/Table2[[#This Row],[Reach]]</f>
        <v>0.39291582763393523</v>
      </c>
      <c r="V92">
        <f>Table2[[#This Row],[Revenue_Generated (₹)]]/Table2[[#This Row],[Reach]]</f>
        <v>1.6703305475187473</v>
      </c>
    </row>
    <row r="93" spans="1:22" x14ac:dyDescent="0.3">
      <c r="A93" t="s">
        <v>144</v>
      </c>
      <c r="B93" t="s">
        <v>36</v>
      </c>
      <c r="C93" t="s">
        <v>37</v>
      </c>
      <c r="D93" t="s">
        <v>46</v>
      </c>
      <c r="E93">
        <v>235030</v>
      </c>
      <c r="F93">
        <v>157340</v>
      </c>
      <c r="G93">
        <v>369921</v>
      </c>
      <c r="H93">
        <v>19518</v>
      </c>
      <c r="I93">
        <v>2096</v>
      </c>
      <c r="J93">
        <v>1708</v>
      </c>
      <c r="K93">
        <f t="shared" si="2"/>
        <v>14.822677005211643</v>
      </c>
      <c r="L93">
        <v>210274</v>
      </c>
      <c r="M93">
        <v>593915</v>
      </c>
      <c r="N93">
        <f t="shared" si="3"/>
        <v>182.448139094705</v>
      </c>
      <c r="O93" s="4">
        <v>45999</v>
      </c>
      <c r="P93" s="4">
        <v>46020</v>
      </c>
      <c r="Q93" t="s">
        <v>25</v>
      </c>
      <c r="R93">
        <f>Table2[[#This Row],[End_Date]]-Table2[[#This Row],[Start_Date]]</f>
        <v>21</v>
      </c>
      <c r="S93" t="str">
        <f>TEXT(Table2[[#This Row],[Start_Date]],"MMM")</f>
        <v>Dec</v>
      </c>
      <c r="T93">
        <f>YEAR(Table2[[#This Row],[Start_Date]])</f>
        <v>2025</v>
      </c>
      <c r="U93">
        <f>Table2[[#This Row],[Campaign_Cost (₹)]]/Table2[[#This Row],[Reach]]</f>
        <v>1.3364306597178086</v>
      </c>
      <c r="V93">
        <f>Table2[[#This Row],[Revenue_Generated (₹)]]/Table2[[#This Row],[Reach]]</f>
        <v>3.7747235286640395</v>
      </c>
    </row>
    <row r="94" spans="1:22" x14ac:dyDescent="0.3">
      <c r="A94" t="s">
        <v>145</v>
      </c>
      <c r="B94" t="s">
        <v>23</v>
      </c>
      <c r="C94" t="s">
        <v>37</v>
      </c>
      <c r="D94" t="s">
        <v>46</v>
      </c>
      <c r="E94">
        <v>193445</v>
      </c>
      <c r="F94">
        <v>87093</v>
      </c>
      <c r="G94">
        <v>154235</v>
      </c>
      <c r="H94">
        <v>9684</v>
      </c>
      <c r="I94">
        <v>570</v>
      </c>
      <c r="J94">
        <v>501</v>
      </c>
      <c r="K94">
        <f t="shared" si="2"/>
        <v>12.34886845096621</v>
      </c>
      <c r="L94">
        <v>16320</v>
      </c>
      <c r="M94">
        <v>47438</v>
      </c>
      <c r="N94">
        <f t="shared" si="3"/>
        <v>190.67401960784315</v>
      </c>
      <c r="O94" s="4">
        <v>45957</v>
      </c>
      <c r="P94" s="4">
        <v>45969</v>
      </c>
      <c r="Q94" t="s">
        <v>21</v>
      </c>
      <c r="R94">
        <f>Table2[[#This Row],[End_Date]]-Table2[[#This Row],[Start_Date]]</f>
        <v>12</v>
      </c>
      <c r="S94" t="str">
        <f>TEXT(Table2[[#This Row],[Start_Date]],"MMM")</f>
        <v>Oct</v>
      </c>
      <c r="T94">
        <f>YEAR(Table2[[#This Row],[Start_Date]])</f>
        <v>2025</v>
      </c>
      <c r="U94">
        <f>Table2[[#This Row],[Campaign_Cost (₹)]]/Table2[[#This Row],[Reach]]</f>
        <v>0.18738589783335055</v>
      </c>
      <c r="V94">
        <f>Table2[[#This Row],[Revenue_Generated (₹)]]/Table2[[#This Row],[Reach]]</f>
        <v>0.54468212141044625</v>
      </c>
    </row>
    <row r="95" spans="1:22" x14ac:dyDescent="0.3">
      <c r="A95" t="s">
        <v>146</v>
      </c>
      <c r="B95" t="s">
        <v>103</v>
      </c>
      <c r="C95" t="s">
        <v>37</v>
      </c>
      <c r="D95" t="s">
        <v>20</v>
      </c>
      <c r="E95">
        <v>1173630</v>
      </c>
      <c r="F95">
        <v>361733</v>
      </c>
      <c r="G95">
        <v>783559</v>
      </c>
      <c r="H95">
        <v>10835</v>
      </c>
      <c r="I95">
        <v>1037</v>
      </c>
      <c r="J95">
        <v>383</v>
      </c>
      <c r="K95">
        <f t="shared" si="2"/>
        <v>3.3878578951878873</v>
      </c>
      <c r="L95">
        <v>450642</v>
      </c>
      <c r="M95">
        <v>1999357</v>
      </c>
      <c r="N95">
        <f t="shared" si="3"/>
        <v>343.66858836948177</v>
      </c>
      <c r="O95" s="4">
        <v>45792</v>
      </c>
      <c r="P95" s="4">
        <v>45804</v>
      </c>
      <c r="Q95" t="s">
        <v>78</v>
      </c>
      <c r="R95">
        <f>Table2[[#This Row],[End_Date]]-Table2[[#This Row],[Start_Date]]</f>
        <v>12</v>
      </c>
      <c r="S95" t="str">
        <f>TEXT(Table2[[#This Row],[Start_Date]],"MMM")</f>
        <v>May</v>
      </c>
      <c r="T95">
        <f>YEAR(Table2[[#This Row],[Start_Date]])</f>
        <v>2025</v>
      </c>
      <c r="U95">
        <f>Table2[[#This Row],[Campaign_Cost (₹)]]/Table2[[#This Row],[Reach]]</f>
        <v>1.2457862567142064</v>
      </c>
      <c r="V95">
        <f>Table2[[#This Row],[Revenue_Generated (₹)]]/Table2[[#This Row],[Reach]]</f>
        <v>5.5271622992649272</v>
      </c>
    </row>
    <row r="96" spans="1:22" x14ac:dyDescent="0.3">
      <c r="A96" t="s">
        <v>147</v>
      </c>
      <c r="B96" t="s">
        <v>49</v>
      </c>
      <c r="C96" t="s">
        <v>37</v>
      </c>
      <c r="D96" t="s">
        <v>46</v>
      </c>
      <c r="E96">
        <v>1529460</v>
      </c>
      <c r="F96">
        <v>731589</v>
      </c>
      <c r="G96">
        <v>1988281</v>
      </c>
      <c r="H96">
        <v>94425</v>
      </c>
      <c r="I96">
        <v>5363</v>
      </c>
      <c r="J96">
        <v>8736</v>
      </c>
      <c r="K96">
        <f t="shared" si="2"/>
        <v>14.834011993072613</v>
      </c>
      <c r="L96">
        <v>144857</v>
      </c>
      <c r="M96">
        <v>474374</v>
      </c>
      <c r="N96">
        <f t="shared" si="3"/>
        <v>227.47744327164031</v>
      </c>
      <c r="O96" s="4">
        <v>45838</v>
      </c>
      <c r="P96" s="4">
        <v>45852</v>
      </c>
      <c r="Q96" t="s">
        <v>54</v>
      </c>
      <c r="R96">
        <f>Table2[[#This Row],[End_Date]]-Table2[[#This Row],[Start_Date]]</f>
        <v>14</v>
      </c>
      <c r="S96" t="str">
        <f>TEXT(Table2[[#This Row],[Start_Date]],"MMM")</f>
        <v>Jun</v>
      </c>
      <c r="T96">
        <f>YEAR(Table2[[#This Row],[Start_Date]])</f>
        <v>2025</v>
      </c>
      <c r="U96">
        <f>Table2[[#This Row],[Campaign_Cost (₹)]]/Table2[[#This Row],[Reach]]</f>
        <v>0.19800325045893255</v>
      </c>
      <c r="V96">
        <f>Table2[[#This Row],[Revenue_Generated (₹)]]/Table2[[#This Row],[Reach]]</f>
        <v>0.64841598219765473</v>
      </c>
    </row>
    <row r="97" spans="1:22" x14ac:dyDescent="0.3">
      <c r="A97" t="s">
        <v>148</v>
      </c>
      <c r="B97" t="s">
        <v>39</v>
      </c>
      <c r="C97" t="s">
        <v>37</v>
      </c>
      <c r="D97" t="s">
        <v>24</v>
      </c>
      <c r="E97">
        <v>1824517</v>
      </c>
      <c r="F97">
        <v>1368266</v>
      </c>
      <c r="G97">
        <v>2628574</v>
      </c>
      <c r="H97">
        <v>38310</v>
      </c>
      <c r="I97">
        <v>1301</v>
      </c>
      <c r="J97">
        <v>2062</v>
      </c>
      <c r="K97">
        <f t="shared" si="2"/>
        <v>3.045679714324554</v>
      </c>
      <c r="L97">
        <v>77188</v>
      </c>
      <c r="M97">
        <v>144392</v>
      </c>
      <c r="N97">
        <f t="shared" si="3"/>
        <v>87.065346945121007</v>
      </c>
      <c r="O97" s="4">
        <v>45985</v>
      </c>
      <c r="P97" s="4">
        <v>45993</v>
      </c>
      <c r="Q97" t="s">
        <v>78</v>
      </c>
      <c r="R97">
        <f>Table2[[#This Row],[End_Date]]-Table2[[#This Row],[Start_Date]]</f>
        <v>8</v>
      </c>
      <c r="S97" t="str">
        <f>TEXT(Table2[[#This Row],[Start_Date]],"MMM")</f>
        <v>Nov</v>
      </c>
      <c r="T97">
        <f>YEAR(Table2[[#This Row],[Start_Date]])</f>
        <v>2025</v>
      </c>
      <c r="U97">
        <f>Table2[[#This Row],[Campaign_Cost (₹)]]/Table2[[#This Row],[Reach]]</f>
        <v>5.6413007412301409E-2</v>
      </c>
      <c r="V97">
        <f>Table2[[#This Row],[Revenue_Generated (₹)]]/Table2[[#This Row],[Reach]]</f>
        <v>0.10552918803799846</v>
      </c>
    </row>
    <row r="98" spans="1:22" x14ac:dyDescent="0.3">
      <c r="A98" t="s">
        <v>149</v>
      </c>
      <c r="B98" t="s">
        <v>49</v>
      </c>
      <c r="C98" t="s">
        <v>43</v>
      </c>
      <c r="D98" t="s">
        <v>24</v>
      </c>
      <c r="E98">
        <v>1274071</v>
      </c>
      <c r="F98">
        <v>900576</v>
      </c>
      <c r="G98">
        <v>1133442</v>
      </c>
      <c r="H98">
        <v>114542</v>
      </c>
      <c r="I98">
        <v>10811</v>
      </c>
      <c r="J98">
        <v>2492</v>
      </c>
      <c r="K98">
        <f t="shared" si="2"/>
        <v>14.195914614646627</v>
      </c>
      <c r="L98">
        <v>171672</v>
      </c>
      <c r="M98">
        <v>562840</v>
      </c>
      <c r="N98">
        <f t="shared" si="3"/>
        <v>227.8577752924181</v>
      </c>
      <c r="O98" s="4">
        <v>46000</v>
      </c>
      <c r="P98" s="4">
        <v>46013</v>
      </c>
      <c r="Q98" t="s">
        <v>34</v>
      </c>
      <c r="R98">
        <f>Table2[[#This Row],[End_Date]]-Table2[[#This Row],[Start_Date]]</f>
        <v>13</v>
      </c>
      <c r="S98" t="str">
        <f>TEXT(Table2[[#This Row],[Start_Date]],"MMM")</f>
        <v>Dec</v>
      </c>
      <c r="T98">
        <f>YEAR(Table2[[#This Row],[Start_Date]])</f>
        <v>2025</v>
      </c>
      <c r="U98">
        <f>Table2[[#This Row],[Campaign_Cost (₹)]]/Table2[[#This Row],[Reach]]</f>
        <v>0.19062466687986354</v>
      </c>
      <c r="V98">
        <f>Table2[[#This Row],[Revenue_Generated (₹)]]/Table2[[#This Row],[Reach]]</f>
        <v>0.62497779199090364</v>
      </c>
    </row>
    <row r="99" spans="1:22" x14ac:dyDescent="0.3">
      <c r="A99" t="s">
        <v>150</v>
      </c>
      <c r="B99" t="s">
        <v>23</v>
      </c>
      <c r="C99" t="s">
        <v>37</v>
      </c>
      <c r="D99" t="s">
        <v>72</v>
      </c>
      <c r="E99">
        <v>262651</v>
      </c>
      <c r="F99">
        <v>124341</v>
      </c>
      <c r="G99">
        <v>253947</v>
      </c>
      <c r="H99">
        <v>3127</v>
      </c>
      <c r="I99">
        <v>335</v>
      </c>
      <c r="J99">
        <v>185</v>
      </c>
      <c r="K99">
        <f t="shared" si="2"/>
        <v>2.9330631087091148</v>
      </c>
      <c r="L99">
        <v>473648</v>
      </c>
      <c r="M99">
        <v>1577222</v>
      </c>
      <c r="N99">
        <f t="shared" si="3"/>
        <v>232.99454447184408</v>
      </c>
      <c r="O99" s="4">
        <v>46050</v>
      </c>
      <c r="P99" s="4">
        <v>46075</v>
      </c>
      <c r="Q99" t="s">
        <v>34</v>
      </c>
      <c r="R99">
        <f>Table2[[#This Row],[End_Date]]-Table2[[#This Row],[Start_Date]]</f>
        <v>25</v>
      </c>
      <c r="S99" t="str">
        <f>TEXT(Table2[[#This Row],[Start_Date]],"MMM")</f>
        <v>Jan</v>
      </c>
      <c r="T99">
        <f>YEAR(Table2[[#This Row],[Start_Date]])</f>
        <v>2026</v>
      </c>
      <c r="U99">
        <f>Table2[[#This Row],[Campaign_Cost (₹)]]/Table2[[#This Row],[Reach]]</f>
        <v>3.8092664527388393</v>
      </c>
      <c r="V99">
        <f>Table2[[#This Row],[Revenue_Generated (₹)]]/Table2[[#This Row],[Reach]]</f>
        <v>12.684649472016471</v>
      </c>
    </row>
    <row r="100" spans="1:22" x14ac:dyDescent="0.3">
      <c r="A100" t="s">
        <v>151</v>
      </c>
      <c r="B100" t="s">
        <v>49</v>
      </c>
      <c r="C100" t="s">
        <v>19</v>
      </c>
      <c r="D100" t="s">
        <v>40</v>
      </c>
      <c r="E100">
        <v>1892745</v>
      </c>
      <c r="F100">
        <v>954717</v>
      </c>
      <c r="G100">
        <v>2220091</v>
      </c>
      <c r="H100">
        <v>71684</v>
      </c>
      <c r="I100">
        <v>3915</v>
      </c>
      <c r="J100">
        <v>2122</v>
      </c>
      <c r="K100">
        <f t="shared" si="2"/>
        <v>8.1407369932660671</v>
      </c>
      <c r="L100">
        <v>384954</v>
      </c>
      <c r="M100">
        <v>1779758</v>
      </c>
      <c r="N100">
        <f t="shared" si="3"/>
        <v>362.33004462870889</v>
      </c>
      <c r="O100" s="4">
        <v>45665</v>
      </c>
      <c r="P100" s="4">
        <v>45688</v>
      </c>
      <c r="Q100" t="s">
        <v>21</v>
      </c>
      <c r="R100">
        <f>Table2[[#This Row],[End_Date]]-Table2[[#This Row],[Start_Date]]</f>
        <v>23</v>
      </c>
      <c r="S100" t="str">
        <f>TEXT(Table2[[#This Row],[Start_Date]],"MMM")</f>
        <v>Jan</v>
      </c>
      <c r="T100">
        <f>YEAR(Table2[[#This Row],[Start_Date]])</f>
        <v>2025</v>
      </c>
      <c r="U100">
        <f>Table2[[#This Row],[Campaign_Cost (₹)]]/Table2[[#This Row],[Reach]]</f>
        <v>0.40321267977840552</v>
      </c>
      <c r="V100">
        <f>Table2[[#This Row],[Revenue_Generated (₹)]]/Table2[[#This Row],[Reach]]</f>
        <v>1.8641733623681154</v>
      </c>
    </row>
    <row r="101" spans="1:22" x14ac:dyDescent="0.3">
      <c r="A101" t="s">
        <v>152</v>
      </c>
      <c r="B101" t="s">
        <v>32</v>
      </c>
      <c r="C101" t="s">
        <v>37</v>
      </c>
      <c r="D101" t="s">
        <v>72</v>
      </c>
      <c r="E101">
        <v>846767</v>
      </c>
      <c r="F101">
        <v>525831</v>
      </c>
      <c r="G101">
        <v>1231302</v>
      </c>
      <c r="H101">
        <v>17440</v>
      </c>
      <c r="I101">
        <v>920</v>
      </c>
      <c r="J101">
        <v>1640</v>
      </c>
      <c r="K101">
        <f t="shared" si="2"/>
        <v>3.803503406988177</v>
      </c>
      <c r="L101">
        <v>386400</v>
      </c>
      <c r="M101">
        <v>1149925</v>
      </c>
      <c r="N101">
        <f t="shared" si="3"/>
        <v>197.59963768115944</v>
      </c>
      <c r="O101" s="4">
        <v>46023</v>
      </c>
      <c r="P101" s="4">
        <v>46049</v>
      </c>
      <c r="Q101" t="s">
        <v>41</v>
      </c>
      <c r="R101">
        <f>Table2[[#This Row],[End_Date]]-Table2[[#This Row],[Start_Date]]</f>
        <v>26</v>
      </c>
      <c r="S101" t="str">
        <f>TEXT(Table2[[#This Row],[Start_Date]],"MMM")</f>
        <v>Jan</v>
      </c>
      <c r="T101">
        <f>YEAR(Table2[[#This Row],[Start_Date]])</f>
        <v>2026</v>
      </c>
      <c r="U101">
        <f>Table2[[#This Row],[Campaign_Cost (₹)]]/Table2[[#This Row],[Reach]]</f>
        <v>0.7348368582301158</v>
      </c>
      <c r="V101">
        <f>Table2[[#This Row],[Revenue_Generated (₹)]]/Table2[[#This Row],[Reach]]</f>
        <v>2.1868718276404397</v>
      </c>
    </row>
    <row r="102" spans="1:22" x14ac:dyDescent="0.3">
      <c r="A102" t="s">
        <v>153</v>
      </c>
      <c r="B102" t="s">
        <v>27</v>
      </c>
      <c r="C102" t="s">
        <v>43</v>
      </c>
      <c r="D102" t="s">
        <v>29</v>
      </c>
      <c r="E102">
        <v>795666</v>
      </c>
      <c r="F102">
        <v>199639</v>
      </c>
      <c r="G102">
        <v>332993</v>
      </c>
      <c r="H102">
        <v>21249</v>
      </c>
      <c r="I102">
        <v>1691</v>
      </c>
      <c r="J102">
        <v>1313</v>
      </c>
      <c r="K102">
        <f t="shared" si="2"/>
        <v>12.14842791238185</v>
      </c>
      <c r="L102">
        <v>50616</v>
      </c>
      <c r="M102">
        <v>135581</v>
      </c>
      <c r="N102">
        <f t="shared" si="3"/>
        <v>167.86194088825667</v>
      </c>
      <c r="O102" s="4">
        <v>45786</v>
      </c>
      <c r="P102" s="4">
        <v>45796</v>
      </c>
      <c r="Q102" t="s">
        <v>25</v>
      </c>
      <c r="R102">
        <f>Table2[[#This Row],[End_Date]]-Table2[[#This Row],[Start_Date]]</f>
        <v>10</v>
      </c>
      <c r="S102" t="str">
        <f>TEXT(Table2[[#This Row],[Start_Date]],"MMM")</f>
        <v>May</v>
      </c>
      <c r="T102">
        <f>YEAR(Table2[[#This Row],[Start_Date]])</f>
        <v>2025</v>
      </c>
      <c r="U102">
        <f>Table2[[#This Row],[Campaign_Cost (₹)]]/Table2[[#This Row],[Reach]]</f>
        <v>0.25353763543195468</v>
      </c>
      <c r="V102">
        <f>Table2[[#This Row],[Revenue_Generated (₹)]]/Table2[[#This Row],[Reach]]</f>
        <v>0.67913083115022621</v>
      </c>
    </row>
    <row r="103" spans="1:22" x14ac:dyDescent="0.3">
      <c r="A103" t="s">
        <v>154</v>
      </c>
      <c r="B103" t="s">
        <v>75</v>
      </c>
      <c r="C103" t="s">
        <v>33</v>
      </c>
      <c r="D103" t="s">
        <v>46</v>
      </c>
      <c r="E103">
        <v>247893</v>
      </c>
      <c r="F103">
        <v>163820</v>
      </c>
      <c r="G103">
        <v>252120</v>
      </c>
      <c r="H103">
        <v>6448</v>
      </c>
      <c r="I103">
        <v>933</v>
      </c>
      <c r="J103">
        <v>269</v>
      </c>
      <c r="K103">
        <f t="shared" si="2"/>
        <v>4.669759492125503</v>
      </c>
      <c r="L103">
        <v>35656</v>
      </c>
      <c r="M103">
        <v>47766</v>
      </c>
      <c r="N103">
        <f t="shared" si="3"/>
        <v>33.963428315010098</v>
      </c>
      <c r="O103" s="4">
        <v>46122</v>
      </c>
      <c r="P103" s="4">
        <v>46130</v>
      </c>
      <c r="Q103" t="s">
        <v>30</v>
      </c>
      <c r="R103">
        <f>Table2[[#This Row],[End_Date]]-Table2[[#This Row],[Start_Date]]</f>
        <v>8</v>
      </c>
      <c r="S103" t="str">
        <f>TEXT(Table2[[#This Row],[Start_Date]],"MMM")</f>
        <v>Apr</v>
      </c>
      <c r="T103">
        <f>YEAR(Table2[[#This Row],[Start_Date]])</f>
        <v>2026</v>
      </c>
      <c r="U103">
        <f>Table2[[#This Row],[Campaign_Cost (₹)]]/Table2[[#This Row],[Reach]]</f>
        <v>0.21765352215846662</v>
      </c>
      <c r="V103">
        <f>Table2[[#This Row],[Revenue_Generated (₹)]]/Table2[[#This Row],[Reach]]</f>
        <v>0.29157612013185202</v>
      </c>
    </row>
    <row r="104" spans="1:22" x14ac:dyDescent="0.3">
      <c r="A104" t="s">
        <v>155</v>
      </c>
      <c r="B104" t="s">
        <v>45</v>
      </c>
      <c r="C104" t="s">
        <v>28</v>
      </c>
      <c r="D104" t="s">
        <v>46</v>
      </c>
      <c r="E104">
        <v>1111162</v>
      </c>
      <c r="F104">
        <v>545819</v>
      </c>
      <c r="G104">
        <v>670677</v>
      </c>
      <c r="H104">
        <v>12769</v>
      </c>
      <c r="I104">
        <v>383</v>
      </c>
      <c r="J104">
        <v>844</v>
      </c>
      <c r="K104">
        <f t="shared" si="2"/>
        <v>2.5642200069986569</v>
      </c>
      <c r="L104">
        <v>141211</v>
      </c>
      <c r="M104">
        <v>408960</v>
      </c>
      <c r="N104">
        <f t="shared" si="3"/>
        <v>189.60916642471196</v>
      </c>
      <c r="O104" s="4">
        <v>45660</v>
      </c>
      <c r="P104" s="4">
        <v>45683</v>
      </c>
      <c r="Q104" t="s">
        <v>25</v>
      </c>
      <c r="R104">
        <f>Table2[[#This Row],[End_Date]]-Table2[[#This Row],[Start_Date]]</f>
        <v>23</v>
      </c>
      <c r="S104" t="str">
        <f>TEXT(Table2[[#This Row],[Start_Date]],"MMM")</f>
        <v>Jan</v>
      </c>
      <c r="T104">
        <f>YEAR(Table2[[#This Row],[Start_Date]])</f>
        <v>2025</v>
      </c>
      <c r="U104">
        <f>Table2[[#This Row],[Campaign_Cost (₹)]]/Table2[[#This Row],[Reach]]</f>
        <v>0.2587139692828575</v>
      </c>
      <c r="V104">
        <f>Table2[[#This Row],[Revenue_Generated (₹)]]/Table2[[#This Row],[Reach]]</f>
        <v>0.74925936986436892</v>
      </c>
    </row>
    <row r="105" spans="1:22" x14ac:dyDescent="0.3">
      <c r="A105" t="s">
        <v>156</v>
      </c>
      <c r="B105" t="s">
        <v>39</v>
      </c>
      <c r="C105" t="s">
        <v>33</v>
      </c>
      <c r="D105" t="s">
        <v>58</v>
      </c>
      <c r="E105">
        <v>800224</v>
      </c>
      <c r="F105">
        <v>640391</v>
      </c>
      <c r="G105">
        <v>1416657</v>
      </c>
      <c r="H105">
        <v>21028</v>
      </c>
      <c r="I105">
        <v>2364</v>
      </c>
      <c r="J105">
        <v>437</v>
      </c>
      <c r="K105">
        <f t="shared" si="2"/>
        <v>3.7210079467075587</v>
      </c>
      <c r="L105">
        <v>248699</v>
      </c>
      <c r="M105">
        <v>804084</v>
      </c>
      <c r="N105">
        <f t="shared" si="3"/>
        <v>223.31613717787366</v>
      </c>
      <c r="O105" s="4">
        <v>45720</v>
      </c>
      <c r="P105" s="4">
        <v>45732</v>
      </c>
      <c r="Q105" t="s">
        <v>47</v>
      </c>
      <c r="R105">
        <f>Table2[[#This Row],[End_Date]]-Table2[[#This Row],[Start_Date]]</f>
        <v>12</v>
      </c>
      <c r="S105" t="str">
        <f>TEXT(Table2[[#This Row],[Start_Date]],"MMM")</f>
        <v>Mar</v>
      </c>
      <c r="T105">
        <f>YEAR(Table2[[#This Row],[Start_Date]])</f>
        <v>2025</v>
      </c>
      <c r="U105">
        <f>Table2[[#This Row],[Campaign_Cost (₹)]]/Table2[[#This Row],[Reach]]</f>
        <v>0.38835492691183982</v>
      </c>
      <c r="V105">
        <f>Table2[[#This Row],[Revenue_Generated (₹)]]/Table2[[#This Row],[Reach]]</f>
        <v>1.255614148231315</v>
      </c>
    </row>
    <row r="106" spans="1:22" x14ac:dyDescent="0.3">
      <c r="A106" t="s">
        <v>157</v>
      </c>
      <c r="B106" t="s">
        <v>32</v>
      </c>
      <c r="C106" t="s">
        <v>19</v>
      </c>
      <c r="D106" t="s">
        <v>51</v>
      </c>
      <c r="E106">
        <v>105327</v>
      </c>
      <c r="F106">
        <v>41046</v>
      </c>
      <c r="G106">
        <v>98298</v>
      </c>
      <c r="H106">
        <v>6074</v>
      </c>
      <c r="I106">
        <v>495</v>
      </c>
      <c r="J106">
        <v>587</v>
      </c>
      <c r="K106">
        <f t="shared" si="2"/>
        <v>17.43409832870438</v>
      </c>
      <c r="L106">
        <v>470213</v>
      </c>
      <c r="M106">
        <v>1681491</v>
      </c>
      <c r="N106">
        <f t="shared" si="3"/>
        <v>257.60198037910482</v>
      </c>
      <c r="O106" s="4">
        <v>45785</v>
      </c>
      <c r="P106" s="4">
        <v>45800</v>
      </c>
      <c r="Q106" t="s">
        <v>54</v>
      </c>
      <c r="R106">
        <f>Table2[[#This Row],[End_Date]]-Table2[[#This Row],[Start_Date]]</f>
        <v>15</v>
      </c>
      <c r="S106" t="str">
        <f>TEXT(Table2[[#This Row],[Start_Date]],"MMM")</f>
        <v>May</v>
      </c>
      <c r="T106">
        <f>YEAR(Table2[[#This Row],[Start_Date]])</f>
        <v>2025</v>
      </c>
      <c r="U106">
        <f>Table2[[#This Row],[Campaign_Cost (₹)]]/Table2[[#This Row],[Reach]]</f>
        <v>11.455756955610779</v>
      </c>
      <c r="V106">
        <f>Table2[[#This Row],[Revenue_Generated (₹)]]/Table2[[#This Row],[Reach]]</f>
        <v>40.966013740681184</v>
      </c>
    </row>
    <row r="107" spans="1:22" x14ac:dyDescent="0.3">
      <c r="A107" t="s">
        <v>158</v>
      </c>
      <c r="B107" t="s">
        <v>39</v>
      </c>
      <c r="C107" t="s">
        <v>43</v>
      </c>
      <c r="D107" t="s">
        <v>24</v>
      </c>
      <c r="E107">
        <v>595436</v>
      </c>
      <c r="F107">
        <v>494012</v>
      </c>
      <c r="G107">
        <v>674335</v>
      </c>
      <c r="H107">
        <v>52582</v>
      </c>
      <c r="I107">
        <v>2705</v>
      </c>
      <c r="J107">
        <v>2389</v>
      </c>
      <c r="K107">
        <f t="shared" si="2"/>
        <v>11.67502003999903</v>
      </c>
      <c r="L107">
        <v>333673</v>
      </c>
      <c r="M107">
        <v>511009</v>
      </c>
      <c r="N107">
        <f t="shared" si="3"/>
        <v>53.146643570201967</v>
      </c>
      <c r="O107" s="4">
        <v>45747</v>
      </c>
      <c r="P107" s="4">
        <v>45761</v>
      </c>
      <c r="Q107" t="s">
        <v>21</v>
      </c>
      <c r="R107">
        <f>Table2[[#This Row],[End_Date]]-Table2[[#This Row],[Start_Date]]</f>
        <v>14</v>
      </c>
      <c r="S107" t="str">
        <f>TEXT(Table2[[#This Row],[Start_Date]],"MMM")</f>
        <v>Mar</v>
      </c>
      <c r="T107">
        <f>YEAR(Table2[[#This Row],[Start_Date]])</f>
        <v>2025</v>
      </c>
      <c r="U107">
        <f>Table2[[#This Row],[Campaign_Cost (₹)]]/Table2[[#This Row],[Reach]]</f>
        <v>0.67543500967587833</v>
      </c>
      <c r="V107">
        <f>Table2[[#This Row],[Revenue_Generated (₹)]]/Table2[[#This Row],[Reach]]</f>
        <v>1.0344060468166765</v>
      </c>
    </row>
    <row r="108" spans="1:22" x14ac:dyDescent="0.3">
      <c r="A108" t="s">
        <v>159</v>
      </c>
      <c r="B108" t="s">
        <v>61</v>
      </c>
      <c r="C108" t="s">
        <v>19</v>
      </c>
      <c r="D108" t="s">
        <v>29</v>
      </c>
      <c r="E108">
        <v>595271</v>
      </c>
      <c r="F108">
        <v>194165</v>
      </c>
      <c r="G108">
        <v>504732</v>
      </c>
      <c r="H108">
        <v>27678</v>
      </c>
      <c r="I108">
        <v>3617</v>
      </c>
      <c r="J108">
        <v>2699</v>
      </c>
      <c r="K108">
        <f t="shared" si="2"/>
        <v>17.507789766435764</v>
      </c>
      <c r="L108">
        <v>208931</v>
      </c>
      <c r="M108">
        <v>835270</v>
      </c>
      <c r="N108">
        <f t="shared" si="3"/>
        <v>299.78270338054188</v>
      </c>
      <c r="O108" s="4">
        <v>46075</v>
      </c>
      <c r="P108" s="4">
        <v>46090</v>
      </c>
      <c r="Q108" t="s">
        <v>41</v>
      </c>
      <c r="R108">
        <f>Table2[[#This Row],[End_Date]]-Table2[[#This Row],[Start_Date]]</f>
        <v>15</v>
      </c>
      <c r="S108" t="str">
        <f>TEXT(Table2[[#This Row],[Start_Date]],"MMM")</f>
        <v>Feb</v>
      </c>
      <c r="T108">
        <f>YEAR(Table2[[#This Row],[Start_Date]])</f>
        <v>2026</v>
      </c>
      <c r="U108">
        <f>Table2[[#This Row],[Campaign_Cost (₹)]]/Table2[[#This Row],[Reach]]</f>
        <v>1.0760487214482528</v>
      </c>
      <c r="V108">
        <f>Table2[[#This Row],[Revenue_Generated (₹)]]/Table2[[#This Row],[Reach]]</f>
        <v>4.3018566682975816</v>
      </c>
    </row>
    <row r="109" spans="1:22" x14ac:dyDescent="0.3">
      <c r="A109" t="s">
        <v>160</v>
      </c>
      <c r="B109" t="s">
        <v>53</v>
      </c>
      <c r="C109" t="s">
        <v>19</v>
      </c>
      <c r="D109" t="s">
        <v>51</v>
      </c>
      <c r="E109">
        <v>1113588</v>
      </c>
      <c r="F109">
        <v>725164</v>
      </c>
      <c r="G109">
        <v>1324771</v>
      </c>
      <c r="H109">
        <v>99679</v>
      </c>
      <c r="I109">
        <v>7709</v>
      </c>
      <c r="J109">
        <v>2180</v>
      </c>
      <c r="K109">
        <f t="shared" si="2"/>
        <v>15.109409733522346</v>
      </c>
      <c r="L109">
        <v>343703</v>
      </c>
      <c r="M109">
        <v>1167397</v>
      </c>
      <c r="N109">
        <f t="shared" si="3"/>
        <v>239.6528398064608</v>
      </c>
      <c r="O109" s="4">
        <v>45997</v>
      </c>
      <c r="P109" s="4">
        <v>46011</v>
      </c>
      <c r="Q109" t="s">
        <v>41</v>
      </c>
      <c r="R109">
        <f>Table2[[#This Row],[End_Date]]-Table2[[#This Row],[Start_Date]]</f>
        <v>14</v>
      </c>
      <c r="S109" t="str">
        <f>TEXT(Table2[[#This Row],[Start_Date]],"MMM")</f>
        <v>Dec</v>
      </c>
      <c r="T109">
        <f>YEAR(Table2[[#This Row],[Start_Date]])</f>
        <v>2025</v>
      </c>
      <c r="U109">
        <f>Table2[[#This Row],[Campaign_Cost (₹)]]/Table2[[#This Row],[Reach]]</f>
        <v>0.47396588909543219</v>
      </c>
      <c r="V109">
        <f>Table2[[#This Row],[Revenue_Generated (₹)]]/Table2[[#This Row],[Reach]]</f>
        <v>1.609838602026576</v>
      </c>
    </row>
    <row r="110" spans="1:22" x14ac:dyDescent="0.3">
      <c r="A110" t="s">
        <v>161</v>
      </c>
      <c r="B110" t="s">
        <v>53</v>
      </c>
      <c r="C110" t="s">
        <v>28</v>
      </c>
      <c r="D110" t="s">
        <v>20</v>
      </c>
      <c r="E110">
        <v>1609491</v>
      </c>
      <c r="F110">
        <v>1085841</v>
      </c>
      <c r="G110">
        <v>2024375</v>
      </c>
      <c r="H110">
        <v>139122</v>
      </c>
      <c r="I110">
        <v>18859</v>
      </c>
      <c r="J110">
        <v>11433</v>
      </c>
      <c r="K110">
        <f t="shared" si="2"/>
        <v>15.602100123314555</v>
      </c>
      <c r="L110">
        <v>449938</v>
      </c>
      <c r="M110">
        <v>952252</v>
      </c>
      <c r="N110">
        <f t="shared" si="3"/>
        <v>111.6407149429477</v>
      </c>
      <c r="O110" s="4">
        <v>45745</v>
      </c>
      <c r="P110" s="4">
        <v>45757</v>
      </c>
      <c r="Q110" t="s">
        <v>34</v>
      </c>
      <c r="R110">
        <f>Table2[[#This Row],[End_Date]]-Table2[[#This Row],[Start_Date]]</f>
        <v>12</v>
      </c>
      <c r="S110" t="str">
        <f>TEXT(Table2[[#This Row],[Start_Date]],"MMM")</f>
        <v>Mar</v>
      </c>
      <c r="T110">
        <f>YEAR(Table2[[#This Row],[Start_Date]])</f>
        <v>2025</v>
      </c>
      <c r="U110">
        <f>Table2[[#This Row],[Campaign_Cost (₹)]]/Table2[[#This Row],[Reach]]</f>
        <v>0.41436821781457872</v>
      </c>
      <c r="V110">
        <f>Table2[[#This Row],[Revenue_Generated (₹)]]/Table2[[#This Row],[Reach]]</f>
        <v>0.87697185867912519</v>
      </c>
    </row>
    <row r="111" spans="1:22" x14ac:dyDescent="0.3">
      <c r="A111" t="s">
        <v>162</v>
      </c>
      <c r="B111" t="s">
        <v>27</v>
      </c>
      <c r="C111" t="s">
        <v>33</v>
      </c>
      <c r="D111" t="s">
        <v>29</v>
      </c>
      <c r="E111">
        <v>1577395</v>
      </c>
      <c r="F111">
        <v>496395</v>
      </c>
      <c r="G111">
        <v>674504</v>
      </c>
      <c r="H111">
        <v>34529</v>
      </c>
      <c r="I111">
        <v>2359</v>
      </c>
      <c r="J111">
        <v>1616</v>
      </c>
      <c r="K111">
        <f t="shared" si="2"/>
        <v>7.7567259944197664</v>
      </c>
      <c r="L111">
        <v>95394</v>
      </c>
      <c r="M111">
        <v>286699</v>
      </c>
      <c r="N111">
        <f t="shared" si="3"/>
        <v>200.54196280688515</v>
      </c>
      <c r="O111" s="4">
        <v>45806</v>
      </c>
      <c r="P111" s="4">
        <v>45821</v>
      </c>
      <c r="Q111" t="s">
        <v>41</v>
      </c>
      <c r="R111">
        <f>Table2[[#This Row],[End_Date]]-Table2[[#This Row],[Start_Date]]</f>
        <v>15</v>
      </c>
      <c r="S111" t="str">
        <f>TEXT(Table2[[#This Row],[Start_Date]],"MMM")</f>
        <v>May</v>
      </c>
      <c r="T111">
        <f>YEAR(Table2[[#This Row],[Start_Date]])</f>
        <v>2025</v>
      </c>
      <c r="U111">
        <f>Table2[[#This Row],[Campaign_Cost (₹)]]/Table2[[#This Row],[Reach]]</f>
        <v>0.19217357145015562</v>
      </c>
      <c r="V111">
        <f>Table2[[#This Row],[Revenue_Generated (₹)]]/Table2[[#This Row],[Reach]]</f>
        <v>0.57756222363238952</v>
      </c>
    </row>
    <row r="112" spans="1:22" x14ac:dyDescent="0.3">
      <c r="A112" t="s">
        <v>163</v>
      </c>
      <c r="B112" t="s">
        <v>36</v>
      </c>
      <c r="C112" t="s">
        <v>37</v>
      </c>
      <c r="D112" t="s">
        <v>51</v>
      </c>
      <c r="E112">
        <v>166906</v>
      </c>
      <c r="F112">
        <v>91013</v>
      </c>
      <c r="G112">
        <v>267350</v>
      </c>
      <c r="H112">
        <v>5784</v>
      </c>
      <c r="I112">
        <v>478</v>
      </c>
      <c r="J112">
        <v>361</v>
      </c>
      <c r="K112">
        <f t="shared" si="2"/>
        <v>7.2769824091063917</v>
      </c>
      <c r="L112">
        <v>162031</v>
      </c>
      <c r="M112">
        <v>560511</v>
      </c>
      <c r="N112">
        <f t="shared" si="3"/>
        <v>245.92824829816516</v>
      </c>
      <c r="O112" s="4">
        <v>46012</v>
      </c>
      <c r="P112" s="4">
        <v>46023</v>
      </c>
      <c r="Q112" t="s">
        <v>78</v>
      </c>
      <c r="R112">
        <f>Table2[[#This Row],[End_Date]]-Table2[[#This Row],[Start_Date]]</f>
        <v>11</v>
      </c>
      <c r="S112" t="str">
        <f>TEXT(Table2[[#This Row],[Start_Date]],"MMM")</f>
        <v>Dec</v>
      </c>
      <c r="T112">
        <f>YEAR(Table2[[#This Row],[Start_Date]])</f>
        <v>2025</v>
      </c>
      <c r="U112">
        <f>Table2[[#This Row],[Campaign_Cost (₹)]]/Table2[[#This Row],[Reach]]</f>
        <v>1.7803061101161373</v>
      </c>
      <c r="V112">
        <f>Table2[[#This Row],[Revenue_Generated (₹)]]/Table2[[#This Row],[Reach]]</f>
        <v>6.1585817410699573</v>
      </c>
    </row>
    <row r="113" spans="1:22" x14ac:dyDescent="0.3">
      <c r="A113" t="s">
        <v>164</v>
      </c>
      <c r="B113" t="s">
        <v>36</v>
      </c>
      <c r="C113" t="s">
        <v>28</v>
      </c>
      <c r="D113" t="s">
        <v>40</v>
      </c>
      <c r="E113">
        <v>1263482</v>
      </c>
      <c r="F113">
        <v>1003495</v>
      </c>
      <c r="G113">
        <v>1777670</v>
      </c>
      <c r="H113">
        <v>80905</v>
      </c>
      <c r="I113">
        <v>6529</v>
      </c>
      <c r="J113">
        <v>4606</v>
      </c>
      <c r="K113">
        <f t="shared" si="2"/>
        <v>9.1719440555259357</v>
      </c>
      <c r="L113">
        <v>295167</v>
      </c>
      <c r="M113">
        <v>829902</v>
      </c>
      <c r="N113">
        <f t="shared" si="3"/>
        <v>181.16354470520076</v>
      </c>
      <c r="O113" s="4">
        <v>45764</v>
      </c>
      <c r="P113" s="4">
        <v>45790</v>
      </c>
      <c r="Q113" t="s">
        <v>30</v>
      </c>
      <c r="R113">
        <f>Table2[[#This Row],[End_Date]]-Table2[[#This Row],[Start_Date]]</f>
        <v>26</v>
      </c>
      <c r="S113" t="str">
        <f>TEXT(Table2[[#This Row],[Start_Date]],"MMM")</f>
        <v>Apr</v>
      </c>
      <c r="T113">
        <f>YEAR(Table2[[#This Row],[Start_Date]])</f>
        <v>2025</v>
      </c>
      <c r="U113">
        <f>Table2[[#This Row],[Campaign_Cost (₹)]]/Table2[[#This Row],[Reach]]</f>
        <v>0.29413898425004609</v>
      </c>
      <c r="V113">
        <f>Table2[[#This Row],[Revenue_Generated (₹)]]/Table2[[#This Row],[Reach]]</f>
        <v>0.82701159447730188</v>
      </c>
    </row>
    <row r="114" spans="1:22" x14ac:dyDescent="0.3">
      <c r="A114" t="s">
        <v>165</v>
      </c>
      <c r="B114" t="s">
        <v>18</v>
      </c>
      <c r="C114" t="s">
        <v>28</v>
      </c>
      <c r="D114" t="s">
        <v>29</v>
      </c>
      <c r="E114">
        <v>1153743</v>
      </c>
      <c r="F114">
        <v>909501</v>
      </c>
      <c r="G114">
        <v>1637635</v>
      </c>
      <c r="H114">
        <v>42406</v>
      </c>
      <c r="I114">
        <v>5940</v>
      </c>
      <c r="J114">
        <v>1564</v>
      </c>
      <c r="K114">
        <f t="shared" si="2"/>
        <v>5.4876245325733564</v>
      </c>
      <c r="L114">
        <v>405196</v>
      </c>
      <c r="M114">
        <v>457440</v>
      </c>
      <c r="N114">
        <f t="shared" si="3"/>
        <v>12.893513262717301</v>
      </c>
      <c r="O114" s="4">
        <v>46138</v>
      </c>
      <c r="P114" s="4">
        <v>46151</v>
      </c>
      <c r="Q114" t="s">
        <v>21</v>
      </c>
      <c r="R114">
        <f>Table2[[#This Row],[End_Date]]-Table2[[#This Row],[Start_Date]]</f>
        <v>13</v>
      </c>
      <c r="S114" t="str">
        <f>TEXT(Table2[[#This Row],[Start_Date]],"MMM")</f>
        <v>Apr</v>
      </c>
      <c r="T114">
        <f>YEAR(Table2[[#This Row],[Start_Date]])</f>
        <v>2026</v>
      </c>
      <c r="U114">
        <f>Table2[[#This Row],[Campaign_Cost (₹)]]/Table2[[#This Row],[Reach]]</f>
        <v>0.4455146283511508</v>
      </c>
      <c r="V114">
        <f>Table2[[#This Row],[Revenue_Generated (₹)]]/Table2[[#This Row],[Reach]]</f>
        <v>0.50295711604495208</v>
      </c>
    </row>
    <row r="115" spans="1:22" x14ac:dyDescent="0.3">
      <c r="A115" t="s">
        <v>166</v>
      </c>
      <c r="B115" t="s">
        <v>75</v>
      </c>
      <c r="C115" t="s">
        <v>28</v>
      </c>
      <c r="D115" t="s">
        <v>29</v>
      </c>
      <c r="E115">
        <v>1838082</v>
      </c>
      <c r="F115">
        <v>1189861</v>
      </c>
      <c r="G115">
        <v>1801476</v>
      </c>
      <c r="H115">
        <v>52300</v>
      </c>
      <c r="I115">
        <v>6179</v>
      </c>
      <c r="J115">
        <v>4225</v>
      </c>
      <c r="K115">
        <f t="shared" si="2"/>
        <v>5.2698592524673051</v>
      </c>
      <c r="L115">
        <v>253808</v>
      </c>
      <c r="M115">
        <v>479602</v>
      </c>
      <c r="N115">
        <f t="shared" si="3"/>
        <v>88.962522851919559</v>
      </c>
      <c r="O115" s="4">
        <v>45774</v>
      </c>
      <c r="P115" s="4">
        <v>45785</v>
      </c>
      <c r="Q115" t="s">
        <v>30</v>
      </c>
      <c r="R115">
        <f>Table2[[#This Row],[End_Date]]-Table2[[#This Row],[Start_Date]]</f>
        <v>11</v>
      </c>
      <c r="S115" t="str">
        <f>TEXT(Table2[[#This Row],[Start_Date]],"MMM")</f>
        <v>Apr</v>
      </c>
      <c r="T115">
        <f>YEAR(Table2[[#This Row],[Start_Date]])</f>
        <v>2025</v>
      </c>
      <c r="U115">
        <f>Table2[[#This Row],[Campaign_Cost (₹)]]/Table2[[#This Row],[Reach]]</f>
        <v>0.21330894953276056</v>
      </c>
      <c r="V115">
        <f>Table2[[#This Row],[Revenue_Generated (₹)]]/Table2[[#This Row],[Reach]]</f>
        <v>0.40307397250603222</v>
      </c>
    </row>
    <row r="116" spans="1:22" x14ac:dyDescent="0.3">
      <c r="A116" t="s">
        <v>167</v>
      </c>
      <c r="B116" t="s">
        <v>36</v>
      </c>
      <c r="C116" t="s">
        <v>37</v>
      </c>
      <c r="D116" t="s">
        <v>46</v>
      </c>
      <c r="E116">
        <v>1257775</v>
      </c>
      <c r="F116">
        <v>561345</v>
      </c>
      <c r="G116">
        <v>1325233</v>
      </c>
      <c r="H116">
        <v>44385</v>
      </c>
      <c r="I116">
        <v>4325</v>
      </c>
      <c r="J116">
        <v>3903</v>
      </c>
      <c r="K116">
        <f t="shared" si="2"/>
        <v>9.3726674326839987</v>
      </c>
      <c r="L116">
        <v>383343</v>
      </c>
      <c r="M116">
        <v>1475542</v>
      </c>
      <c r="N116">
        <f t="shared" si="3"/>
        <v>284.91429346564303</v>
      </c>
      <c r="O116" s="4">
        <v>45983</v>
      </c>
      <c r="P116" s="4">
        <v>46012</v>
      </c>
      <c r="Q116" t="s">
        <v>30</v>
      </c>
      <c r="R116">
        <f>Table2[[#This Row],[End_Date]]-Table2[[#This Row],[Start_Date]]</f>
        <v>29</v>
      </c>
      <c r="S116" t="str">
        <f>TEXT(Table2[[#This Row],[Start_Date]],"MMM")</f>
        <v>Nov</v>
      </c>
      <c r="T116">
        <f>YEAR(Table2[[#This Row],[Start_Date]])</f>
        <v>2025</v>
      </c>
      <c r="U116">
        <f>Table2[[#This Row],[Campaign_Cost (₹)]]/Table2[[#This Row],[Reach]]</f>
        <v>0.68290088982711172</v>
      </c>
      <c r="V116">
        <f>Table2[[#This Row],[Revenue_Generated (₹)]]/Table2[[#This Row],[Reach]]</f>
        <v>2.6285831351486162</v>
      </c>
    </row>
    <row r="117" spans="1:22" x14ac:dyDescent="0.3">
      <c r="A117" t="s">
        <v>168</v>
      </c>
      <c r="B117" t="s">
        <v>53</v>
      </c>
      <c r="C117" t="s">
        <v>28</v>
      </c>
      <c r="D117" t="s">
        <v>58</v>
      </c>
      <c r="E117">
        <v>1122639</v>
      </c>
      <c r="F117">
        <v>943573</v>
      </c>
      <c r="G117">
        <v>1634296</v>
      </c>
      <c r="H117">
        <v>90921</v>
      </c>
      <c r="I117">
        <v>3600</v>
      </c>
      <c r="J117">
        <v>5062</v>
      </c>
      <c r="K117">
        <f t="shared" si="2"/>
        <v>10.553820425128739</v>
      </c>
      <c r="L117">
        <v>420520</v>
      </c>
      <c r="M117">
        <v>1984189</v>
      </c>
      <c r="N117">
        <f t="shared" si="3"/>
        <v>371.84176733567961</v>
      </c>
      <c r="O117" s="4">
        <v>45942</v>
      </c>
      <c r="P117" s="4">
        <v>45969</v>
      </c>
      <c r="Q117" t="s">
        <v>34</v>
      </c>
      <c r="R117">
        <f>Table2[[#This Row],[End_Date]]-Table2[[#This Row],[Start_Date]]</f>
        <v>27</v>
      </c>
      <c r="S117" t="str">
        <f>TEXT(Table2[[#This Row],[Start_Date]],"MMM")</f>
        <v>Oct</v>
      </c>
      <c r="T117">
        <f>YEAR(Table2[[#This Row],[Start_Date]])</f>
        <v>2025</v>
      </c>
      <c r="U117">
        <f>Table2[[#This Row],[Campaign_Cost (₹)]]/Table2[[#This Row],[Reach]]</f>
        <v>0.44566769078810015</v>
      </c>
      <c r="V117">
        <f>Table2[[#This Row],[Revenue_Generated (₹)]]/Table2[[#This Row],[Reach]]</f>
        <v>2.1028463086586835</v>
      </c>
    </row>
    <row r="118" spans="1:22" x14ac:dyDescent="0.3">
      <c r="A118" t="s">
        <v>169</v>
      </c>
      <c r="B118" t="s">
        <v>36</v>
      </c>
      <c r="C118" t="s">
        <v>28</v>
      </c>
      <c r="D118" t="s">
        <v>72</v>
      </c>
      <c r="E118">
        <v>1241861</v>
      </c>
      <c r="F118">
        <v>479126</v>
      </c>
      <c r="G118">
        <v>580857</v>
      </c>
      <c r="H118">
        <v>45241</v>
      </c>
      <c r="I118">
        <v>5155</v>
      </c>
      <c r="J118">
        <v>1133</v>
      </c>
      <c r="K118">
        <f t="shared" si="2"/>
        <v>10.754791015307038</v>
      </c>
      <c r="L118">
        <v>12324</v>
      </c>
      <c r="M118">
        <v>50688</v>
      </c>
      <c r="N118">
        <f t="shared" si="3"/>
        <v>311.29503407984419</v>
      </c>
      <c r="O118" s="4">
        <v>45909</v>
      </c>
      <c r="P118" s="4">
        <v>45939</v>
      </c>
      <c r="Q118" t="s">
        <v>30</v>
      </c>
      <c r="R118">
        <f>Table2[[#This Row],[End_Date]]-Table2[[#This Row],[Start_Date]]</f>
        <v>30</v>
      </c>
      <c r="S118" t="str">
        <f>TEXT(Table2[[#This Row],[Start_Date]],"MMM")</f>
        <v>Sep</v>
      </c>
      <c r="T118">
        <f>YEAR(Table2[[#This Row],[Start_Date]])</f>
        <v>2025</v>
      </c>
      <c r="U118">
        <f>Table2[[#This Row],[Campaign_Cost (₹)]]/Table2[[#This Row],[Reach]]</f>
        <v>2.5721835174880928E-2</v>
      </c>
      <c r="V118">
        <f>Table2[[#This Row],[Revenue_Generated (₹)]]/Table2[[#This Row],[Reach]]</f>
        <v>0.10579263074848787</v>
      </c>
    </row>
    <row r="119" spans="1:22" x14ac:dyDescent="0.3">
      <c r="A119" t="s">
        <v>170</v>
      </c>
      <c r="B119" t="s">
        <v>80</v>
      </c>
      <c r="C119" t="s">
        <v>37</v>
      </c>
      <c r="D119" t="s">
        <v>51</v>
      </c>
      <c r="E119">
        <v>1917997</v>
      </c>
      <c r="F119">
        <v>782127</v>
      </c>
      <c r="G119">
        <v>1417185</v>
      </c>
      <c r="H119">
        <v>91504</v>
      </c>
      <c r="I119">
        <v>10548</v>
      </c>
      <c r="J119">
        <v>5945</v>
      </c>
      <c r="K119">
        <f t="shared" si="2"/>
        <v>13.808115561794951</v>
      </c>
      <c r="L119">
        <v>393402</v>
      </c>
      <c r="M119">
        <v>734548</v>
      </c>
      <c r="N119">
        <f t="shared" si="3"/>
        <v>86.716895186094632</v>
      </c>
      <c r="O119" s="4">
        <v>45789</v>
      </c>
      <c r="P119" s="4">
        <v>45800</v>
      </c>
      <c r="Q119" t="s">
        <v>34</v>
      </c>
      <c r="R119">
        <f>Table2[[#This Row],[End_Date]]-Table2[[#This Row],[Start_Date]]</f>
        <v>11</v>
      </c>
      <c r="S119" t="str">
        <f>TEXT(Table2[[#This Row],[Start_Date]],"MMM")</f>
        <v>May</v>
      </c>
      <c r="T119">
        <f>YEAR(Table2[[#This Row],[Start_Date]])</f>
        <v>2025</v>
      </c>
      <c r="U119">
        <f>Table2[[#This Row],[Campaign_Cost (₹)]]/Table2[[#This Row],[Reach]]</f>
        <v>0.50298992363132844</v>
      </c>
      <c r="V119">
        <f>Table2[[#This Row],[Revenue_Generated (₹)]]/Table2[[#This Row],[Reach]]</f>
        <v>0.93916716850332493</v>
      </c>
    </row>
    <row r="120" spans="1:22" x14ac:dyDescent="0.3">
      <c r="A120" t="s">
        <v>171</v>
      </c>
      <c r="B120" t="s">
        <v>18</v>
      </c>
      <c r="C120" t="s">
        <v>43</v>
      </c>
      <c r="D120" t="s">
        <v>29</v>
      </c>
      <c r="E120">
        <v>937483</v>
      </c>
      <c r="F120">
        <v>818266</v>
      </c>
      <c r="G120">
        <v>1676473</v>
      </c>
      <c r="H120">
        <v>54061</v>
      </c>
      <c r="I120">
        <v>5698</v>
      </c>
      <c r="J120">
        <v>5123</v>
      </c>
      <c r="K120">
        <f t="shared" si="2"/>
        <v>7.9292063949864708</v>
      </c>
      <c r="L120">
        <v>59916</v>
      </c>
      <c r="M120">
        <v>82941</v>
      </c>
      <c r="N120">
        <f t="shared" si="3"/>
        <v>38.42880032044863</v>
      </c>
      <c r="O120" s="4">
        <v>46016</v>
      </c>
      <c r="P120" s="4">
        <v>46041</v>
      </c>
      <c r="Q120" t="s">
        <v>30</v>
      </c>
      <c r="R120">
        <f>Table2[[#This Row],[End_Date]]-Table2[[#This Row],[Start_Date]]</f>
        <v>25</v>
      </c>
      <c r="S120" t="str">
        <f>TEXT(Table2[[#This Row],[Start_Date]],"MMM")</f>
        <v>Dec</v>
      </c>
      <c r="T120">
        <f>YEAR(Table2[[#This Row],[Start_Date]])</f>
        <v>2025</v>
      </c>
      <c r="U120">
        <f>Table2[[#This Row],[Campaign_Cost (₹)]]/Table2[[#This Row],[Reach]]</f>
        <v>7.3223132819889861E-2</v>
      </c>
      <c r="V120">
        <f>Table2[[#This Row],[Revenue_Generated (₹)]]/Table2[[#This Row],[Reach]]</f>
        <v>0.10136190431962222</v>
      </c>
    </row>
    <row r="121" spans="1:22" x14ac:dyDescent="0.3">
      <c r="A121" t="s">
        <v>172</v>
      </c>
      <c r="B121" t="s">
        <v>80</v>
      </c>
      <c r="C121" t="s">
        <v>28</v>
      </c>
      <c r="D121" t="s">
        <v>58</v>
      </c>
      <c r="E121">
        <v>531707</v>
      </c>
      <c r="F121">
        <v>333707</v>
      </c>
      <c r="G121">
        <v>426047</v>
      </c>
      <c r="H121">
        <v>42371</v>
      </c>
      <c r="I121">
        <v>2605</v>
      </c>
      <c r="J121">
        <v>1693</v>
      </c>
      <c r="K121">
        <f t="shared" si="2"/>
        <v>13.985022789453023</v>
      </c>
      <c r="L121">
        <v>144068</v>
      </c>
      <c r="M121">
        <v>330305</v>
      </c>
      <c r="N121">
        <f t="shared" si="3"/>
        <v>129.27020573618015</v>
      </c>
      <c r="O121" s="4">
        <v>45696</v>
      </c>
      <c r="P121" s="4">
        <v>45725</v>
      </c>
      <c r="Q121" t="s">
        <v>34</v>
      </c>
      <c r="R121">
        <f>Table2[[#This Row],[End_Date]]-Table2[[#This Row],[Start_Date]]</f>
        <v>29</v>
      </c>
      <c r="S121" t="str">
        <f>TEXT(Table2[[#This Row],[Start_Date]],"MMM")</f>
        <v>Feb</v>
      </c>
      <c r="T121">
        <f>YEAR(Table2[[#This Row],[Start_Date]])</f>
        <v>2025</v>
      </c>
      <c r="U121">
        <f>Table2[[#This Row],[Campaign_Cost (₹)]]/Table2[[#This Row],[Reach]]</f>
        <v>0.43172004183310508</v>
      </c>
      <c r="V121">
        <f>Table2[[#This Row],[Revenue_Generated (₹)]]/Table2[[#This Row],[Reach]]</f>
        <v>0.98980542811508299</v>
      </c>
    </row>
    <row r="122" spans="1:22" x14ac:dyDescent="0.3">
      <c r="A122" t="s">
        <v>173</v>
      </c>
      <c r="B122" t="s">
        <v>45</v>
      </c>
      <c r="C122" t="s">
        <v>19</v>
      </c>
      <c r="D122" t="s">
        <v>40</v>
      </c>
      <c r="E122">
        <v>307527</v>
      </c>
      <c r="F122">
        <v>109009</v>
      </c>
      <c r="G122">
        <v>275215</v>
      </c>
      <c r="H122">
        <v>13293</v>
      </c>
      <c r="I122">
        <v>1128</v>
      </c>
      <c r="J122">
        <v>731</v>
      </c>
      <c r="K122">
        <f t="shared" si="2"/>
        <v>13.899769743782622</v>
      </c>
      <c r="L122">
        <v>339329</v>
      </c>
      <c r="M122">
        <v>508883</v>
      </c>
      <c r="N122">
        <f t="shared" si="3"/>
        <v>49.967435733462217</v>
      </c>
      <c r="O122" s="4">
        <v>45787</v>
      </c>
      <c r="P122" s="4">
        <v>45806</v>
      </c>
      <c r="Q122" t="s">
        <v>41</v>
      </c>
      <c r="R122">
        <f>Table2[[#This Row],[End_Date]]-Table2[[#This Row],[Start_Date]]</f>
        <v>19</v>
      </c>
      <c r="S122" t="str">
        <f>TEXT(Table2[[#This Row],[Start_Date]],"MMM")</f>
        <v>May</v>
      </c>
      <c r="T122">
        <f>YEAR(Table2[[#This Row],[Start_Date]])</f>
        <v>2025</v>
      </c>
      <c r="U122">
        <f>Table2[[#This Row],[Campaign_Cost (₹)]]/Table2[[#This Row],[Reach]]</f>
        <v>3.1128530671779395</v>
      </c>
      <c r="V122">
        <f>Table2[[#This Row],[Revenue_Generated (₹)]]/Table2[[#This Row],[Reach]]</f>
        <v>4.6682659229971835</v>
      </c>
    </row>
    <row r="123" spans="1:22" x14ac:dyDescent="0.3">
      <c r="A123" t="s">
        <v>174</v>
      </c>
      <c r="B123" t="s">
        <v>63</v>
      </c>
      <c r="C123" t="s">
        <v>19</v>
      </c>
      <c r="D123" t="s">
        <v>24</v>
      </c>
      <c r="E123">
        <v>925619</v>
      </c>
      <c r="F123">
        <v>365903</v>
      </c>
      <c r="G123">
        <v>617497</v>
      </c>
      <c r="H123">
        <v>19300</v>
      </c>
      <c r="I123">
        <v>595</v>
      </c>
      <c r="J123">
        <v>1010</v>
      </c>
      <c r="K123">
        <f t="shared" si="2"/>
        <v>5.7132628046230831</v>
      </c>
      <c r="L123">
        <v>415706</v>
      </c>
      <c r="M123">
        <v>1117286</v>
      </c>
      <c r="N123">
        <f t="shared" si="3"/>
        <v>168.76831222065593</v>
      </c>
      <c r="O123" s="4">
        <v>45689</v>
      </c>
      <c r="P123" s="4">
        <v>45712</v>
      </c>
      <c r="Q123" t="s">
        <v>47</v>
      </c>
      <c r="R123">
        <f>Table2[[#This Row],[End_Date]]-Table2[[#This Row],[Start_Date]]</f>
        <v>23</v>
      </c>
      <c r="S123" t="str">
        <f>TEXT(Table2[[#This Row],[Start_Date]],"MMM")</f>
        <v>Feb</v>
      </c>
      <c r="T123">
        <f>YEAR(Table2[[#This Row],[Start_Date]])</f>
        <v>2025</v>
      </c>
      <c r="U123">
        <f>Table2[[#This Row],[Campaign_Cost (₹)]]/Table2[[#This Row],[Reach]]</f>
        <v>1.136109843319131</v>
      </c>
      <c r="V123">
        <f>Table2[[#This Row],[Revenue_Generated (₹)]]/Table2[[#This Row],[Reach]]</f>
        <v>3.0535032508615672</v>
      </c>
    </row>
    <row r="124" spans="1:22" x14ac:dyDescent="0.3">
      <c r="A124" t="s">
        <v>175</v>
      </c>
      <c r="B124" t="s">
        <v>57</v>
      </c>
      <c r="C124" t="s">
        <v>28</v>
      </c>
      <c r="D124" t="s">
        <v>58</v>
      </c>
      <c r="E124">
        <v>537938</v>
      </c>
      <c r="F124">
        <v>392106</v>
      </c>
      <c r="G124">
        <v>1171839</v>
      </c>
      <c r="H124">
        <v>54392</v>
      </c>
      <c r="I124">
        <v>3349</v>
      </c>
      <c r="J124">
        <v>5213</v>
      </c>
      <c r="K124">
        <f t="shared" si="2"/>
        <v>16.055352379203583</v>
      </c>
      <c r="L124">
        <v>291777</v>
      </c>
      <c r="M124">
        <v>809861</v>
      </c>
      <c r="N124">
        <f t="shared" si="3"/>
        <v>177.56163097159819</v>
      </c>
      <c r="O124" s="4">
        <v>45891</v>
      </c>
      <c r="P124" s="4">
        <v>45909</v>
      </c>
      <c r="Q124" t="s">
        <v>25</v>
      </c>
      <c r="R124">
        <f>Table2[[#This Row],[End_Date]]-Table2[[#This Row],[Start_Date]]</f>
        <v>18</v>
      </c>
      <c r="S124" t="str">
        <f>TEXT(Table2[[#This Row],[Start_Date]],"MMM")</f>
        <v>Aug</v>
      </c>
      <c r="T124">
        <f>YEAR(Table2[[#This Row],[Start_Date]])</f>
        <v>2025</v>
      </c>
      <c r="U124">
        <f>Table2[[#This Row],[Campaign_Cost (₹)]]/Table2[[#This Row],[Reach]]</f>
        <v>0.74412786338388093</v>
      </c>
      <c r="V124">
        <f>Table2[[#This Row],[Revenue_Generated (₹)]]/Table2[[#This Row],[Reach]]</f>
        <v>2.0654134341224055</v>
      </c>
    </row>
    <row r="125" spans="1:22" x14ac:dyDescent="0.3">
      <c r="A125" t="s">
        <v>176</v>
      </c>
      <c r="B125" t="s">
        <v>39</v>
      </c>
      <c r="C125" t="s">
        <v>28</v>
      </c>
      <c r="D125" t="s">
        <v>72</v>
      </c>
      <c r="E125">
        <v>1850064</v>
      </c>
      <c r="F125">
        <v>496253</v>
      </c>
      <c r="G125">
        <v>814454</v>
      </c>
      <c r="H125">
        <v>28865</v>
      </c>
      <c r="I125">
        <v>2982</v>
      </c>
      <c r="J125">
        <v>1651</v>
      </c>
      <c r="K125">
        <f t="shared" si="2"/>
        <v>6.7501858930827625</v>
      </c>
      <c r="L125">
        <v>271170</v>
      </c>
      <c r="M125">
        <v>530368</v>
      </c>
      <c r="N125">
        <f t="shared" si="3"/>
        <v>95.585057344101486</v>
      </c>
      <c r="O125" s="4">
        <v>46040</v>
      </c>
      <c r="P125" s="4">
        <v>46060</v>
      </c>
      <c r="Q125" t="s">
        <v>78</v>
      </c>
      <c r="R125">
        <f>Table2[[#This Row],[End_Date]]-Table2[[#This Row],[Start_Date]]</f>
        <v>20</v>
      </c>
      <c r="S125" t="str">
        <f>TEXT(Table2[[#This Row],[Start_Date]],"MMM")</f>
        <v>Jan</v>
      </c>
      <c r="T125">
        <f>YEAR(Table2[[#This Row],[Start_Date]])</f>
        <v>2026</v>
      </c>
      <c r="U125">
        <f>Table2[[#This Row],[Campaign_Cost (₹)]]/Table2[[#This Row],[Reach]]</f>
        <v>0.54643498376836008</v>
      </c>
      <c r="V125">
        <f>Table2[[#This Row],[Revenue_Generated (₹)]]/Table2[[#This Row],[Reach]]</f>
        <v>1.0687451763515787</v>
      </c>
    </row>
    <row r="126" spans="1:22" x14ac:dyDescent="0.3">
      <c r="A126" t="s">
        <v>177</v>
      </c>
      <c r="B126" t="s">
        <v>103</v>
      </c>
      <c r="C126" t="s">
        <v>43</v>
      </c>
      <c r="D126" t="s">
        <v>46</v>
      </c>
      <c r="E126">
        <v>1196288</v>
      </c>
      <c r="F126">
        <v>373637</v>
      </c>
      <c r="G126">
        <v>941490</v>
      </c>
      <c r="H126">
        <v>50726</v>
      </c>
      <c r="I126">
        <v>2999</v>
      </c>
      <c r="J126">
        <v>1457</v>
      </c>
      <c r="K126">
        <f t="shared" si="2"/>
        <v>14.768879955678907</v>
      </c>
      <c r="L126">
        <v>20932</v>
      </c>
      <c r="M126">
        <v>86413</v>
      </c>
      <c r="N126">
        <f t="shared" si="3"/>
        <v>312.82725014332124</v>
      </c>
      <c r="O126" s="4">
        <v>45693</v>
      </c>
      <c r="P126" s="4">
        <v>45706</v>
      </c>
      <c r="Q126" t="s">
        <v>78</v>
      </c>
      <c r="R126">
        <f>Table2[[#This Row],[End_Date]]-Table2[[#This Row],[Start_Date]]</f>
        <v>13</v>
      </c>
      <c r="S126" t="str">
        <f>TEXT(Table2[[#This Row],[Start_Date]],"MMM")</f>
        <v>Feb</v>
      </c>
      <c r="T126">
        <f>YEAR(Table2[[#This Row],[Start_Date]])</f>
        <v>2025</v>
      </c>
      <c r="U126">
        <f>Table2[[#This Row],[Campaign_Cost (₹)]]/Table2[[#This Row],[Reach]]</f>
        <v>5.6022289013133067E-2</v>
      </c>
      <c r="V126">
        <f>Table2[[#This Row],[Revenue_Generated (₹)]]/Table2[[#This Row],[Reach]]</f>
        <v>0.23127527520026123</v>
      </c>
    </row>
    <row r="127" spans="1:22" x14ac:dyDescent="0.3">
      <c r="A127" t="s">
        <v>178</v>
      </c>
      <c r="B127" t="s">
        <v>80</v>
      </c>
      <c r="C127" t="s">
        <v>33</v>
      </c>
      <c r="D127" t="s">
        <v>24</v>
      </c>
      <c r="E127">
        <v>915712</v>
      </c>
      <c r="F127">
        <v>463190</v>
      </c>
      <c r="G127">
        <v>1041171</v>
      </c>
      <c r="H127">
        <v>34014</v>
      </c>
      <c r="I127">
        <v>2793</v>
      </c>
      <c r="J127">
        <v>2294</v>
      </c>
      <c r="K127">
        <f t="shared" si="2"/>
        <v>8.4416762019905445</v>
      </c>
      <c r="L127">
        <v>457644</v>
      </c>
      <c r="M127">
        <v>2013880</v>
      </c>
      <c r="N127">
        <f t="shared" si="3"/>
        <v>340.05384097682912</v>
      </c>
      <c r="O127" s="4">
        <v>45694</v>
      </c>
      <c r="P127" s="4">
        <v>45707</v>
      </c>
      <c r="Q127" t="s">
        <v>21</v>
      </c>
      <c r="R127">
        <f>Table2[[#This Row],[End_Date]]-Table2[[#This Row],[Start_Date]]</f>
        <v>13</v>
      </c>
      <c r="S127" t="str">
        <f>TEXT(Table2[[#This Row],[Start_Date]],"MMM")</f>
        <v>Feb</v>
      </c>
      <c r="T127">
        <f>YEAR(Table2[[#This Row],[Start_Date]])</f>
        <v>2025</v>
      </c>
      <c r="U127">
        <f>Table2[[#This Row],[Campaign_Cost (₹)]]/Table2[[#This Row],[Reach]]</f>
        <v>0.988026511798614</v>
      </c>
      <c r="V127">
        <f>Table2[[#This Row],[Revenue_Generated (₹)]]/Table2[[#This Row],[Reach]]</f>
        <v>4.3478486150391848</v>
      </c>
    </row>
    <row r="128" spans="1:22" x14ac:dyDescent="0.3">
      <c r="A128" t="s">
        <v>179</v>
      </c>
      <c r="B128" t="s">
        <v>53</v>
      </c>
      <c r="C128" t="s">
        <v>28</v>
      </c>
      <c r="D128" t="s">
        <v>29</v>
      </c>
      <c r="E128">
        <v>874354</v>
      </c>
      <c r="F128">
        <v>570176</v>
      </c>
      <c r="G128">
        <v>1431583</v>
      </c>
      <c r="H128">
        <v>32334</v>
      </c>
      <c r="I128">
        <v>4592</v>
      </c>
      <c r="J128">
        <v>1986</v>
      </c>
      <c r="K128">
        <f t="shared" si="2"/>
        <v>6.8245594342799425</v>
      </c>
      <c r="L128">
        <v>364479</v>
      </c>
      <c r="M128">
        <v>1513542</v>
      </c>
      <c r="N128">
        <f t="shared" si="3"/>
        <v>315.26178462956716</v>
      </c>
      <c r="O128" s="4">
        <v>45698</v>
      </c>
      <c r="P128" s="4">
        <v>45722</v>
      </c>
      <c r="Q128" t="s">
        <v>34</v>
      </c>
      <c r="R128">
        <f>Table2[[#This Row],[End_Date]]-Table2[[#This Row],[Start_Date]]</f>
        <v>24</v>
      </c>
      <c r="S128" t="str">
        <f>TEXT(Table2[[#This Row],[Start_Date]],"MMM")</f>
        <v>Feb</v>
      </c>
      <c r="T128">
        <f>YEAR(Table2[[#This Row],[Start_Date]])</f>
        <v>2025</v>
      </c>
      <c r="U128">
        <f>Table2[[#This Row],[Campaign_Cost (₹)]]/Table2[[#This Row],[Reach]]</f>
        <v>0.63923946290268263</v>
      </c>
      <c r="V128">
        <f>Table2[[#This Row],[Revenue_Generated (₹)]]/Table2[[#This Row],[Reach]]</f>
        <v>2.65451720170614</v>
      </c>
    </row>
    <row r="129" spans="1:22" x14ac:dyDescent="0.3">
      <c r="A129" t="s">
        <v>180</v>
      </c>
      <c r="B129" t="s">
        <v>18</v>
      </c>
      <c r="C129" t="s">
        <v>43</v>
      </c>
      <c r="D129" t="s">
        <v>40</v>
      </c>
      <c r="E129">
        <v>1036329</v>
      </c>
      <c r="F129">
        <v>834439</v>
      </c>
      <c r="G129">
        <v>2498783</v>
      </c>
      <c r="H129">
        <v>99263</v>
      </c>
      <c r="I129">
        <v>4689</v>
      </c>
      <c r="J129">
        <v>2969</v>
      </c>
      <c r="K129">
        <f t="shared" si="2"/>
        <v>12.813519022960337</v>
      </c>
      <c r="L129">
        <v>465071</v>
      </c>
      <c r="M129">
        <v>2009868</v>
      </c>
      <c r="N129">
        <f t="shared" si="3"/>
        <v>332.16369113533204</v>
      </c>
      <c r="O129" s="4">
        <v>45701</v>
      </c>
      <c r="P129" s="4">
        <v>45712</v>
      </c>
      <c r="Q129" t="s">
        <v>47</v>
      </c>
      <c r="R129">
        <f>Table2[[#This Row],[End_Date]]-Table2[[#This Row],[Start_Date]]</f>
        <v>11</v>
      </c>
      <c r="S129" t="str">
        <f>TEXT(Table2[[#This Row],[Start_Date]],"MMM")</f>
        <v>Feb</v>
      </c>
      <c r="T129">
        <f>YEAR(Table2[[#This Row],[Start_Date]])</f>
        <v>2025</v>
      </c>
      <c r="U129">
        <f>Table2[[#This Row],[Campaign_Cost (₹)]]/Table2[[#This Row],[Reach]]</f>
        <v>0.55734571370705344</v>
      </c>
      <c r="V129">
        <f>Table2[[#This Row],[Revenue_Generated (₹)]]/Table2[[#This Row],[Reach]]</f>
        <v>2.4086458087409626</v>
      </c>
    </row>
    <row r="130" spans="1:22" x14ac:dyDescent="0.3">
      <c r="A130" t="s">
        <v>181</v>
      </c>
      <c r="B130" t="s">
        <v>63</v>
      </c>
      <c r="C130" t="s">
        <v>19</v>
      </c>
      <c r="D130" t="s">
        <v>46</v>
      </c>
      <c r="E130">
        <v>124287</v>
      </c>
      <c r="F130">
        <v>35011</v>
      </c>
      <c r="G130">
        <v>46112</v>
      </c>
      <c r="H130">
        <v>3156</v>
      </c>
      <c r="I130">
        <v>420</v>
      </c>
      <c r="J130">
        <v>179</v>
      </c>
      <c r="K130">
        <f t="shared" ref="K130:K193" si="4">((H130+I130+J130)/F130)*100</f>
        <v>10.725200651223901</v>
      </c>
      <c r="L130">
        <v>298758</v>
      </c>
      <c r="M130">
        <v>575994</v>
      </c>
      <c r="N130">
        <f t="shared" ref="N130:N193" si="5">((M130-L130)/L130)*100</f>
        <v>92.796176169341066</v>
      </c>
      <c r="O130" s="4">
        <v>46054</v>
      </c>
      <c r="P130" s="4">
        <v>46063</v>
      </c>
      <c r="Q130" t="s">
        <v>21</v>
      </c>
      <c r="R130">
        <f>Table2[[#This Row],[End_Date]]-Table2[[#This Row],[Start_Date]]</f>
        <v>9</v>
      </c>
      <c r="S130" t="str">
        <f>TEXT(Table2[[#This Row],[Start_Date]],"MMM")</f>
        <v>Feb</v>
      </c>
      <c r="T130">
        <f>YEAR(Table2[[#This Row],[Start_Date]])</f>
        <v>2026</v>
      </c>
      <c r="U130">
        <f>Table2[[#This Row],[Campaign_Cost (₹)]]/Table2[[#This Row],[Reach]]</f>
        <v>8.5332609751221042</v>
      </c>
      <c r="V130">
        <f>Table2[[#This Row],[Revenue_Generated (₹)]]/Table2[[#This Row],[Reach]]</f>
        <v>16.451800862586044</v>
      </c>
    </row>
    <row r="131" spans="1:22" x14ac:dyDescent="0.3">
      <c r="A131" t="s">
        <v>182</v>
      </c>
      <c r="B131" t="s">
        <v>63</v>
      </c>
      <c r="C131" t="s">
        <v>43</v>
      </c>
      <c r="D131" t="s">
        <v>29</v>
      </c>
      <c r="E131">
        <v>1884996</v>
      </c>
      <c r="F131">
        <v>577615</v>
      </c>
      <c r="G131">
        <v>1107347</v>
      </c>
      <c r="H131">
        <v>49671</v>
      </c>
      <c r="I131">
        <v>5462</v>
      </c>
      <c r="J131">
        <v>3541</v>
      </c>
      <c r="K131">
        <f t="shared" si="4"/>
        <v>10.157977199345584</v>
      </c>
      <c r="L131">
        <v>297476</v>
      </c>
      <c r="M131">
        <v>730115</v>
      </c>
      <c r="N131">
        <f t="shared" si="5"/>
        <v>145.43660665062055</v>
      </c>
      <c r="O131" s="4">
        <v>45888</v>
      </c>
      <c r="P131" s="4">
        <v>45898</v>
      </c>
      <c r="Q131" t="s">
        <v>41</v>
      </c>
      <c r="R131">
        <f>Table2[[#This Row],[End_Date]]-Table2[[#This Row],[Start_Date]]</f>
        <v>10</v>
      </c>
      <c r="S131" t="str">
        <f>TEXT(Table2[[#This Row],[Start_Date]],"MMM")</f>
        <v>Aug</v>
      </c>
      <c r="T131">
        <f>YEAR(Table2[[#This Row],[Start_Date]])</f>
        <v>2025</v>
      </c>
      <c r="U131">
        <f>Table2[[#This Row],[Campaign_Cost (₹)]]/Table2[[#This Row],[Reach]]</f>
        <v>0.51500740112358578</v>
      </c>
      <c r="V131">
        <f>Table2[[#This Row],[Revenue_Generated (₹)]]/Table2[[#This Row],[Reach]]</f>
        <v>1.2640166893172788</v>
      </c>
    </row>
    <row r="132" spans="1:22" x14ac:dyDescent="0.3">
      <c r="A132" t="s">
        <v>183</v>
      </c>
      <c r="B132" t="s">
        <v>23</v>
      </c>
      <c r="C132" t="s">
        <v>37</v>
      </c>
      <c r="D132" t="s">
        <v>51</v>
      </c>
      <c r="E132">
        <v>1767225</v>
      </c>
      <c r="F132">
        <v>1230211</v>
      </c>
      <c r="G132">
        <v>2093992</v>
      </c>
      <c r="H132">
        <v>105392</v>
      </c>
      <c r="I132">
        <v>13155</v>
      </c>
      <c r="J132">
        <v>8038</v>
      </c>
      <c r="K132">
        <f t="shared" si="4"/>
        <v>10.289698271272165</v>
      </c>
      <c r="L132">
        <v>20438</v>
      </c>
      <c r="M132">
        <v>95355</v>
      </c>
      <c r="N132">
        <f t="shared" si="5"/>
        <v>366.55739309130053</v>
      </c>
      <c r="O132" s="4">
        <v>46084</v>
      </c>
      <c r="P132" s="4">
        <v>46092</v>
      </c>
      <c r="Q132" t="s">
        <v>34</v>
      </c>
      <c r="R132">
        <f>Table2[[#This Row],[End_Date]]-Table2[[#This Row],[Start_Date]]</f>
        <v>8</v>
      </c>
      <c r="S132" t="str">
        <f>TEXT(Table2[[#This Row],[Start_Date]],"MMM")</f>
        <v>Mar</v>
      </c>
      <c r="T132">
        <f>YEAR(Table2[[#This Row],[Start_Date]])</f>
        <v>2026</v>
      </c>
      <c r="U132">
        <f>Table2[[#This Row],[Campaign_Cost (₹)]]/Table2[[#This Row],[Reach]]</f>
        <v>1.6613410219872851E-2</v>
      </c>
      <c r="V132">
        <f>Table2[[#This Row],[Revenue_Generated (₹)]]/Table2[[#This Row],[Reach]]</f>
        <v>7.7511093625402469E-2</v>
      </c>
    </row>
    <row r="133" spans="1:22" x14ac:dyDescent="0.3">
      <c r="A133" t="s">
        <v>184</v>
      </c>
      <c r="B133" t="s">
        <v>23</v>
      </c>
      <c r="C133" t="s">
        <v>37</v>
      </c>
      <c r="D133" t="s">
        <v>58</v>
      </c>
      <c r="E133">
        <v>861576</v>
      </c>
      <c r="F133">
        <v>425358</v>
      </c>
      <c r="G133">
        <v>1067912</v>
      </c>
      <c r="H133">
        <v>36035</v>
      </c>
      <c r="I133">
        <v>3327</v>
      </c>
      <c r="J133">
        <v>3057</v>
      </c>
      <c r="K133">
        <f t="shared" si="4"/>
        <v>9.9725407774157304</v>
      </c>
      <c r="L133">
        <v>223359</v>
      </c>
      <c r="M133">
        <v>823459</v>
      </c>
      <c r="N133">
        <f t="shared" si="5"/>
        <v>268.67061546658067</v>
      </c>
      <c r="O133" s="4">
        <v>45797</v>
      </c>
      <c r="P133" s="4">
        <v>45807</v>
      </c>
      <c r="Q133" t="s">
        <v>34</v>
      </c>
      <c r="R133">
        <f>Table2[[#This Row],[End_Date]]-Table2[[#This Row],[Start_Date]]</f>
        <v>10</v>
      </c>
      <c r="S133" t="str">
        <f>TEXT(Table2[[#This Row],[Start_Date]],"MMM")</f>
        <v>May</v>
      </c>
      <c r="T133">
        <f>YEAR(Table2[[#This Row],[Start_Date]])</f>
        <v>2025</v>
      </c>
      <c r="U133">
        <f>Table2[[#This Row],[Campaign_Cost (₹)]]/Table2[[#This Row],[Reach]]</f>
        <v>0.52510826174657588</v>
      </c>
      <c r="V133">
        <f>Table2[[#This Row],[Revenue_Generated (₹)]]/Table2[[#This Row],[Reach]]</f>
        <v>1.9359198604469647</v>
      </c>
    </row>
    <row r="134" spans="1:22" x14ac:dyDescent="0.3">
      <c r="A134" t="s">
        <v>185</v>
      </c>
      <c r="B134" t="s">
        <v>75</v>
      </c>
      <c r="C134" t="s">
        <v>33</v>
      </c>
      <c r="D134" t="s">
        <v>29</v>
      </c>
      <c r="E134">
        <v>940652</v>
      </c>
      <c r="F134">
        <v>827971</v>
      </c>
      <c r="G134">
        <v>2312941</v>
      </c>
      <c r="H134">
        <v>25111</v>
      </c>
      <c r="I134">
        <v>2622</v>
      </c>
      <c r="J134">
        <v>1496</v>
      </c>
      <c r="K134">
        <f t="shared" si="4"/>
        <v>3.53019610590226</v>
      </c>
      <c r="L134">
        <v>407895</v>
      </c>
      <c r="M134">
        <v>1625155</v>
      </c>
      <c r="N134">
        <f t="shared" si="5"/>
        <v>298.42483972590986</v>
      </c>
      <c r="O134" s="4">
        <v>45896</v>
      </c>
      <c r="P134" s="4">
        <v>45905</v>
      </c>
      <c r="Q134" t="s">
        <v>41</v>
      </c>
      <c r="R134">
        <f>Table2[[#This Row],[End_Date]]-Table2[[#This Row],[Start_Date]]</f>
        <v>9</v>
      </c>
      <c r="S134" t="str">
        <f>TEXT(Table2[[#This Row],[Start_Date]],"MMM")</f>
        <v>Aug</v>
      </c>
      <c r="T134">
        <f>YEAR(Table2[[#This Row],[Start_Date]])</f>
        <v>2025</v>
      </c>
      <c r="U134">
        <f>Table2[[#This Row],[Campaign_Cost (₹)]]/Table2[[#This Row],[Reach]]</f>
        <v>0.49264406603612926</v>
      </c>
      <c r="V134">
        <f>Table2[[#This Row],[Revenue_Generated (₹)]]/Table2[[#This Row],[Reach]]</f>
        <v>1.9628163305236537</v>
      </c>
    </row>
    <row r="135" spans="1:22" x14ac:dyDescent="0.3">
      <c r="A135" t="s">
        <v>186</v>
      </c>
      <c r="B135" t="s">
        <v>63</v>
      </c>
      <c r="C135" t="s">
        <v>37</v>
      </c>
      <c r="D135" t="s">
        <v>20</v>
      </c>
      <c r="E135">
        <v>1751093</v>
      </c>
      <c r="F135">
        <v>1409624</v>
      </c>
      <c r="G135">
        <v>2917086</v>
      </c>
      <c r="H135">
        <v>192792</v>
      </c>
      <c r="I135">
        <v>15988</v>
      </c>
      <c r="J135">
        <v>19108</v>
      </c>
      <c r="K135">
        <f t="shared" si="4"/>
        <v>16.166580591703887</v>
      </c>
      <c r="L135">
        <v>175981</v>
      </c>
      <c r="M135">
        <v>609001</v>
      </c>
      <c r="N135">
        <f t="shared" si="5"/>
        <v>246.06065427517746</v>
      </c>
      <c r="O135" s="4">
        <v>45833</v>
      </c>
      <c r="P135" s="4">
        <v>45853</v>
      </c>
      <c r="Q135" t="s">
        <v>78</v>
      </c>
      <c r="R135">
        <f>Table2[[#This Row],[End_Date]]-Table2[[#This Row],[Start_Date]]</f>
        <v>20</v>
      </c>
      <c r="S135" t="str">
        <f>TEXT(Table2[[#This Row],[Start_Date]],"MMM")</f>
        <v>Jun</v>
      </c>
      <c r="T135">
        <f>YEAR(Table2[[#This Row],[Start_Date]])</f>
        <v>2025</v>
      </c>
      <c r="U135">
        <f>Table2[[#This Row],[Campaign_Cost (₹)]]/Table2[[#This Row],[Reach]]</f>
        <v>0.12484251119447455</v>
      </c>
      <c r="V135">
        <f>Table2[[#This Row],[Revenue_Generated (₹)]]/Table2[[#This Row],[Reach]]</f>
        <v>0.43203081105316027</v>
      </c>
    </row>
    <row r="136" spans="1:22" x14ac:dyDescent="0.3">
      <c r="A136" t="s">
        <v>187</v>
      </c>
      <c r="B136" t="s">
        <v>103</v>
      </c>
      <c r="C136" t="s">
        <v>33</v>
      </c>
      <c r="D136" t="s">
        <v>20</v>
      </c>
      <c r="E136">
        <v>1870501</v>
      </c>
      <c r="F136">
        <v>714206</v>
      </c>
      <c r="G136">
        <v>1665661</v>
      </c>
      <c r="H136">
        <v>33192</v>
      </c>
      <c r="I136">
        <v>2023</v>
      </c>
      <c r="J136">
        <v>2909</v>
      </c>
      <c r="K136">
        <f t="shared" si="4"/>
        <v>5.3379557158578894</v>
      </c>
      <c r="L136">
        <v>317057</v>
      </c>
      <c r="M136">
        <v>378129</v>
      </c>
      <c r="N136">
        <f t="shared" si="5"/>
        <v>19.262151600500857</v>
      </c>
      <c r="O136" s="4">
        <v>45933</v>
      </c>
      <c r="P136" s="4">
        <v>45960</v>
      </c>
      <c r="Q136" t="s">
        <v>34</v>
      </c>
      <c r="R136">
        <f>Table2[[#This Row],[End_Date]]-Table2[[#This Row],[Start_Date]]</f>
        <v>27</v>
      </c>
      <c r="S136" t="str">
        <f>TEXT(Table2[[#This Row],[Start_Date]],"MMM")</f>
        <v>Oct</v>
      </c>
      <c r="T136">
        <f>YEAR(Table2[[#This Row],[Start_Date]])</f>
        <v>2025</v>
      </c>
      <c r="U136">
        <f>Table2[[#This Row],[Campaign_Cost (₹)]]/Table2[[#This Row],[Reach]]</f>
        <v>0.44392934251462463</v>
      </c>
      <c r="V136">
        <f>Table2[[#This Row],[Revenue_Generated (₹)]]/Table2[[#This Row],[Reach]]</f>
        <v>0.5294396854688983</v>
      </c>
    </row>
    <row r="137" spans="1:22" x14ac:dyDescent="0.3">
      <c r="A137" t="s">
        <v>188</v>
      </c>
      <c r="B137" t="s">
        <v>57</v>
      </c>
      <c r="C137" t="s">
        <v>19</v>
      </c>
      <c r="D137" t="s">
        <v>20</v>
      </c>
      <c r="E137">
        <v>1652789</v>
      </c>
      <c r="F137">
        <v>1389611</v>
      </c>
      <c r="G137">
        <v>1770610</v>
      </c>
      <c r="H137">
        <v>205239</v>
      </c>
      <c r="I137">
        <v>29834</v>
      </c>
      <c r="J137">
        <v>6833</v>
      </c>
      <c r="K137">
        <f t="shared" si="4"/>
        <v>17.408181138462492</v>
      </c>
      <c r="L137">
        <v>194997</v>
      </c>
      <c r="M137">
        <v>735844</v>
      </c>
      <c r="N137">
        <f t="shared" si="5"/>
        <v>277.36170300055898</v>
      </c>
      <c r="O137" s="4">
        <v>45981</v>
      </c>
      <c r="P137" s="4">
        <v>46010</v>
      </c>
      <c r="Q137" t="s">
        <v>47</v>
      </c>
      <c r="R137">
        <f>Table2[[#This Row],[End_Date]]-Table2[[#This Row],[Start_Date]]</f>
        <v>29</v>
      </c>
      <c r="S137" t="str">
        <f>TEXT(Table2[[#This Row],[Start_Date]],"MMM")</f>
        <v>Nov</v>
      </c>
      <c r="T137">
        <f>YEAR(Table2[[#This Row],[Start_Date]])</f>
        <v>2025</v>
      </c>
      <c r="U137">
        <f>Table2[[#This Row],[Campaign_Cost (₹)]]/Table2[[#This Row],[Reach]]</f>
        <v>0.14032488228720125</v>
      </c>
      <c r="V137">
        <f>Table2[[#This Row],[Revenue_Generated (₹)]]/Table2[[#This Row],[Reach]]</f>
        <v>0.52953236553251237</v>
      </c>
    </row>
    <row r="138" spans="1:22" x14ac:dyDescent="0.3">
      <c r="A138" t="s">
        <v>189</v>
      </c>
      <c r="B138" t="s">
        <v>57</v>
      </c>
      <c r="C138" t="s">
        <v>19</v>
      </c>
      <c r="D138" t="s">
        <v>20</v>
      </c>
      <c r="E138">
        <v>871356</v>
      </c>
      <c r="F138">
        <v>580363</v>
      </c>
      <c r="G138">
        <v>1513514</v>
      </c>
      <c r="H138">
        <v>64606</v>
      </c>
      <c r="I138">
        <v>4354</v>
      </c>
      <c r="J138">
        <v>4083</v>
      </c>
      <c r="K138">
        <f t="shared" si="4"/>
        <v>12.585743750032307</v>
      </c>
      <c r="L138">
        <v>295574</v>
      </c>
      <c r="M138">
        <v>923840</v>
      </c>
      <c r="N138">
        <f t="shared" si="5"/>
        <v>212.55793811363651</v>
      </c>
      <c r="O138" s="4">
        <v>45838</v>
      </c>
      <c r="P138" s="4">
        <v>45855</v>
      </c>
      <c r="Q138" t="s">
        <v>21</v>
      </c>
      <c r="R138">
        <f>Table2[[#This Row],[End_Date]]-Table2[[#This Row],[Start_Date]]</f>
        <v>17</v>
      </c>
      <c r="S138" t="str">
        <f>TEXT(Table2[[#This Row],[Start_Date]],"MMM")</f>
        <v>Jun</v>
      </c>
      <c r="T138">
        <f>YEAR(Table2[[#This Row],[Start_Date]])</f>
        <v>2025</v>
      </c>
      <c r="U138">
        <f>Table2[[#This Row],[Campaign_Cost (₹)]]/Table2[[#This Row],[Reach]]</f>
        <v>0.50929159853402095</v>
      </c>
      <c r="V138">
        <f>Table2[[#This Row],[Revenue_Generated (₹)]]/Table2[[#This Row],[Reach]]</f>
        <v>1.5918313193639153</v>
      </c>
    </row>
    <row r="139" spans="1:22" x14ac:dyDescent="0.3">
      <c r="A139" t="s">
        <v>190</v>
      </c>
      <c r="B139" t="s">
        <v>45</v>
      </c>
      <c r="C139" t="s">
        <v>37</v>
      </c>
      <c r="D139" t="s">
        <v>58</v>
      </c>
      <c r="E139">
        <v>452461</v>
      </c>
      <c r="F139">
        <v>241554</v>
      </c>
      <c r="G139">
        <v>698648</v>
      </c>
      <c r="H139">
        <v>5104</v>
      </c>
      <c r="I139">
        <v>205</v>
      </c>
      <c r="J139">
        <v>325</v>
      </c>
      <c r="K139">
        <f t="shared" si="4"/>
        <v>2.332397724732358</v>
      </c>
      <c r="L139">
        <v>101330</v>
      </c>
      <c r="M139">
        <v>436373</v>
      </c>
      <c r="N139">
        <f t="shared" si="5"/>
        <v>330.64541596763053</v>
      </c>
      <c r="O139" s="4">
        <v>46032</v>
      </c>
      <c r="P139" s="4">
        <v>46055</v>
      </c>
      <c r="Q139" t="s">
        <v>54</v>
      </c>
      <c r="R139">
        <f>Table2[[#This Row],[End_Date]]-Table2[[#This Row],[Start_Date]]</f>
        <v>23</v>
      </c>
      <c r="S139" t="str">
        <f>TEXT(Table2[[#This Row],[Start_Date]],"MMM")</f>
        <v>Jan</v>
      </c>
      <c r="T139">
        <f>YEAR(Table2[[#This Row],[Start_Date]])</f>
        <v>2026</v>
      </c>
      <c r="U139">
        <f>Table2[[#This Row],[Campaign_Cost (₹)]]/Table2[[#This Row],[Reach]]</f>
        <v>0.41949212184439089</v>
      </c>
      <c r="V139">
        <f>Table2[[#This Row],[Revenue_Generated (₹)]]/Table2[[#This Row],[Reach]]</f>
        <v>1.8065235930682166</v>
      </c>
    </row>
    <row r="140" spans="1:22" x14ac:dyDescent="0.3">
      <c r="A140" t="s">
        <v>191</v>
      </c>
      <c r="B140" t="s">
        <v>45</v>
      </c>
      <c r="C140" t="s">
        <v>19</v>
      </c>
      <c r="D140" t="s">
        <v>20</v>
      </c>
      <c r="E140">
        <v>311692</v>
      </c>
      <c r="F140">
        <v>215510</v>
      </c>
      <c r="G140">
        <v>414766</v>
      </c>
      <c r="H140">
        <v>32116</v>
      </c>
      <c r="I140">
        <v>3854</v>
      </c>
      <c r="J140">
        <v>2741</v>
      </c>
      <c r="K140">
        <f t="shared" si="4"/>
        <v>17.962507540253352</v>
      </c>
      <c r="L140">
        <v>106374</v>
      </c>
      <c r="M140">
        <v>509568</v>
      </c>
      <c r="N140">
        <f t="shared" si="5"/>
        <v>379.03435049918215</v>
      </c>
      <c r="O140" s="4">
        <v>45770</v>
      </c>
      <c r="P140" s="4">
        <v>45794</v>
      </c>
      <c r="Q140" t="s">
        <v>34</v>
      </c>
      <c r="R140">
        <f>Table2[[#This Row],[End_Date]]-Table2[[#This Row],[Start_Date]]</f>
        <v>24</v>
      </c>
      <c r="S140" t="str">
        <f>TEXT(Table2[[#This Row],[Start_Date]],"MMM")</f>
        <v>Apr</v>
      </c>
      <c r="T140">
        <f>YEAR(Table2[[#This Row],[Start_Date]])</f>
        <v>2025</v>
      </c>
      <c r="U140">
        <f>Table2[[#This Row],[Campaign_Cost (₹)]]/Table2[[#This Row],[Reach]]</f>
        <v>0.49359194468934159</v>
      </c>
      <c r="V140">
        <f>Table2[[#This Row],[Revenue_Generated (₹)]]/Table2[[#This Row],[Reach]]</f>
        <v>2.3644749663588698</v>
      </c>
    </row>
    <row r="141" spans="1:22" x14ac:dyDescent="0.3">
      <c r="A141" t="s">
        <v>192</v>
      </c>
      <c r="B141" t="s">
        <v>63</v>
      </c>
      <c r="C141" t="s">
        <v>33</v>
      </c>
      <c r="D141" t="s">
        <v>20</v>
      </c>
      <c r="E141">
        <v>1779393</v>
      </c>
      <c r="F141">
        <v>1004925</v>
      </c>
      <c r="G141">
        <v>2319906</v>
      </c>
      <c r="H141">
        <v>73721</v>
      </c>
      <c r="I141">
        <v>9736</v>
      </c>
      <c r="J141">
        <v>3099</v>
      </c>
      <c r="K141">
        <f t="shared" si="4"/>
        <v>8.6131800880662723</v>
      </c>
      <c r="L141">
        <v>236001</v>
      </c>
      <c r="M141">
        <v>796099</v>
      </c>
      <c r="N141">
        <f t="shared" si="5"/>
        <v>237.32865538705346</v>
      </c>
      <c r="O141" s="4">
        <v>45870</v>
      </c>
      <c r="P141" s="4">
        <v>45894</v>
      </c>
      <c r="Q141" t="s">
        <v>47</v>
      </c>
      <c r="R141">
        <f>Table2[[#This Row],[End_Date]]-Table2[[#This Row],[Start_Date]]</f>
        <v>24</v>
      </c>
      <c r="S141" t="str">
        <f>TEXT(Table2[[#This Row],[Start_Date]],"MMM")</f>
        <v>Aug</v>
      </c>
      <c r="T141">
        <f>YEAR(Table2[[#This Row],[Start_Date]])</f>
        <v>2025</v>
      </c>
      <c r="U141">
        <f>Table2[[#This Row],[Campaign_Cost (₹)]]/Table2[[#This Row],[Reach]]</f>
        <v>0.2348443913724905</v>
      </c>
      <c r="V141">
        <f>Table2[[#This Row],[Revenue_Generated (₹)]]/Table2[[#This Row],[Reach]]</f>
        <v>0.79219742766873147</v>
      </c>
    </row>
    <row r="142" spans="1:22" x14ac:dyDescent="0.3">
      <c r="A142" t="s">
        <v>193</v>
      </c>
      <c r="B142" t="s">
        <v>61</v>
      </c>
      <c r="C142" t="s">
        <v>33</v>
      </c>
      <c r="D142" t="s">
        <v>40</v>
      </c>
      <c r="E142">
        <v>1624654</v>
      </c>
      <c r="F142">
        <v>1182024</v>
      </c>
      <c r="G142">
        <v>1608313</v>
      </c>
      <c r="H142">
        <v>94157</v>
      </c>
      <c r="I142">
        <v>5879</v>
      </c>
      <c r="J142">
        <v>4363</v>
      </c>
      <c r="K142">
        <f t="shared" si="4"/>
        <v>8.8322233727910771</v>
      </c>
      <c r="L142">
        <v>120806</v>
      </c>
      <c r="M142">
        <v>290775</v>
      </c>
      <c r="N142">
        <f t="shared" si="5"/>
        <v>140.69582636624008</v>
      </c>
      <c r="O142" s="4">
        <v>46029</v>
      </c>
      <c r="P142" s="4">
        <v>46054</v>
      </c>
      <c r="Q142" t="s">
        <v>78</v>
      </c>
      <c r="R142">
        <f>Table2[[#This Row],[End_Date]]-Table2[[#This Row],[Start_Date]]</f>
        <v>25</v>
      </c>
      <c r="S142" t="str">
        <f>TEXT(Table2[[#This Row],[Start_Date]],"MMM")</f>
        <v>Jan</v>
      </c>
      <c r="T142">
        <f>YEAR(Table2[[#This Row],[Start_Date]])</f>
        <v>2026</v>
      </c>
      <c r="U142">
        <f>Table2[[#This Row],[Campaign_Cost (₹)]]/Table2[[#This Row],[Reach]]</f>
        <v>0.102202662551691</v>
      </c>
      <c r="V142">
        <f>Table2[[#This Row],[Revenue_Generated (₹)]]/Table2[[#This Row],[Reach]]</f>
        <v>0.24599754319709244</v>
      </c>
    </row>
    <row r="143" spans="1:22" x14ac:dyDescent="0.3">
      <c r="A143" t="s">
        <v>194</v>
      </c>
      <c r="B143" t="s">
        <v>80</v>
      </c>
      <c r="C143" t="s">
        <v>19</v>
      </c>
      <c r="D143" t="s">
        <v>72</v>
      </c>
      <c r="E143">
        <v>276906</v>
      </c>
      <c r="F143">
        <v>155460</v>
      </c>
      <c r="G143">
        <v>354401</v>
      </c>
      <c r="H143">
        <v>15025</v>
      </c>
      <c r="I143">
        <v>2249</v>
      </c>
      <c r="J143">
        <v>1197</v>
      </c>
      <c r="K143">
        <f t="shared" si="4"/>
        <v>11.881512929370899</v>
      </c>
      <c r="L143">
        <v>188276</v>
      </c>
      <c r="M143">
        <v>269648</v>
      </c>
      <c r="N143">
        <f t="shared" si="5"/>
        <v>43.219528776901996</v>
      </c>
      <c r="O143" s="4">
        <v>45718</v>
      </c>
      <c r="P143" s="4">
        <v>45745</v>
      </c>
      <c r="Q143" t="s">
        <v>34</v>
      </c>
      <c r="R143">
        <f>Table2[[#This Row],[End_Date]]-Table2[[#This Row],[Start_Date]]</f>
        <v>27</v>
      </c>
      <c r="S143" t="str">
        <f>TEXT(Table2[[#This Row],[Start_Date]],"MMM")</f>
        <v>Mar</v>
      </c>
      <c r="T143">
        <f>YEAR(Table2[[#This Row],[Start_Date]])</f>
        <v>2025</v>
      </c>
      <c r="U143">
        <f>Table2[[#This Row],[Campaign_Cost (₹)]]/Table2[[#This Row],[Reach]]</f>
        <v>1.2110896693683262</v>
      </c>
      <c r="V143">
        <f>Table2[[#This Row],[Revenue_Generated (₹)]]/Table2[[#This Row],[Reach]]</f>
        <v>1.7345169175350572</v>
      </c>
    </row>
    <row r="144" spans="1:22" x14ac:dyDescent="0.3">
      <c r="A144" t="s">
        <v>195</v>
      </c>
      <c r="B144" t="s">
        <v>75</v>
      </c>
      <c r="C144" t="s">
        <v>28</v>
      </c>
      <c r="D144" t="s">
        <v>24</v>
      </c>
      <c r="E144">
        <v>1044975</v>
      </c>
      <c r="F144">
        <v>530577</v>
      </c>
      <c r="G144">
        <v>1188800</v>
      </c>
      <c r="H144">
        <v>15858</v>
      </c>
      <c r="I144">
        <v>699</v>
      </c>
      <c r="J144">
        <v>671</v>
      </c>
      <c r="K144">
        <f t="shared" si="4"/>
        <v>3.2470310624094147</v>
      </c>
      <c r="L144">
        <v>225386</v>
      </c>
      <c r="M144">
        <v>743550</v>
      </c>
      <c r="N144">
        <f t="shared" si="5"/>
        <v>229.90070368168384</v>
      </c>
      <c r="O144" s="4">
        <v>46080</v>
      </c>
      <c r="P144" s="4">
        <v>46100</v>
      </c>
      <c r="Q144" t="s">
        <v>41</v>
      </c>
      <c r="R144">
        <f>Table2[[#This Row],[End_Date]]-Table2[[#This Row],[Start_Date]]</f>
        <v>20</v>
      </c>
      <c r="S144" t="str">
        <f>TEXT(Table2[[#This Row],[Start_Date]],"MMM")</f>
        <v>Feb</v>
      </c>
      <c r="T144">
        <f>YEAR(Table2[[#This Row],[Start_Date]])</f>
        <v>2026</v>
      </c>
      <c r="U144">
        <f>Table2[[#This Row],[Campaign_Cost (₹)]]/Table2[[#This Row],[Reach]]</f>
        <v>0.42479413921070835</v>
      </c>
      <c r="V144">
        <f>Table2[[#This Row],[Revenue_Generated (₹)]]/Table2[[#This Row],[Reach]]</f>
        <v>1.4013988544546785</v>
      </c>
    </row>
    <row r="145" spans="1:22" x14ac:dyDescent="0.3">
      <c r="A145" t="s">
        <v>196</v>
      </c>
      <c r="B145" t="s">
        <v>39</v>
      </c>
      <c r="C145" t="s">
        <v>28</v>
      </c>
      <c r="D145" t="s">
        <v>58</v>
      </c>
      <c r="E145">
        <v>1935350</v>
      </c>
      <c r="F145">
        <v>841065</v>
      </c>
      <c r="G145">
        <v>1221566</v>
      </c>
      <c r="H145">
        <v>88276</v>
      </c>
      <c r="I145">
        <v>3689</v>
      </c>
      <c r="J145">
        <v>5805</v>
      </c>
      <c r="K145">
        <f t="shared" si="4"/>
        <v>11.62454744877031</v>
      </c>
      <c r="L145">
        <v>106412</v>
      </c>
      <c r="M145">
        <v>317604</v>
      </c>
      <c r="N145">
        <f t="shared" si="5"/>
        <v>198.46633838288915</v>
      </c>
      <c r="O145" s="4">
        <v>46004</v>
      </c>
      <c r="P145" s="4">
        <v>46014</v>
      </c>
      <c r="Q145" t="s">
        <v>30</v>
      </c>
      <c r="R145">
        <f>Table2[[#This Row],[End_Date]]-Table2[[#This Row],[Start_Date]]</f>
        <v>10</v>
      </c>
      <c r="S145" t="str">
        <f>TEXT(Table2[[#This Row],[Start_Date]],"MMM")</f>
        <v>Dec</v>
      </c>
      <c r="T145">
        <f>YEAR(Table2[[#This Row],[Start_Date]])</f>
        <v>2025</v>
      </c>
      <c r="U145">
        <f>Table2[[#This Row],[Campaign_Cost (₹)]]/Table2[[#This Row],[Reach]]</f>
        <v>0.12652054240754282</v>
      </c>
      <c r="V145">
        <f>Table2[[#This Row],[Revenue_Generated (₹)]]/Table2[[#This Row],[Reach]]</f>
        <v>0.3776212302259635</v>
      </c>
    </row>
    <row r="146" spans="1:22" x14ac:dyDescent="0.3">
      <c r="A146" t="s">
        <v>197</v>
      </c>
      <c r="B146" t="s">
        <v>53</v>
      </c>
      <c r="C146" t="s">
        <v>33</v>
      </c>
      <c r="D146" t="s">
        <v>20</v>
      </c>
      <c r="E146">
        <v>110329</v>
      </c>
      <c r="F146">
        <v>63800</v>
      </c>
      <c r="G146">
        <v>169347</v>
      </c>
      <c r="H146">
        <v>4070</v>
      </c>
      <c r="I146">
        <v>533</v>
      </c>
      <c r="J146">
        <v>113</v>
      </c>
      <c r="K146">
        <f t="shared" si="4"/>
        <v>7.391849529780564</v>
      </c>
      <c r="L146">
        <v>23723</v>
      </c>
      <c r="M146">
        <v>108769</v>
      </c>
      <c r="N146">
        <f t="shared" si="5"/>
        <v>358.49597437086373</v>
      </c>
      <c r="O146" s="4">
        <v>46108</v>
      </c>
      <c r="P146" s="4">
        <v>46120</v>
      </c>
      <c r="Q146" t="s">
        <v>25</v>
      </c>
      <c r="R146">
        <f>Table2[[#This Row],[End_Date]]-Table2[[#This Row],[Start_Date]]</f>
        <v>12</v>
      </c>
      <c r="S146" t="str">
        <f>TEXT(Table2[[#This Row],[Start_Date]],"MMM")</f>
        <v>Mar</v>
      </c>
      <c r="T146">
        <f>YEAR(Table2[[#This Row],[Start_Date]])</f>
        <v>2026</v>
      </c>
      <c r="U146">
        <f>Table2[[#This Row],[Campaign_Cost (₹)]]/Table2[[#This Row],[Reach]]</f>
        <v>0.37183385579937306</v>
      </c>
      <c r="V146">
        <f>Table2[[#This Row],[Revenue_Generated (₹)]]/Table2[[#This Row],[Reach]]</f>
        <v>1.7048432601880879</v>
      </c>
    </row>
    <row r="147" spans="1:22" x14ac:dyDescent="0.3">
      <c r="A147" t="s">
        <v>198</v>
      </c>
      <c r="B147" t="s">
        <v>39</v>
      </c>
      <c r="C147" t="s">
        <v>28</v>
      </c>
      <c r="D147" t="s">
        <v>20</v>
      </c>
      <c r="E147">
        <v>57115</v>
      </c>
      <c r="F147">
        <v>22174</v>
      </c>
      <c r="G147">
        <v>44438</v>
      </c>
      <c r="H147">
        <v>1933</v>
      </c>
      <c r="I147">
        <v>215</v>
      </c>
      <c r="J147">
        <v>65</v>
      </c>
      <c r="K147">
        <f t="shared" si="4"/>
        <v>9.9801569405610184</v>
      </c>
      <c r="L147">
        <v>385137</v>
      </c>
      <c r="M147">
        <v>1031052</v>
      </c>
      <c r="N147">
        <f t="shared" si="5"/>
        <v>167.71045108623684</v>
      </c>
      <c r="O147" s="4">
        <v>45855</v>
      </c>
      <c r="P147" s="4">
        <v>45879</v>
      </c>
      <c r="Q147" t="s">
        <v>41</v>
      </c>
      <c r="R147">
        <f>Table2[[#This Row],[End_Date]]-Table2[[#This Row],[Start_Date]]</f>
        <v>24</v>
      </c>
      <c r="S147" t="str">
        <f>TEXT(Table2[[#This Row],[Start_Date]],"MMM")</f>
        <v>Jul</v>
      </c>
      <c r="T147">
        <f>YEAR(Table2[[#This Row],[Start_Date]])</f>
        <v>2025</v>
      </c>
      <c r="U147">
        <f>Table2[[#This Row],[Campaign_Cost (₹)]]/Table2[[#This Row],[Reach]]</f>
        <v>17.368855416253268</v>
      </c>
      <c r="V147">
        <f>Table2[[#This Row],[Revenue_Generated (₹)]]/Table2[[#This Row],[Reach]]</f>
        <v>46.498241183367909</v>
      </c>
    </row>
    <row r="148" spans="1:22" x14ac:dyDescent="0.3">
      <c r="A148" t="s">
        <v>199</v>
      </c>
      <c r="B148" t="s">
        <v>75</v>
      </c>
      <c r="C148" t="s">
        <v>28</v>
      </c>
      <c r="D148" t="s">
        <v>51</v>
      </c>
      <c r="E148">
        <v>1463908</v>
      </c>
      <c r="F148">
        <v>595622</v>
      </c>
      <c r="G148">
        <v>1424918</v>
      </c>
      <c r="H148">
        <v>63865</v>
      </c>
      <c r="I148">
        <v>5026</v>
      </c>
      <c r="J148">
        <v>2144</v>
      </c>
      <c r="K148">
        <f t="shared" si="4"/>
        <v>11.926188085732225</v>
      </c>
      <c r="L148">
        <v>248589</v>
      </c>
      <c r="M148">
        <v>383044</v>
      </c>
      <c r="N148">
        <f t="shared" si="5"/>
        <v>54.087268543660414</v>
      </c>
      <c r="O148" s="4">
        <v>45772</v>
      </c>
      <c r="P148" s="4">
        <v>45798</v>
      </c>
      <c r="Q148" t="s">
        <v>47</v>
      </c>
      <c r="R148">
        <f>Table2[[#This Row],[End_Date]]-Table2[[#This Row],[Start_Date]]</f>
        <v>26</v>
      </c>
      <c r="S148" t="str">
        <f>TEXT(Table2[[#This Row],[Start_Date]],"MMM")</f>
        <v>Apr</v>
      </c>
      <c r="T148">
        <f>YEAR(Table2[[#This Row],[Start_Date]])</f>
        <v>2025</v>
      </c>
      <c r="U148">
        <f>Table2[[#This Row],[Campaign_Cost (₹)]]/Table2[[#This Row],[Reach]]</f>
        <v>0.41736033927558081</v>
      </c>
      <c r="V148">
        <f>Table2[[#This Row],[Revenue_Generated (₹)]]/Table2[[#This Row],[Reach]]</f>
        <v>0.64309914677429647</v>
      </c>
    </row>
    <row r="149" spans="1:22" x14ac:dyDescent="0.3">
      <c r="A149" t="s">
        <v>200</v>
      </c>
      <c r="B149" t="s">
        <v>61</v>
      </c>
      <c r="C149" t="s">
        <v>43</v>
      </c>
      <c r="D149" t="s">
        <v>46</v>
      </c>
      <c r="E149">
        <v>924686</v>
      </c>
      <c r="F149">
        <v>328980</v>
      </c>
      <c r="G149">
        <v>399378</v>
      </c>
      <c r="H149">
        <v>47853</v>
      </c>
      <c r="I149">
        <v>2247</v>
      </c>
      <c r="J149">
        <v>2141</v>
      </c>
      <c r="K149">
        <f t="shared" si="4"/>
        <v>15.879688734877501</v>
      </c>
      <c r="L149">
        <v>179421</v>
      </c>
      <c r="M149">
        <v>462669</v>
      </c>
      <c r="N149">
        <f t="shared" si="5"/>
        <v>157.8678081161068</v>
      </c>
      <c r="O149" s="4">
        <v>45831</v>
      </c>
      <c r="P149" s="4">
        <v>45854</v>
      </c>
      <c r="Q149" t="s">
        <v>41</v>
      </c>
      <c r="R149">
        <f>Table2[[#This Row],[End_Date]]-Table2[[#This Row],[Start_Date]]</f>
        <v>23</v>
      </c>
      <c r="S149" t="str">
        <f>TEXT(Table2[[#This Row],[Start_Date]],"MMM")</f>
        <v>Jun</v>
      </c>
      <c r="T149">
        <f>YEAR(Table2[[#This Row],[Start_Date]])</f>
        <v>2025</v>
      </c>
      <c r="U149">
        <f>Table2[[#This Row],[Campaign_Cost (₹)]]/Table2[[#This Row],[Reach]]</f>
        <v>0.54538573773481669</v>
      </c>
      <c r="V149">
        <f>Table2[[#This Row],[Revenue_Generated (₹)]]/Table2[[#This Row],[Reach]]</f>
        <v>1.4063742476746306</v>
      </c>
    </row>
    <row r="150" spans="1:22" x14ac:dyDescent="0.3">
      <c r="A150" t="s">
        <v>201</v>
      </c>
      <c r="B150" t="s">
        <v>80</v>
      </c>
      <c r="C150" t="s">
        <v>43</v>
      </c>
      <c r="D150" t="s">
        <v>29</v>
      </c>
      <c r="E150">
        <v>1570849</v>
      </c>
      <c r="F150">
        <v>545927</v>
      </c>
      <c r="G150">
        <v>1465382</v>
      </c>
      <c r="H150">
        <v>78300</v>
      </c>
      <c r="I150">
        <v>4980</v>
      </c>
      <c r="J150">
        <v>6221</v>
      </c>
      <c r="K150">
        <f t="shared" si="4"/>
        <v>16.394316456229497</v>
      </c>
      <c r="L150">
        <v>378818</v>
      </c>
      <c r="M150">
        <v>1562330</v>
      </c>
      <c r="N150">
        <f t="shared" si="5"/>
        <v>312.42232417678144</v>
      </c>
      <c r="O150" s="4">
        <v>45937</v>
      </c>
      <c r="P150" s="4">
        <v>45959</v>
      </c>
      <c r="Q150" t="s">
        <v>25</v>
      </c>
      <c r="R150">
        <f>Table2[[#This Row],[End_Date]]-Table2[[#This Row],[Start_Date]]</f>
        <v>22</v>
      </c>
      <c r="S150" t="str">
        <f>TEXT(Table2[[#This Row],[Start_Date]],"MMM")</f>
        <v>Oct</v>
      </c>
      <c r="T150">
        <f>YEAR(Table2[[#This Row],[Start_Date]])</f>
        <v>2025</v>
      </c>
      <c r="U150">
        <f>Table2[[#This Row],[Campaign_Cost (₹)]]/Table2[[#This Row],[Reach]]</f>
        <v>0.69389863479915814</v>
      </c>
      <c r="V150">
        <f>Table2[[#This Row],[Revenue_Generated (₹)]]/Table2[[#This Row],[Reach]]</f>
        <v>2.8617928770696448</v>
      </c>
    </row>
    <row r="151" spans="1:22" x14ac:dyDescent="0.3">
      <c r="A151" t="s">
        <v>202</v>
      </c>
      <c r="B151" t="s">
        <v>57</v>
      </c>
      <c r="C151" t="s">
        <v>43</v>
      </c>
      <c r="D151" t="s">
        <v>46</v>
      </c>
      <c r="E151">
        <v>1966558</v>
      </c>
      <c r="F151">
        <v>782455</v>
      </c>
      <c r="G151">
        <v>1762615</v>
      </c>
      <c r="H151">
        <v>39802</v>
      </c>
      <c r="I151">
        <v>4032</v>
      </c>
      <c r="J151">
        <v>3574</v>
      </c>
      <c r="K151">
        <f t="shared" si="4"/>
        <v>6.0588787853614585</v>
      </c>
      <c r="L151">
        <v>136096</v>
      </c>
      <c r="M151">
        <v>512183</v>
      </c>
      <c r="N151">
        <f t="shared" si="5"/>
        <v>276.33949565012932</v>
      </c>
      <c r="O151" s="4">
        <v>45912</v>
      </c>
      <c r="P151" s="4">
        <v>45940</v>
      </c>
      <c r="Q151" t="s">
        <v>30</v>
      </c>
      <c r="R151">
        <f>Table2[[#This Row],[End_Date]]-Table2[[#This Row],[Start_Date]]</f>
        <v>28</v>
      </c>
      <c r="S151" t="str">
        <f>TEXT(Table2[[#This Row],[Start_Date]],"MMM")</f>
        <v>Sep</v>
      </c>
      <c r="T151">
        <f>YEAR(Table2[[#This Row],[Start_Date]])</f>
        <v>2025</v>
      </c>
      <c r="U151">
        <f>Table2[[#This Row],[Campaign_Cost (₹)]]/Table2[[#This Row],[Reach]]</f>
        <v>0.17393460326791957</v>
      </c>
      <c r="V151">
        <f>Table2[[#This Row],[Revenue_Generated (₹)]]/Table2[[#This Row],[Reach]]</f>
        <v>0.65458460869954183</v>
      </c>
    </row>
    <row r="152" spans="1:22" x14ac:dyDescent="0.3">
      <c r="A152" t="s">
        <v>203</v>
      </c>
      <c r="B152" t="s">
        <v>63</v>
      </c>
      <c r="C152" t="s">
        <v>43</v>
      </c>
      <c r="D152" t="s">
        <v>40</v>
      </c>
      <c r="E152">
        <v>1198012</v>
      </c>
      <c r="F152">
        <v>885506</v>
      </c>
      <c r="G152">
        <v>2182946</v>
      </c>
      <c r="H152">
        <v>81161</v>
      </c>
      <c r="I152">
        <v>5701</v>
      </c>
      <c r="J152">
        <v>7553</v>
      </c>
      <c r="K152">
        <f t="shared" si="4"/>
        <v>10.662265416609261</v>
      </c>
      <c r="L152">
        <v>440482</v>
      </c>
      <c r="M152">
        <v>1101181</v>
      </c>
      <c r="N152">
        <f t="shared" si="5"/>
        <v>149.99455142321366</v>
      </c>
      <c r="O152" s="4">
        <v>46091</v>
      </c>
      <c r="P152" s="4">
        <v>46102</v>
      </c>
      <c r="Q152" t="s">
        <v>21</v>
      </c>
      <c r="R152">
        <f>Table2[[#This Row],[End_Date]]-Table2[[#This Row],[Start_Date]]</f>
        <v>11</v>
      </c>
      <c r="S152" t="str">
        <f>TEXT(Table2[[#This Row],[Start_Date]],"MMM")</f>
        <v>Mar</v>
      </c>
      <c r="T152">
        <f>YEAR(Table2[[#This Row],[Start_Date]])</f>
        <v>2026</v>
      </c>
      <c r="U152">
        <f>Table2[[#This Row],[Campaign_Cost (₹)]]/Table2[[#This Row],[Reach]]</f>
        <v>0.49743536463897475</v>
      </c>
      <c r="V152">
        <f>Table2[[#This Row],[Revenue_Generated (₹)]]/Table2[[#This Row],[Reach]]</f>
        <v>1.2435613084496322</v>
      </c>
    </row>
    <row r="153" spans="1:22" x14ac:dyDescent="0.3">
      <c r="A153" t="s">
        <v>204</v>
      </c>
      <c r="B153" t="s">
        <v>27</v>
      </c>
      <c r="C153" t="s">
        <v>28</v>
      </c>
      <c r="D153" t="s">
        <v>40</v>
      </c>
      <c r="E153">
        <v>1629231</v>
      </c>
      <c r="F153">
        <v>963834</v>
      </c>
      <c r="G153">
        <v>1149759</v>
      </c>
      <c r="H153">
        <v>119711</v>
      </c>
      <c r="I153">
        <v>12723</v>
      </c>
      <c r="J153">
        <v>3189</v>
      </c>
      <c r="K153">
        <f t="shared" si="4"/>
        <v>14.071198982397384</v>
      </c>
      <c r="L153">
        <v>96110</v>
      </c>
      <c r="M153">
        <v>373059</v>
      </c>
      <c r="N153">
        <f t="shared" si="5"/>
        <v>288.15836021225675</v>
      </c>
      <c r="O153" s="4">
        <v>45784</v>
      </c>
      <c r="P153" s="4">
        <v>45798</v>
      </c>
      <c r="Q153" t="s">
        <v>47</v>
      </c>
      <c r="R153">
        <f>Table2[[#This Row],[End_Date]]-Table2[[#This Row],[Start_Date]]</f>
        <v>14</v>
      </c>
      <c r="S153" t="str">
        <f>TEXT(Table2[[#This Row],[Start_Date]],"MMM")</f>
        <v>May</v>
      </c>
      <c r="T153">
        <f>YEAR(Table2[[#This Row],[Start_Date]])</f>
        <v>2025</v>
      </c>
      <c r="U153">
        <f>Table2[[#This Row],[Campaign_Cost (₹)]]/Table2[[#This Row],[Reach]]</f>
        <v>9.9716341195683081E-2</v>
      </c>
      <c r="V153">
        <f>Table2[[#This Row],[Revenue_Generated (₹)]]/Table2[[#This Row],[Reach]]</f>
        <v>0.3870573148488225</v>
      </c>
    </row>
    <row r="154" spans="1:22" x14ac:dyDescent="0.3">
      <c r="A154" t="s">
        <v>205</v>
      </c>
      <c r="B154" t="s">
        <v>80</v>
      </c>
      <c r="C154" t="s">
        <v>19</v>
      </c>
      <c r="D154" t="s">
        <v>40</v>
      </c>
      <c r="E154">
        <v>1038878</v>
      </c>
      <c r="F154">
        <v>758447</v>
      </c>
      <c r="G154">
        <v>2171488</v>
      </c>
      <c r="H154">
        <v>87195</v>
      </c>
      <c r="I154">
        <v>5669</v>
      </c>
      <c r="J154">
        <v>8531</v>
      </c>
      <c r="K154">
        <f t="shared" si="4"/>
        <v>13.36876538505657</v>
      </c>
      <c r="L154">
        <v>103502</v>
      </c>
      <c r="M154">
        <v>201297</v>
      </c>
      <c r="N154">
        <f t="shared" si="5"/>
        <v>94.486096887016686</v>
      </c>
      <c r="O154" s="4">
        <v>45977</v>
      </c>
      <c r="P154" s="4">
        <v>45996</v>
      </c>
      <c r="Q154" t="s">
        <v>34</v>
      </c>
      <c r="R154">
        <f>Table2[[#This Row],[End_Date]]-Table2[[#This Row],[Start_Date]]</f>
        <v>19</v>
      </c>
      <c r="S154" t="str">
        <f>TEXT(Table2[[#This Row],[Start_Date]],"MMM")</f>
        <v>Nov</v>
      </c>
      <c r="T154">
        <f>YEAR(Table2[[#This Row],[Start_Date]])</f>
        <v>2025</v>
      </c>
      <c r="U154">
        <f>Table2[[#This Row],[Campaign_Cost (₹)]]/Table2[[#This Row],[Reach]]</f>
        <v>0.13646569898753638</v>
      </c>
      <c r="V154">
        <f>Table2[[#This Row],[Revenue_Generated (₹)]]/Table2[[#This Row],[Reach]]</f>
        <v>0.26540681155044454</v>
      </c>
    </row>
    <row r="155" spans="1:22" x14ac:dyDescent="0.3">
      <c r="A155" t="s">
        <v>206</v>
      </c>
      <c r="B155" t="s">
        <v>80</v>
      </c>
      <c r="C155" t="s">
        <v>43</v>
      </c>
      <c r="D155" t="s">
        <v>29</v>
      </c>
      <c r="E155">
        <v>1783462</v>
      </c>
      <c r="F155">
        <v>1457265</v>
      </c>
      <c r="G155">
        <v>1952374</v>
      </c>
      <c r="H155">
        <v>48427</v>
      </c>
      <c r="I155">
        <v>7262</v>
      </c>
      <c r="J155">
        <v>2845</v>
      </c>
      <c r="K155">
        <f t="shared" si="4"/>
        <v>4.0167025215043246</v>
      </c>
      <c r="L155">
        <v>345502</v>
      </c>
      <c r="M155">
        <v>842400</v>
      </c>
      <c r="N155">
        <f t="shared" si="5"/>
        <v>143.81913852886527</v>
      </c>
      <c r="O155" s="4">
        <v>46096</v>
      </c>
      <c r="P155" s="4">
        <v>46104</v>
      </c>
      <c r="Q155" t="s">
        <v>30</v>
      </c>
      <c r="R155">
        <f>Table2[[#This Row],[End_Date]]-Table2[[#This Row],[Start_Date]]</f>
        <v>8</v>
      </c>
      <c r="S155" t="str">
        <f>TEXT(Table2[[#This Row],[Start_Date]],"MMM")</f>
        <v>Mar</v>
      </c>
      <c r="T155">
        <f>YEAR(Table2[[#This Row],[Start_Date]])</f>
        <v>2026</v>
      </c>
      <c r="U155">
        <f>Table2[[#This Row],[Campaign_Cost (₹)]]/Table2[[#This Row],[Reach]]</f>
        <v>0.23708934202084042</v>
      </c>
      <c r="V155">
        <f>Table2[[#This Row],[Revenue_Generated (₹)]]/Table2[[#This Row],[Reach]]</f>
        <v>0.57806919125896805</v>
      </c>
    </row>
    <row r="156" spans="1:22" x14ac:dyDescent="0.3">
      <c r="A156" t="s">
        <v>207</v>
      </c>
      <c r="B156" t="s">
        <v>63</v>
      </c>
      <c r="C156" t="s">
        <v>28</v>
      </c>
      <c r="D156" t="s">
        <v>46</v>
      </c>
      <c r="E156">
        <v>905613</v>
      </c>
      <c r="F156">
        <v>336146</v>
      </c>
      <c r="G156">
        <v>955897</v>
      </c>
      <c r="H156">
        <v>33856</v>
      </c>
      <c r="I156">
        <v>1273</v>
      </c>
      <c r="J156">
        <v>1377</v>
      </c>
      <c r="K156">
        <f t="shared" si="4"/>
        <v>10.860161953436899</v>
      </c>
      <c r="L156">
        <v>250838</v>
      </c>
      <c r="M156">
        <v>307969</v>
      </c>
      <c r="N156">
        <f t="shared" si="5"/>
        <v>22.776054664763713</v>
      </c>
      <c r="O156" s="4">
        <v>46006</v>
      </c>
      <c r="P156" s="4">
        <v>46015</v>
      </c>
      <c r="Q156" t="s">
        <v>21</v>
      </c>
      <c r="R156">
        <f>Table2[[#This Row],[End_Date]]-Table2[[#This Row],[Start_Date]]</f>
        <v>9</v>
      </c>
      <c r="S156" t="str">
        <f>TEXT(Table2[[#This Row],[Start_Date]],"MMM")</f>
        <v>Dec</v>
      </c>
      <c r="T156">
        <f>YEAR(Table2[[#This Row],[Start_Date]])</f>
        <v>2025</v>
      </c>
      <c r="U156">
        <f>Table2[[#This Row],[Campaign_Cost (₹)]]/Table2[[#This Row],[Reach]]</f>
        <v>0.74621741743171122</v>
      </c>
      <c r="V156">
        <f>Table2[[#This Row],[Revenue_Generated (₹)]]/Table2[[#This Row],[Reach]]</f>
        <v>0.91617630434394581</v>
      </c>
    </row>
    <row r="157" spans="1:22" x14ac:dyDescent="0.3">
      <c r="A157" t="s">
        <v>208</v>
      </c>
      <c r="B157" t="s">
        <v>75</v>
      </c>
      <c r="C157" t="s">
        <v>37</v>
      </c>
      <c r="D157" t="s">
        <v>40</v>
      </c>
      <c r="E157">
        <v>1290432</v>
      </c>
      <c r="F157">
        <v>952527</v>
      </c>
      <c r="G157">
        <v>1735864</v>
      </c>
      <c r="H157">
        <v>128303</v>
      </c>
      <c r="I157">
        <v>5138</v>
      </c>
      <c r="J157">
        <v>5147</v>
      </c>
      <c r="K157">
        <f t="shared" si="4"/>
        <v>14.549508832820488</v>
      </c>
      <c r="L157">
        <v>189409</v>
      </c>
      <c r="M157">
        <v>289380</v>
      </c>
      <c r="N157">
        <f t="shared" si="5"/>
        <v>52.780490895363997</v>
      </c>
      <c r="O157" s="4">
        <v>45673</v>
      </c>
      <c r="P157" s="4">
        <v>45687</v>
      </c>
      <c r="Q157" t="s">
        <v>25</v>
      </c>
      <c r="R157">
        <f>Table2[[#This Row],[End_Date]]-Table2[[#This Row],[Start_Date]]</f>
        <v>14</v>
      </c>
      <c r="S157" t="str">
        <f>TEXT(Table2[[#This Row],[Start_Date]],"MMM")</f>
        <v>Jan</v>
      </c>
      <c r="T157">
        <f>YEAR(Table2[[#This Row],[Start_Date]])</f>
        <v>2025</v>
      </c>
      <c r="U157">
        <f>Table2[[#This Row],[Campaign_Cost (₹)]]/Table2[[#This Row],[Reach]]</f>
        <v>0.1988489565125188</v>
      </c>
      <c r="V157">
        <f>Table2[[#This Row],[Revenue_Generated (₹)]]/Table2[[#This Row],[Reach]]</f>
        <v>0.30380241190013513</v>
      </c>
    </row>
    <row r="158" spans="1:22" x14ac:dyDescent="0.3">
      <c r="A158" t="s">
        <v>209</v>
      </c>
      <c r="B158" t="s">
        <v>75</v>
      </c>
      <c r="C158" t="s">
        <v>28</v>
      </c>
      <c r="D158" t="s">
        <v>24</v>
      </c>
      <c r="E158">
        <v>63789</v>
      </c>
      <c r="F158">
        <v>24586</v>
      </c>
      <c r="G158">
        <v>29040</v>
      </c>
      <c r="H158">
        <v>2895</v>
      </c>
      <c r="I158">
        <v>273</v>
      </c>
      <c r="J158">
        <v>111</v>
      </c>
      <c r="K158">
        <f t="shared" si="4"/>
        <v>13.336858374684779</v>
      </c>
      <c r="L158">
        <v>389820</v>
      </c>
      <c r="M158">
        <v>1752989</v>
      </c>
      <c r="N158">
        <f t="shared" si="5"/>
        <v>349.69190908624495</v>
      </c>
      <c r="O158" s="4">
        <v>45830</v>
      </c>
      <c r="P158" s="4">
        <v>45849</v>
      </c>
      <c r="Q158" t="s">
        <v>41</v>
      </c>
      <c r="R158">
        <f>Table2[[#This Row],[End_Date]]-Table2[[#This Row],[Start_Date]]</f>
        <v>19</v>
      </c>
      <c r="S158" t="str">
        <f>TEXT(Table2[[#This Row],[Start_Date]],"MMM")</f>
        <v>Jun</v>
      </c>
      <c r="T158">
        <f>YEAR(Table2[[#This Row],[Start_Date]])</f>
        <v>2025</v>
      </c>
      <c r="U158">
        <f>Table2[[#This Row],[Campaign_Cost (₹)]]/Table2[[#This Row],[Reach]]</f>
        <v>15.855364841779874</v>
      </c>
      <c r="V158">
        <f>Table2[[#This Row],[Revenue_Generated (₹)]]/Table2[[#This Row],[Reach]]</f>
        <v>71.300292849589198</v>
      </c>
    </row>
    <row r="159" spans="1:22" x14ac:dyDescent="0.3">
      <c r="A159" t="s">
        <v>210</v>
      </c>
      <c r="B159" t="s">
        <v>49</v>
      </c>
      <c r="C159" t="s">
        <v>37</v>
      </c>
      <c r="D159" t="s">
        <v>46</v>
      </c>
      <c r="E159">
        <v>479472</v>
      </c>
      <c r="F159">
        <v>191029</v>
      </c>
      <c r="G159">
        <v>272617</v>
      </c>
      <c r="H159">
        <v>26130</v>
      </c>
      <c r="I159">
        <v>1695</v>
      </c>
      <c r="J159">
        <v>748</v>
      </c>
      <c r="K159">
        <f t="shared" si="4"/>
        <v>14.957414842772563</v>
      </c>
      <c r="L159">
        <v>395429</v>
      </c>
      <c r="M159">
        <v>705640</v>
      </c>
      <c r="N159">
        <f t="shared" si="5"/>
        <v>78.449228559362112</v>
      </c>
      <c r="O159" s="4">
        <v>45776</v>
      </c>
      <c r="P159" s="4">
        <v>45804</v>
      </c>
      <c r="Q159" t="s">
        <v>34</v>
      </c>
      <c r="R159">
        <f>Table2[[#This Row],[End_Date]]-Table2[[#This Row],[Start_Date]]</f>
        <v>28</v>
      </c>
      <c r="S159" t="str">
        <f>TEXT(Table2[[#This Row],[Start_Date]],"MMM")</f>
        <v>Apr</v>
      </c>
      <c r="T159">
        <f>YEAR(Table2[[#This Row],[Start_Date]])</f>
        <v>2025</v>
      </c>
      <c r="U159">
        <f>Table2[[#This Row],[Campaign_Cost (₹)]]/Table2[[#This Row],[Reach]]</f>
        <v>2.0699946081485012</v>
      </c>
      <c r="V159">
        <f>Table2[[#This Row],[Revenue_Generated (₹)]]/Table2[[#This Row],[Reach]]</f>
        <v>3.6938894094613905</v>
      </c>
    </row>
    <row r="160" spans="1:22" x14ac:dyDescent="0.3">
      <c r="A160" t="s">
        <v>211</v>
      </c>
      <c r="B160" t="s">
        <v>80</v>
      </c>
      <c r="C160" t="s">
        <v>43</v>
      </c>
      <c r="D160" t="s">
        <v>29</v>
      </c>
      <c r="E160">
        <v>920157</v>
      </c>
      <c r="F160">
        <v>681533</v>
      </c>
      <c r="G160">
        <v>1046376</v>
      </c>
      <c r="H160">
        <v>101243</v>
      </c>
      <c r="I160">
        <v>3692</v>
      </c>
      <c r="J160">
        <v>4492</v>
      </c>
      <c r="K160">
        <f t="shared" si="4"/>
        <v>16.056009026708903</v>
      </c>
      <c r="L160">
        <v>481762</v>
      </c>
      <c r="M160">
        <v>1723819</v>
      </c>
      <c r="N160">
        <f t="shared" si="5"/>
        <v>257.81547735188741</v>
      </c>
      <c r="O160" s="4">
        <v>45748</v>
      </c>
      <c r="P160" s="4">
        <v>45777</v>
      </c>
      <c r="Q160" t="s">
        <v>54</v>
      </c>
      <c r="R160">
        <f>Table2[[#This Row],[End_Date]]-Table2[[#This Row],[Start_Date]]</f>
        <v>29</v>
      </c>
      <c r="S160" t="str">
        <f>TEXT(Table2[[#This Row],[Start_Date]],"MMM")</f>
        <v>Apr</v>
      </c>
      <c r="T160">
        <f>YEAR(Table2[[#This Row],[Start_Date]])</f>
        <v>2025</v>
      </c>
      <c r="U160">
        <f>Table2[[#This Row],[Campaign_Cost (₹)]]/Table2[[#This Row],[Reach]]</f>
        <v>0.70687993097913082</v>
      </c>
      <c r="V160">
        <f>Table2[[#This Row],[Revenue_Generated (₹)]]/Table2[[#This Row],[Reach]]</f>
        <v>2.5293257993376694</v>
      </c>
    </row>
    <row r="161" spans="1:22" x14ac:dyDescent="0.3">
      <c r="A161" t="s">
        <v>212</v>
      </c>
      <c r="B161" t="s">
        <v>53</v>
      </c>
      <c r="C161" t="s">
        <v>33</v>
      </c>
      <c r="D161" t="s">
        <v>58</v>
      </c>
      <c r="E161">
        <v>171316</v>
      </c>
      <c r="F161">
        <v>96797</v>
      </c>
      <c r="G161">
        <v>212259</v>
      </c>
      <c r="H161">
        <v>6211</v>
      </c>
      <c r="I161">
        <v>343</v>
      </c>
      <c r="J161">
        <v>549</v>
      </c>
      <c r="K161">
        <f t="shared" si="4"/>
        <v>7.3380373358678472</v>
      </c>
      <c r="L161">
        <v>209227</v>
      </c>
      <c r="M161">
        <v>617835</v>
      </c>
      <c r="N161">
        <f t="shared" si="5"/>
        <v>195.29410640118149</v>
      </c>
      <c r="O161" s="4">
        <v>45932</v>
      </c>
      <c r="P161" s="4">
        <v>45951</v>
      </c>
      <c r="Q161" t="s">
        <v>47</v>
      </c>
      <c r="R161">
        <f>Table2[[#This Row],[End_Date]]-Table2[[#This Row],[Start_Date]]</f>
        <v>19</v>
      </c>
      <c r="S161" t="str">
        <f>TEXT(Table2[[#This Row],[Start_Date]],"MMM")</f>
        <v>Oct</v>
      </c>
      <c r="T161">
        <f>YEAR(Table2[[#This Row],[Start_Date]])</f>
        <v>2025</v>
      </c>
      <c r="U161">
        <f>Table2[[#This Row],[Campaign_Cost (₹)]]/Table2[[#This Row],[Reach]]</f>
        <v>2.1615029391406759</v>
      </c>
      <c r="V161">
        <f>Table2[[#This Row],[Revenue_Generated (₹)]]/Table2[[#This Row],[Reach]]</f>
        <v>6.3827907889707323</v>
      </c>
    </row>
    <row r="162" spans="1:22" x14ac:dyDescent="0.3">
      <c r="A162" t="s">
        <v>213</v>
      </c>
      <c r="B162" t="s">
        <v>63</v>
      </c>
      <c r="C162" t="s">
        <v>37</v>
      </c>
      <c r="D162" t="s">
        <v>40</v>
      </c>
      <c r="E162">
        <v>1144275</v>
      </c>
      <c r="F162">
        <v>1012268</v>
      </c>
      <c r="G162">
        <v>1867070</v>
      </c>
      <c r="H162">
        <v>115566</v>
      </c>
      <c r="I162">
        <v>7012</v>
      </c>
      <c r="J162">
        <v>10691</v>
      </c>
      <c r="K162">
        <f t="shared" si="4"/>
        <v>13.165387031892738</v>
      </c>
      <c r="L162">
        <v>14940</v>
      </c>
      <c r="M162">
        <v>45726</v>
      </c>
      <c r="N162">
        <f t="shared" si="5"/>
        <v>206.06425702811245</v>
      </c>
      <c r="O162" s="4">
        <v>46126</v>
      </c>
      <c r="P162" s="4">
        <v>46144</v>
      </c>
      <c r="Q162" t="s">
        <v>25</v>
      </c>
      <c r="R162">
        <f>Table2[[#This Row],[End_Date]]-Table2[[#This Row],[Start_Date]]</f>
        <v>18</v>
      </c>
      <c r="S162" t="str">
        <f>TEXT(Table2[[#This Row],[Start_Date]],"MMM")</f>
        <v>Apr</v>
      </c>
      <c r="T162">
        <f>YEAR(Table2[[#This Row],[Start_Date]])</f>
        <v>2026</v>
      </c>
      <c r="U162">
        <f>Table2[[#This Row],[Campaign_Cost (₹)]]/Table2[[#This Row],[Reach]]</f>
        <v>1.4758937356510331E-2</v>
      </c>
      <c r="V162">
        <f>Table2[[#This Row],[Revenue_Generated (₹)]]/Table2[[#This Row],[Reach]]</f>
        <v>4.5171831965447884E-2</v>
      </c>
    </row>
    <row r="163" spans="1:22" x14ac:dyDescent="0.3">
      <c r="A163" t="s">
        <v>214</v>
      </c>
      <c r="B163" t="s">
        <v>80</v>
      </c>
      <c r="C163" t="s">
        <v>37</v>
      </c>
      <c r="D163" t="s">
        <v>46</v>
      </c>
      <c r="E163">
        <v>1374064</v>
      </c>
      <c r="F163">
        <v>641455</v>
      </c>
      <c r="G163">
        <v>913301</v>
      </c>
      <c r="H163">
        <v>18379</v>
      </c>
      <c r="I163">
        <v>1710</v>
      </c>
      <c r="J163">
        <v>708</v>
      </c>
      <c r="K163">
        <f t="shared" si="4"/>
        <v>3.2421604009634351</v>
      </c>
      <c r="L163">
        <v>264486</v>
      </c>
      <c r="M163">
        <v>1111869</v>
      </c>
      <c r="N163">
        <f t="shared" si="5"/>
        <v>320.388602799392</v>
      </c>
      <c r="O163" s="4">
        <v>45922</v>
      </c>
      <c r="P163" s="4">
        <v>45943</v>
      </c>
      <c r="Q163" t="s">
        <v>21</v>
      </c>
      <c r="R163">
        <f>Table2[[#This Row],[End_Date]]-Table2[[#This Row],[Start_Date]]</f>
        <v>21</v>
      </c>
      <c r="S163" t="str">
        <f>TEXT(Table2[[#This Row],[Start_Date]],"MMM")</f>
        <v>Sep</v>
      </c>
      <c r="T163">
        <f>YEAR(Table2[[#This Row],[Start_Date]])</f>
        <v>2025</v>
      </c>
      <c r="U163">
        <f>Table2[[#This Row],[Campaign_Cost (₹)]]/Table2[[#This Row],[Reach]]</f>
        <v>0.41232198673328607</v>
      </c>
      <c r="V163">
        <f>Table2[[#This Row],[Revenue_Generated (₹)]]/Table2[[#This Row],[Reach]]</f>
        <v>1.7333546390627557</v>
      </c>
    </row>
    <row r="164" spans="1:22" x14ac:dyDescent="0.3">
      <c r="A164" t="s">
        <v>215</v>
      </c>
      <c r="B164" t="s">
        <v>23</v>
      </c>
      <c r="C164" t="s">
        <v>28</v>
      </c>
      <c r="D164" t="s">
        <v>29</v>
      </c>
      <c r="E164">
        <v>700363</v>
      </c>
      <c r="F164">
        <v>362099</v>
      </c>
      <c r="G164">
        <v>956070</v>
      </c>
      <c r="H164">
        <v>30480</v>
      </c>
      <c r="I164">
        <v>2256</v>
      </c>
      <c r="J164">
        <v>2288</v>
      </c>
      <c r="K164">
        <f t="shared" si="4"/>
        <v>9.6724928817809488</v>
      </c>
      <c r="L164">
        <v>241325</v>
      </c>
      <c r="M164">
        <v>335944</v>
      </c>
      <c r="N164">
        <f t="shared" si="5"/>
        <v>39.208121827411169</v>
      </c>
      <c r="O164" s="4">
        <v>45971</v>
      </c>
      <c r="P164" s="4">
        <v>45988</v>
      </c>
      <c r="Q164" t="s">
        <v>54</v>
      </c>
      <c r="R164">
        <f>Table2[[#This Row],[End_Date]]-Table2[[#This Row],[Start_Date]]</f>
        <v>17</v>
      </c>
      <c r="S164" t="str">
        <f>TEXT(Table2[[#This Row],[Start_Date]],"MMM")</f>
        <v>Nov</v>
      </c>
      <c r="T164">
        <f>YEAR(Table2[[#This Row],[Start_Date]])</f>
        <v>2025</v>
      </c>
      <c r="U164">
        <f>Table2[[#This Row],[Campaign_Cost (₹)]]/Table2[[#This Row],[Reach]]</f>
        <v>0.66646138210820793</v>
      </c>
      <c r="V164">
        <f>Table2[[#This Row],[Revenue_Generated (₹)]]/Table2[[#This Row],[Reach]]</f>
        <v>0.92776837273784241</v>
      </c>
    </row>
    <row r="165" spans="1:22" x14ac:dyDescent="0.3">
      <c r="A165" t="s">
        <v>216</v>
      </c>
      <c r="B165" t="s">
        <v>18</v>
      </c>
      <c r="C165" t="s">
        <v>33</v>
      </c>
      <c r="D165" t="s">
        <v>58</v>
      </c>
      <c r="E165">
        <v>877396</v>
      </c>
      <c r="F165">
        <v>784761</v>
      </c>
      <c r="G165">
        <v>1504537</v>
      </c>
      <c r="H165">
        <v>52593</v>
      </c>
      <c r="I165">
        <v>6400</v>
      </c>
      <c r="J165">
        <v>2449</v>
      </c>
      <c r="K165">
        <f t="shared" si="4"/>
        <v>7.8293900945638217</v>
      </c>
      <c r="L165">
        <v>260846</v>
      </c>
      <c r="M165">
        <v>1153275</v>
      </c>
      <c r="N165">
        <f t="shared" si="5"/>
        <v>342.1286889582359</v>
      </c>
      <c r="O165" s="4">
        <v>45823</v>
      </c>
      <c r="P165" s="4">
        <v>45849</v>
      </c>
      <c r="Q165" t="s">
        <v>78</v>
      </c>
      <c r="R165">
        <f>Table2[[#This Row],[End_Date]]-Table2[[#This Row],[Start_Date]]</f>
        <v>26</v>
      </c>
      <c r="S165" t="str">
        <f>TEXT(Table2[[#This Row],[Start_Date]],"MMM")</f>
        <v>Jun</v>
      </c>
      <c r="T165">
        <f>YEAR(Table2[[#This Row],[Start_Date]])</f>
        <v>2025</v>
      </c>
      <c r="U165">
        <f>Table2[[#This Row],[Campaign_Cost (₹)]]/Table2[[#This Row],[Reach]]</f>
        <v>0.33238909680781792</v>
      </c>
      <c r="V165">
        <f>Table2[[#This Row],[Revenue_Generated (₹)]]/Table2[[#This Row],[Reach]]</f>
        <v>1.4695875559565268</v>
      </c>
    </row>
    <row r="166" spans="1:22" x14ac:dyDescent="0.3">
      <c r="A166" t="s">
        <v>217</v>
      </c>
      <c r="B166" t="s">
        <v>27</v>
      </c>
      <c r="C166" t="s">
        <v>33</v>
      </c>
      <c r="D166" t="s">
        <v>51</v>
      </c>
      <c r="E166">
        <v>1195738</v>
      </c>
      <c r="F166">
        <v>378007</v>
      </c>
      <c r="G166">
        <v>454219</v>
      </c>
      <c r="H166">
        <v>53703</v>
      </c>
      <c r="I166">
        <v>3829</v>
      </c>
      <c r="J166">
        <v>2002</v>
      </c>
      <c r="K166">
        <f t="shared" si="4"/>
        <v>15.749443793368906</v>
      </c>
      <c r="L166">
        <v>397534</v>
      </c>
      <c r="M166">
        <v>1623208</v>
      </c>
      <c r="N166">
        <f t="shared" si="5"/>
        <v>308.31928841306654</v>
      </c>
      <c r="O166" s="4">
        <v>46056</v>
      </c>
      <c r="P166" s="4">
        <v>46074</v>
      </c>
      <c r="Q166" t="s">
        <v>54</v>
      </c>
      <c r="R166">
        <f>Table2[[#This Row],[End_Date]]-Table2[[#This Row],[Start_Date]]</f>
        <v>18</v>
      </c>
      <c r="S166" t="str">
        <f>TEXT(Table2[[#This Row],[Start_Date]],"MMM")</f>
        <v>Feb</v>
      </c>
      <c r="T166">
        <f>YEAR(Table2[[#This Row],[Start_Date]])</f>
        <v>2026</v>
      </c>
      <c r="U166">
        <f>Table2[[#This Row],[Campaign_Cost (₹)]]/Table2[[#This Row],[Reach]]</f>
        <v>1.0516577735332944</v>
      </c>
      <c r="V166">
        <f>Table2[[#This Row],[Revenue_Generated (₹)]]/Table2[[#This Row],[Reach]]</f>
        <v>4.2941215374318462</v>
      </c>
    </row>
    <row r="167" spans="1:22" x14ac:dyDescent="0.3">
      <c r="A167" t="s">
        <v>218</v>
      </c>
      <c r="B167" t="s">
        <v>23</v>
      </c>
      <c r="C167" t="s">
        <v>19</v>
      </c>
      <c r="D167" t="s">
        <v>20</v>
      </c>
      <c r="E167">
        <v>688981</v>
      </c>
      <c r="F167">
        <v>616540</v>
      </c>
      <c r="G167">
        <v>1137075</v>
      </c>
      <c r="H167">
        <v>50070</v>
      </c>
      <c r="I167">
        <v>3197</v>
      </c>
      <c r="J167">
        <v>1058</v>
      </c>
      <c r="K167">
        <f t="shared" si="4"/>
        <v>8.8112693418107497</v>
      </c>
      <c r="L167">
        <v>433599</v>
      </c>
      <c r="M167">
        <v>895433</v>
      </c>
      <c r="N167">
        <f t="shared" si="5"/>
        <v>106.51177701055583</v>
      </c>
      <c r="O167" s="4">
        <v>45873</v>
      </c>
      <c r="P167" s="4">
        <v>45882</v>
      </c>
      <c r="Q167" t="s">
        <v>25</v>
      </c>
      <c r="R167">
        <f>Table2[[#This Row],[End_Date]]-Table2[[#This Row],[Start_Date]]</f>
        <v>9</v>
      </c>
      <c r="S167" t="str">
        <f>TEXT(Table2[[#This Row],[Start_Date]],"MMM")</f>
        <v>Aug</v>
      </c>
      <c r="T167">
        <f>YEAR(Table2[[#This Row],[Start_Date]])</f>
        <v>2025</v>
      </c>
      <c r="U167">
        <f>Table2[[#This Row],[Campaign_Cost (₹)]]/Table2[[#This Row],[Reach]]</f>
        <v>0.70327797061017938</v>
      </c>
      <c r="V167">
        <f>Table2[[#This Row],[Revenue_Generated (₹)]]/Table2[[#This Row],[Reach]]</f>
        <v>1.4523518344308561</v>
      </c>
    </row>
    <row r="168" spans="1:22" x14ac:dyDescent="0.3">
      <c r="A168" t="s">
        <v>219</v>
      </c>
      <c r="B168" t="s">
        <v>57</v>
      </c>
      <c r="C168" t="s">
        <v>37</v>
      </c>
      <c r="D168" t="s">
        <v>40</v>
      </c>
      <c r="E168">
        <v>1582624</v>
      </c>
      <c r="F168">
        <v>1175945</v>
      </c>
      <c r="G168">
        <v>1683288</v>
      </c>
      <c r="H168">
        <v>137929</v>
      </c>
      <c r="I168">
        <v>20107</v>
      </c>
      <c r="J168">
        <v>13317</v>
      </c>
      <c r="K168">
        <f t="shared" si="4"/>
        <v>14.571514824247734</v>
      </c>
      <c r="L168">
        <v>239534</v>
      </c>
      <c r="M168">
        <v>1028053</v>
      </c>
      <c r="N168">
        <f t="shared" si="5"/>
        <v>329.1887581721175</v>
      </c>
      <c r="O168" s="4">
        <v>45686</v>
      </c>
      <c r="P168" s="4">
        <v>45714</v>
      </c>
      <c r="Q168" t="s">
        <v>34</v>
      </c>
      <c r="R168">
        <f>Table2[[#This Row],[End_Date]]-Table2[[#This Row],[Start_Date]]</f>
        <v>28</v>
      </c>
      <c r="S168" t="str">
        <f>TEXT(Table2[[#This Row],[Start_Date]],"MMM")</f>
        <v>Jan</v>
      </c>
      <c r="T168">
        <f>YEAR(Table2[[#This Row],[Start_Date]])</f>
        <v>2025</v>
      </c>
      <c r="U168">
        <f>Table2[[#This Row],[Campaign_Cost (₹)]]/Table2[[#This Row],[Reach]]</f>
        <v>0.20369490069688634</v>
      </c>
      <c r="V168">
        <f>Table2[[#This Row],[Revenue_Generated (₹)]]/Table2[[#This Row],[Reach]]</f>
        <v>0.8742356147608944</v>
      </c>
    </row>
    <row r="169" spans="1:22" x14ac:dyDescent="0.3">
      <c r="A169" t="s">
        <v>220</v>
      </c>
      <c r="B169" t="s">
        <v>63</v>
      </c>
      <c r="C169" t="s">
        <v>28</v>
      </c>
      <c r="D169" t="s">
        <v>72</v>
      </c>
      <c r="E169">
        <v>1978497</v>
      </c>
      <c r="F169">
        <v>1063153</v>
      </c>
      <c r="G169">
        <v>2982065</v>
      </c>
      <c r="H169">
        <v>126099</v>
      </c>
      <c r="I169">
        <v>5935</v>
      </c>
      <c r="J169">
        <v>7467</v>
      </c>
      <c r="K169">
        <f t="shared" si="4"/>
        <v>13.121441598716272</v>
      </c>
      <c r="L169">
        <v>160668</v>
      </c>
      <c r="M169">
        <v>398380</v>
      </c>
      <c r="N169">
        <f t="shared" si="5"/>
        <v>147.9522991510444</v>
      </c>
      <c r="O169" s="4">
        <v>46004</v>
      </c>
      <c r="P169" s="4">
        <v>46016</v>
      </c>
      <c r="Q169" t="s">
        <v>25</v>
      </c>
      <c r="R169">
        <f>Table2[[#This Row],[End_Date]]-Table2[[#This Row],[Start_Date]]</f>
        <v>12</v>
      </c>
      <c r="S169" t="str">
        <f>TEXT(Table2[[#This Row],[Start_Date]],"MMM")</f>
        <v>Dec</v>
      </c>
      <c r="T169">
        <f>YEAR(Table2[[#This Row],[Start_Date]])</f>
        <v>2025</v>
      </c>
      <c r="U169">
        <f>Table2[[#This Row],[Campaign_Cost (₹)]]/Table2[[#This Row],[Reach]]</f>
        <v>0.15112406210583049</v>
      </c>
      <c r="V169">
        <f>Table2[[#This Row],[Revenue_Generated (₹)]]/Table2[[#This Row],[Reach]]</f>
        <v>0.37471558656185894</v>
      </c>
    </row>
    <row r="170" spans="1:22" x14ac:dyDescent="0.3">
      <c r="A170" t="s">
        <v>221</v>
      </c>
      <c r="B170" t="s">
        <v>27</v>
      </c>
      <c r="C170" t="s">
        <v>37</v>
      </c>
      <c r="D170" t="s">
        <v>58</v>
      </c>
      <c r="E170">
        <v>165436</v>
      </c>
      <c r="F170">
        <v>130976</v>
      </c>
      <c r="G170">
        <v>221777</v>
      </c>
      <c r="H170">
        <v>17411</v>
      </c>
      <c r="I170">
        <v>787</v>
      </c>
      <c r="J170">
        <v>996</v>
      </c>
      <c r="K170">
        <f t="shared" si="4"/>
        <v>14.654593207915953</v>
      </c>
      <c r="L170">
        <v>252257</v>
      </c>
      <c r="M170">
        <v>769083</v>
      </c>
      <c r="N170">
        <f t="shared" si="5"/>
        <v>204.88073670899124</v>
      </c>
      <c r="O170" s="4">
        <v>46080</v>
      </c>
      <c r="P170" s="4">
        <v>46110</v>
      </c>
      <c r="Q170" t="s">
        <v>34</v>
      </c>
      <c r="R170">
        <f>Table2[[#This Row],[End_Date]]-Table2[[#This Row],[Start_Date]]</f>
        <v>30</v>
      </c>
      <c r="S170" t="str">
        <f>TEXT(Table2[[#This Row],[Start_Date]],"MMM")</f>
        <v>Feb</v>
      </c>
      <c r="T170">
        <f>YEAR(Table2[[#This Row],[Start_Date]])</f>
        <v>2026</v>
      </c>
      <c r="U170">
        <f>Table2[[#This Row],[Campaign_Cost (₹)]]/Table2[[#This Row],[Reach]]</f>
        <v>1.9259788052773028</v>
      </c>
      <c r="V170">
        <f>Table2[[#This Row],[Revenue_Generated (₹)]]/Table2[[#This Row],[Reach]]</f>
        <v>5.8719383703884684</v>
      </c>
    </row>
    <row r="171" spans="1:22" x14ac:dyDescent="0.3">
      <c r="A171" t="s">
        <v>222</v>
      </c>
      <c r="B171" t="s">
        <v>61</v>
      </c>
      <c r="C171" t="s">
        <v>43</v>
      </c>
      <c r="D171" t="s">
        <v>51</v>
      </c>
      <c r="E171">
        <v>547807</v>
      </c>
      <c r="F171">
        <v>178820</v>
      </c>
      <c r="G171">
        <v>414290</v>
      </c>
      <c r="H171">
        <v>7757</v>
      </c>
      <c r="I171">
        <v>666</v>
      </c>
      <c r="J171">
        <v>392</v>
      </c>
      <c r="K171">
        <f t="shared" si="4"/>
        <v>4.9295380829884801</v>
      </c>
      <c r="L171">
        <v>198932</v>
      </c>
      <c r="M171">
        <v>889574</v>
      </c>
      <c r="N171">
        <f t="shared" si="5"/>
        <v>347.17491404097882</v>
      </c>
      <c r="O171" s="4">
        <v>45940</v>
      </c>
      <c r="P171" s="4">
        <v>45956</v>
      </c>
      <c r="Q171" t="s">
        <v>21</v>
      </c>
      <c r="R171">
        <f>Table2[[#This Row],[End_Date]]-Table2[[#This Row],[Start_Date]]</f>
        <v>16</v>
      </c>
      <c r="S171" t="str">
        <f>TEXT(Table2[[#This Row],[Start_Date]],"MMM")</f>
        <v>Oct</v>
      </c>
      <c r="T171">
        <f>YEAR(Table2[[#This Row],[Start_Date]])</f>
        <v>2025</v>
      </c>
      <c r="U171">
        <f>Table2[[#This Row],[Campaign_Cost (₹)]]/Table2[[#This Row],[Reach]]</f>
        <v>1.1124706408679119</v>
      </c>
      <c r="V171">
        <f>Table2[[#This Row],[Revenue_Generated (₹)]]/Table2[[#This Row],[Reach]]</f>
        <v>4.9746896320322112</v>
      </c>
    </row>
    <row r="172" spans="1:22" x14ac:dyDescent="0.3">
      <c r="A172" t="s">
        <v>223</v>
      </c>
      <c r="B172" t="s">
        <v>39</v>
      </c>
      <c r="C172" t="s">
        <v>37</v>
      </c>
      <c r="D172" t="s">
        <v>24</v>
      </c>
      <c r="E172">
        <v>444229</v>
      </c>
      <c r="F172">
        <v>276934</v>
      </c>
      <c r="G172">
        <v>494471</v>
      </c>
      <c r="H172">
        <v>14680</v>
      </c>
      <c r="I172">
        <v>846</v>
      </c>
      <c r="J172">
        <v>478</v>
      </c>
      <c r="K172">
        <f t="shared" si="4"/>
        <v>5.7789942730036756</v>
      </c>
      <c r="L172">
        <v>298256</v>
      </c>
      <c r="M172">
        <v>332099</v>
      </c>
      <c r="N172">
        <f t="shared" si="5"/>
        <v>11.346963682205891</v>
      </c>
      <c r="O172" s="4">
        <v>45861</v>
      </c>
      <c r="P172" s="4">
        <v>45877</v>
      </c>
      <c r="Q172" t="s">
        <v>21</v>
      </c>
      <c r="R172">
        <f>Table2[[#This Row],[End_Date]]-Table2[[#This Row],[Start_Date]]</f>
        <v>16</v>
      </c>
      <c r="S172" t="str">
        <f>TEXT(Table2[[#This Row],[Start_Date]],"MMM")</f>
        <v>Jul</v>
      </c>
      <c r="T172">
        <f>YEAR(Table2[[#This Row],[Start_Date]])</f>
        <v>2025</v>
      </c>
      <c r="U172">
        <f>Table2[[#This Row],[Campaign_Cost (₹)]]/Table2[[#This Row],[Reach]]</f>
        <v>1.0769930741620748</v>
      </c>
      <c r="V172">
        <f>Table2[[#This Row],[Revenue_Generated (₹)]]/Table2[[#This Row],[Reach]]</f>
        <v>1.1991990871471181</v>
      </c>
    </row>
    <row r="173" spans="1:22" x14ac:dyDescent="0.3">
      <c r="A173" t="s">
        <v>224</v>
      </c>
      <c r="B173" t="s">
        <v>18</v>
      </c>
      <c r="C173" t="s">
        <v>19</v>
      </c>
      <c r="D173" t="s">
        <v>40</v>
      </c>
      <c r="E173">
        <v>987760</v>
      </c>
      <c r="F173">
        <v>421104</v>
      </c>
      <c r="G173">
        <v>1200869</v>
      </c>
      <c r="H173">
        <v>55274</v>
      </c>
      <c r="I173">
        <v>2857</v>
      </c>
      <c r="J173">
        <v>2976</v>
      </c>
      <c r="K173">
        <f t="shared" si="4"/>
        <v>14.511142140658839</v>
      </c>
      <c r="L173">
        <v>486092</v>
      </c>
      <c r="M173">
        <v>1185580</v>
      </c>
      <c r="N173">
        <f t="shared" si="5"/>
        <v>143.90033162446616</v>
      </c>
      <c r="O173" s="4">
        <v>46137</v>
      </c>
      <c r="P173" s="4">
        <v>46148</v>
      </c>
      <c r="Q173" t="s">
        <v>47</v>
      </c>
      <c r="R173">
        <f>Table2[[#This Row],[End_Date]]-Table2[[#This Row],[Start_Date]]</f>
        <v>11</v>
      </c>
      <c r="S173" t="str">
        <f>TEXT(Table2[[#This Row],[Start_Date]],"MMM")</f>
        <v>Apr</v>
      </c>
      <c r="T173">
        <f>YEAR(Table2[[#This Row],[Start_Date]])</f>
        <v>2026</v>
      </c>
      <c r="U173">
        <f>Table2[[#This Row],[Campaign_Cost (₹)]]/Table2[[#This Row],[Reach]]</f>
        <v>1.154327672024013</v>
      </c>
      <c r="V173">
        <f>Table2[[#This Row],[Revenue_Generated (₹)]]/Table2[[#This Row],[Reach]]</f>
        <v>2.8154090200995481</v>
      </c>
    </row>
    <row r="174" spans="1:22" x14ac:dyDescent="0.3">
      <c r="A174" t="s">
        <v>225</v>
      </c>
      <c r="B174" t="s">
        <v>103</v>
      </c>
      <c r="C174" t="s">
        <v>19</v>
      </c>
      <c r="D174" t="s">
        <v>29</v>
      </c>
      <c r="E174">
        <v>988195</v>
      </c>
      <c r="F174">
        <v>555489</v>
      </c>
      <c r="G174">
        <v>1596208</v>
      </c>
      <c r="H174">
        <v>66784</v>
      </c>
      <c r="I174">
        <v>4724</v>
      </c>
      <c r="J174">
        <v>4196</v>
      </c>
      <c r="K174">
        <f t="shared" si="4"/>
        <v>13.628352676650662</v>
      </c>
      <c r="L174">
        <v>431770</v>
      </c>
      <c r="M174">
        <v>2075659</v>
      </c>
      <c r="N174">
        <f t="shared" si="5"/>
        <v>380.73256594946383</v>
      </c>
      <c r="O174" s="4">
        <v>46009</v>
      </c>
      <c r="P174" s="4">
        <v>46024</v>
      </c>
      <c r="Q174" t="s">
        <v>25</v>
      </c>
      <c r="R174">
        <f>Table2[[#This Row],[End_Date]]-Table2[[#This Row],[Start_Date]]</f>
        <v>15</v>
      </c>
      <c r="S174" t="str">
        <f>TEXT(Table2[[#This Row],[Start_Date]],"MMM")</f>
        <v>Dec</v>
      </c>
      <c r="T174">
        <f>YEAR(Table2[[#This Row],[Start_Date]])</f>
        <v>2025</v>
      </c>
      <c r="U174">
        <f>Table2[[#This Row],[Campaign_Cost (₹)]]/Table2[[#This Row],[Reach]]</f>
        <v>0.77727911803834104</v>
      </c>
      <c r="V174">
        <f>Table2[[#This Row],[Revenue_Generated (₹)]]/Table2[[#This Row],[Reach]]</f>
        <v>3.7366338487350785</v>
      </c>
    </row>
    <row r="175" spans="1:22" x14ac:dyDescent="0.3">
      <c r="A175" t="s">
        <v>226</v>
      </c>
      <c r="B175" t="s">
        <v>103</v>
      </c>
      <c r="C175" t="s">
        <v>43</v>
      </c>
      <c r="D175" t="s">
        <v>24</v>
      </c>
      <c r="E175">
        <v>934900</v>
      </c>
      <c r="F175">
        <v>460845</v>
      </c>
      <c r="G175">
        <v>677176</v>
      </c>
      <c r="H175">
        <v>41250</v>
      </c>
      <c r="I175">
        <v>4715</v>
      </c>
      <c r="J175">
        <v>1780</v>
      </c>
      <c r="K175">
        <f t="shared" si="4"/>
        <v>10.360316375353969</v>
      </c>
      <c r="L175">
        <v>461574</v>
      </c>
      <c r="M175">
        <v>1216696</v>
      </c>
      <c r="N175">
        <f t="shared" si="5"/>
        <v>163.59716968460097</v>
      </c>
      <c r="O175" s="4">
        <v>45860</v>
      </c>
      <c r="P175" s="4">
        <v>45868</v>
      </c>
      <c r="Q175" t="s">
        <v>34</v>
      </c>
      <c r="R175">
        <f>Table2[[#This Row],[End_Date]]-Table2[[#This Row],[Start_Date]]</f>
        <v>8</v>
      </c>
      <c r="S175" t="str">
        <f>TEXT(Table2[[#This Row],[Start_Date]],"MMM")</f>
        <v>Jul</v>
      </c>
      <c r="T175">
        <f>YEAR(Table2[[#This Row],[Start_Date]])</f>
        <v>2025</v>
      </c>
      <c r="U175">
        <f>Table2[[#This Row],[Campaign_Cost (₹)]]/Table2[[#This Row],[Reach]]</f>
        <v>1.0015818767698468</v>
      </c>
      <c r="V175">
        <f>Table2[[#This Row],[Revenue_Generated (₹)]]/Table2[[#This Row],[Reach]]</f>
        <v>2.6401414792392237</v>
      </c>
    </row>
    <row r="176" spans="1:22" x14ac:dyDescent="0.3">
      <c r="A176" t="s">
        <v>227</v>
      </c>
      <c r="B176" t="s">
        <v>103</v>
      </c>
      <c r="C176" t="s">
        <v>43</v>
      </c>
      <c r="D176" t="s">
        <v>24</v>
      </c>
      <c r="E176">
        <v>972554</v>
      </c>
      <c r="F176">
        <v>375985</v>
      </c>
      <c r="G176">
        <v>946013</v>
      </c>
      <c r="H176">
        <v>24101</v>
      </c>
      <c r="I176">
        <v>3109</v>
      </c>
      <c r="J176">
        <v>1837</v>
      </c>
      <c r="K176">
        <f t="shared" si="4"/>
        <v>7.7255741585435596</v>
      </c>
      <c r="L176">
        <v>470807</v>
      </c>
      <c r="M176">
        <v>1895831</v>
      </c>
      <c r="N176">
        <f t="shared" si="5"/>
        <v>302.67689307932977</v>
      </c>
      <c r="O176" s="4">
        <v>46079</v>
      </c>
      <c r="P176" s="4">
        <v>46094</v>
      </c>
      <c r="Q176" t="s">
        <v>47</v>
      </c>
      <c r="R176">
        <f>Table2[[#This Row],[End_Date]]-Table2[[#This Row],[Start_Date]]</f>
        <v>15</v>
      </c>
      <c r="S176" t="str">
        <f>TEXT(Table2[[#This Row],[Start_Date]],"MMM")</f>
        <v>Feb</v>
      </c>
      <c r="T176">
        <f>YEAR(Table2[[#This Row],[Start_Date]])</f>
        <v>2026</v>
      </c>
      <c r="U176">
        <f>Table2[[#This Row],[Campaign_Cost (₹)]]/Table2[[#This Row],[Reach]]</f>
        <v>1.2521962312326289</v>
      </c>
      <c r="V176">
        <f>Table2[[#This Row],[Revenue_Generated (₹)]]/Table2[[#This Row],[Reach]]</f>
        <v>5.0423048791840097</v>
      </c>
    </row>
    <row r="177" spans="1:22" x14ac:dyDescent="0.3">
      <c r="A177" t="s">
        <v>228</v>
      </c>
      <c r="B177" t="s">
        <v>49</v>
      </c>
      <c r="C177" t="s">
        <v>43</v>
      </c>
      <c r="D177" t="s">
        <v>29</v>
      </c>
      <c r="E177">
        <v>1510888</v>
      </c>
      <c r="F177">
        <v>1165155</v>
      </c>
      <c r="G177">
        <v>2823255</v>
      </c>
      <c r="H177">
        <v>131978</v>
      </c>
      <c r="I177">
        <v>13874</v>
      </c>
      <c r="J177">
        <v>8051</v>
      </c>
      <c r="K177">
        <f t="shared" si="4"/>
        <v>13.208800545850123</v>
      </c>
      <c r="L177">
        <v>454951</v>
      </c>
      <c r="M177">
        <v>1293284</v>
      </c>
      <c r="N177">
        <f t="shared" si="5"/>
        <v>184.26885532727698</v>
      </c>
      <c r="O177" s="4">
        <v>45955</v>
      </c>
      <c r="P177" s="4">
        <v>45970</v>
      </c>
      <c r="Q177" t="s">
        <v>47</v>
      </c>
      <c r="R177">
        <f>Table2[[#This Row],[End_Date]]-Table2[[#This Row],[Start_Date]]</f>
        <v>15</v>
      </c>
      <c r="S177" t="str">
        <f>TEXT(Table2[[#This Row],[Start_Date]],"MMM")</f>
        <v>Oct</v>
      </c>
      <c r="T177">
        <f>YEAR(Table2[[#This Row],[Start_Date]])</f>
        <v>2025</v>
      </c>
      <c r="U177">
        <f>Table2[[#This Row],[Campaign_Cost (₹)]]/Table2[[#This Row],[Reach]]</f>
        <v>0.39046392969175775</v>
      </c>
      <c r="V177">
        <f>Table2[[#This Row],[Revenue_Generated (₹)]]/Table2[[#This Row],[Reach]]</f>
        <v>1.1099673434006634</v>
      </c>
    </row>
    <row r="178" spans="1:22" x14ac:dyDescent="0.3">
      <c r="A178" t="s">
        <v>229</v>
      </c>
      <c r="B178" t="s">
        <v>49</v>
      </c>
      <c r="C178" t="s">
        <v>19</v>
      </c>
      <c r="D178" t="s">
        <v>72</v>
      </c>
      <c r="E178">
        <v>379072</v>
      </c>
      <c r="F178">
        <v>132948</v>
      </c>
      <c r="G178">
        <v>255194</v>
      </c>
      <c r="H178">
        <v>3960</v>
      </c>
      <c r="I178">
        <v>269</v>
      </c>
      <c r="J178">
        <v>79</v>
      </c>
      <c r="K178">
        <f t="shared" si="4"/>
        <v>3.2403646538496256</v>
      </c>
      <c r="L178">
        <v>98400</v>
      </c>
      <c r="M178">
        <v>205265</v>
      </c>
      <c r="N178">
        <f t="shared" si="5"/>
        <v>108.60264227642276</v>
      </c>
      <c r="O178" s="4">
        <v>45687</v>
      </c>
      <c r="P178" s="4">
        <v>45700</v>
      </c>
      <c r="Q178" t="s">
        <v>34</v>
      </c>
      <c r="R178">
        <f>Table2[[#This Row],[End_Date]]-Table2[[#This Row],[Start_Date]]</f>
        <v>13</v>
      </c>
      <c r="S178" t="str">
        <f>TEXT(Table2[[#This Row],[Start_Date]],"MMM")</f>
        <v>Jan</v>
      </c>
      <c r="T178">
        <f>YEAR(Table2[[#This Row],[Start_Date]])</f>
        <v>2025</v>
      </c>
      <c r="U178">
        <f>Table2[[#This Row],[Campaign_Cost (₹)]]/Table2[[#This Row],[Reach]]</f>
        <v>0.74013900171495617</v>
      </c>
      <c r="V178">
        <f>Table2[[#This Row],[Revenue_Generated (₹)]]/Table2[[#This Row],[Reach]]</f>
        <v>1.5439495140957367</v>
      </c>
    </row>
    <row r="179" spans="1:22" x14ac:dyDescent="0.3">
      <c r="A179" t="s">
        <v>230</v>
      </c>
      <c r="B179" t="s">
        <v>63</v>
      </c>
      <c r="C179" t="s">
        <v>33</v>
      </c>
      <c r="D179" t="s">
        <v>72</v>
      </c>
      <c r="E179">
        <v>975519</v>
      </c>
      <c r="F179">
        <v>475585</v>
      </c>
      <c r="G179">
        <v>1289028</v>
      </c>
      <c r="H179">
        <v>44242</v>
      </c>
      <c r="I179">
        <v>3363</v>
      </c>
      <c r="J179">
        <v>4389</v>
      </c>
      <c r="K179">
        <f t="shared" si="4"/>
        <v>10.932640852844392</v>
      </c>
      <c r="L179">
        <v>256864</v>
      </c>
      <c r="M179">
        <v>389338</v>
      </c>
      <c r="N179">
        <f t="shared" si="5"/>
        <v>51.573595365640955</v>
      </c>
      <c r="O179" s="4">
        <v>46098</v>
      </c>
      <c r="P179" s="4">
        <v>46117</v>
      </c>
      <c r="Q179" t="s">
        <v>78</v>
      </c>
      <c r="R179">
        <f>Table2[[#This Row],[End_Date]]-Table2[[#This Row],[Start_Date]]</f>
        <v>19</v>
      </c>
      <c r="S179" t="str">
        <f>TEXT(Table2[[#This Row],[Start_Date]],"MMM")</f>
        <v>Mar</v>
      </c>
      <c r="T179">
        <f>YEAR(Table2[[#This Row],[Start_Date]])</f>
        <v>2026</v>
      </c>
      <c r="U179">
        <f>Table2[[#This Row],[Campaign_Cost (₹)]]/Table2[[#This Row],[Reach]]</f>
        <v>0.54010113859772702</v>
      </c>
      <c r="V179">
        <f>Table2[[#This Row],[Revenue_Generated (₹)]]/Table2[[#This Row],[Reach]]</f>
        <v>0.81865071438333836</v>
      </c>
    </row>
    <row r="180" spans="1:22" x14ac:dyDescent="0.3">
      <c r="A180" t="s">
        <v>231</v>
      </c>
      <c r="B180" t="s">
        <v>36</v>
      </c>
      <c r="C180" t="s">
        <v>19</v>
      </c>
      <c r="D180" t="s">
        <v>29</v>
      </c>
      <c r="E180">
        <v>917852</v>
      </c>
      <c r="F180">
        <v>423859</v>
      </c>
      <c r="G180">
        <v>656485</v>
      </c>
      <c r="H180">
        <v>12933</v>
      </c>
      <c r="I180">
        <v>804</v>
      </c>
      <c r="J180">
        <v>1269</v>
      </c>
      <c r="K180">
        <f t="shared" si="4"/>
        <v>3.5403282695424658</v>
      </c>
      <c r="L180">
        <v>245241</v>
      </c>
      <c r="M180">
        <v>1219343</v>
      </c>
      <c r="N180">
        <f t="shared" si="5"/>
        <v>397.20193605473798</v>
      </c>
      <c r="O180" s="4">
        <v>45804</v>
      </c>
      <c r="P180" s="4">
        <v>45827</v>
      </c>
      <c r="Q180" t="s">
        <v>34</v>
      </c>
      <c r="R180">
        <f>Table2[[#This Row],[End_Date]]-Table2[[#This Row],[Start_Date]]</f>
        <v>23</v>
      </c>
      <c r="S180" t="str">
        <f>TEXT(Table2[[#This Row],[Start_Date]],"MMM")</f>
        <v>May</v>
      </c>
      <c r="T180">
        <f>YEAR(Table2[[#This Row],[Start_Date]])</f>
        <v>2025</v>
      </c>
      <c r="U180">
        <f>Table2[[#This Row],[Campaign_Cost (₹)]]/Table2[[#This Row],[Reach]]</f>
        <v>0.57859099370309464</v>
      </c>
      <c r="V180">
        <f>Table2[[#This Row],[Revenue_Generated (₹)]]/Table2[[#This Row],[Reach]]</f>
        <v>2.8767656225301339</v>
      </c>
    </row>
    <row r="181" spans="1:22" x14ac:dyDescent="0.3">
      <c r="A181" t="s">
        <v>232</v>
      </c>
      <c r="B181" t="s">
        <v>27</v>
      </c>
      <c r="C181" t="s">
        <v>28</v>
      </c>
      <c r="D181" t="s">
        <v>58</v>
      </c>
      <c r="E181">
        <v>1541946</v>
      </c>
      <c r="F181">
        <v>428152</v>
      </c>
      <c r="G181">
        <v>954186</v>
      </c>
      <c r="H181">
        <v>61087</v>
      </c>
      <c r="I181">
        <v>4083</v>
      </c>
      <c r="J181">
        <v>5618</v>
      </c>
      <c r="K181">
        <f t="shared" si="4"/>
        <v>16.533380668547618</v>
      </c>
      <c r="L181">
        <v>28614</v>
      </c>
      <c r="M181">
        <v>68241</v>
      </c>
      <c r="N181">
        <f t="shared" si="5"/>
        <v>138.48815265254771</v>
      </c>
      <c r="O181" s="4">
        <v>45978</v>
      </c>
      <c r="P181" s="4">
        <v>46007</v>
      </c>
      <c r="Q181" t="s">
        <v>30</v>
      </c>
      <c r="R181">
        <f>Table2[[#This Row],[End_Date]]-Table2[[#This Row],[Start_Date]]</f>
        <v>29</v>
      </c>
      <c r="S181" t="str">
        <f>TEXT(Table2[[#This Row],[Start_Date]],"MMM")</f>
        <v>Nov</v>
      </c>
      <c r="T181">
        <f>YEAR(Table2[[#This Row],[Start_Date]])</f>
        <v>2025</v>
      </c>
      <c r="U181">
        <f>Table2[[#This Row],[Campaign_Cost (₹)]]/Table2[[#This Row],[Reach]]</f>
        <v>6.6831405669014743E-2</v>
      </c>
      <c r="V181">
        <f>Table2[[#This Row],[Revenue_Generated (₹)]]/Table2[[#This Row],[Reach]]</f>
        <v>0.1593849847717633</v>
      </c>
    </row>
    <row r="182" spans="1:22" x14ac:dyDescent="0.3">
      <c r="A182" t="s">
        <v>233</v>
      </c>
      <c r="B182" t="s">
        <v>61</v>
      </c>
      <c r="C182" t="s">
        <v>37</v>
      </c>
      <c r="D182" t="s">
        <v>72</v>
      </c>
      <c r="E182">
        <v>1911670</v>
      </c>
      <c r="F182">
        <v>524398</v>
      </c>
      <c r="G182">
        <v>1171894</v>
      </c>
      <c r="H182">
        <v>63521</v>
      </c>
      <c r="I182">
        <v>6699</v>
      </c>
      <c r="J182">
        <v>4591</v>
      </c>
      <c r="K182">
        <f t="shared" si="4"/>
        <v>14.266072715761693</v>
      </c>
      <c r="L182">
        <v>330068</v>
      </c>
      <c r="M182">
        <v>839529</v>
      </c>
      <c r="N182">
        <f t="shared" si="5"/>
        <v>154.35031569252396</v>
      </c>
      <c r="O182" s="4">
        <v>46155</v>
      </c>
      <c r="P182" s="4">
        <v>46185</v>
      </c>
      <c r="Q182" t="s">
        <v>30</v>
      </c>
      <c r="R182">
        <f>Table2[[#This Row],[End_Date]]-Table2[[#This Row],[Start_Date]]</f>
        <v>30</v>
      </c>
      <c r="S182" t="str">
        <f>TEXT(Table2[[#This Row],[Start_Date]],"MMM")</f>
        <v>May</v>
      </c>
      <c r="T182">
        <f>YEAR(Table2[[#This Row],[Start_Date]])</f>
        <v>2026</v>
      </c>
      <c r="U182">
        <f>Table2[[#This Row],[Campaign_Cost (₹)]]/Table2[[#This Row],[Reach]]</f>
        <v>0.6294226903992769</v>
      </c>
      <c r="V182">
        <f>Table2[[#This Row],[Revenue_Generated (₹)]]/Table2[[#This Row],[Reach]]</f>
        <v>1.6009386000709385</v>
      </c>
    </row>
    <row r="183" spans="1:22" x14ac:dyDescent="0.3">
      <c r="A183" t="s">
        <v>234</v>
      </c>
      <c r="B183" t="s">
        <v>32</v>
      </c>
      <c r="C183" t="s">
        <v>28</v>
      </c>
      <c r="D183" t="s">
        <v>20</v>
      </c>
      <c r="E183">
        <v>1811145</v>
      </c>
      <c r="F183">
        <v>884515</v>
      </c>
      <c r="G183">
        <v>1023183</v>
      </c>
      <c r="H183">
        <v>100858</v>
      </c>
      <c r="I183">
        <v>10371</v>
      </c>
      <c r="J183">
        <v>7042</v>
      </c>
      <c r="K183">
        <f t="shared" si="4"/>
        <v>13.371282567282636</v>
      </c>
      <c r="L183">
        <v>413807</v>
      </c>
      <c r="M183">
        <v>1047787</v>
      </c>
      <c r="N183">
        <f t="shared" si="5"/>
        <v>153.20668814205655</v>
      </c>
      <c r="O183" s="4">
        <v>45721</v>
      </c>
      <c r="P183" s="4">
        <v>45728</v>
      </c>
      <c r="Q183" t="s">
        <v>78</v>
      </c>
      <c r="R183">
        <f>Table2[[#This Row],[End_Date]]-Table2[[#This Row],[Start_Date]]</f>
        <v>7</v>
      </c>
      <c r="S183" t="str">
        <f>TEXT(Table2[[#This Row],[Start_Date]],"MMM")</f>
        <v>Mar</v>
      </c>
      <c r="T183">
        <f>YEAR(Table2[[#This Row],[Start_Date]])</f>
        <v>2025</v>
      </c>
      <c r="U183">
        <f>Table2[[#This Row],[Campaign_Cost (₹)]]/Table2[[#This Row],[Reach]]</f>
        <v>0.46783491517950515</v>
      </c>
      <c r="V183">
        <f>Table2[[#This Row],[Revenue_Generated (₹)]]/Table2[[#This Row],[Reach]]</f>
        <v>1.1845892946982244</v>
      </c>
    </row>
    <row r="184" spans="1:22" x14ac:dyDescent="0.3">
      <c r="A184" t="s">
        <v>235</v>
      </c>
      <c r="B184" t="s">
        <v>61</v>
      </c>
      <c r="C184" t="s">
        <v>37</v>
      </c>
      <c r="D184" t="s">
        <v>20</v>
      </c>
      <c r="E184">
        <v>180982</v>
      </c>
      <c r="F184">
        <v>69366</v>
      </c>
      <c r="G184">
        <v>200856</v>
      </c>
      <c r="H184">
        <v>7138</v>
      </c>
      <c r="I184">
        <v>220</v>
      </c>
      <c r="J184">
        <v>634</v>
      </c>
      <c r="K184">
        <f t="shared" si="4"/>
        <v>11.521494680390971</v>
      </c>
      <c r="L184">
        <v>197054</v>
      </c>
      <c r="M184">
        <v>608296</v>
      </c>
      <c r="N184">
        <f t="shared" si="5"/>
        <v>208.69507850639928</v>
      </c>
      <c r="O184" s="4">
        <v>46124</v>
      </c>
      <c r="P184" s="4">
        <v>46134</v>
      </c>
      <c r="Q184" t="s">
        <v>34</v>
      </c>
      <c r="R184">
        <f>Table2[[#This Row],[End_Date]]-Table2[[#This Row],[Start_Date]]</f>
        <v>10</v>
      </c>
      <c r="S184" t="str">
        <f>TEXT(Table2[[#This Row],[Start_Date]],"MMM")</f>
        <v>Apr</v>
      </c>
      <c r="T184">
        <f>YEAR(Table2[[#This Row],[Start_Date]])</f>
        <v>2026</v>
      </c>
      <c r="U184">
        <f>Table2[[#This Row],[Campaign_Cost (₹)]]/Table2[[#This Row],[Reach]]</f>
        <v>2.8407865524896923</v>
      </c>
      <c r="V184">
        <f>Table2[[#This Row],[Revenue_Generated (₹)]]/Table2[[#This Row],[Reach]]</f>
        <v>8.7693682784072884</v>
      </c>
    </row>
    <row r="185" spans="1:22" x14ac:dyDescent="0.3">
      <c r="A185" t="s">
        <v>236</v>
      </c>
      <c r="B185" t="s">
        <v>27</v>
      </c>
      <c r="C185" t="s">
        <v>28</v>
      </c>
      <c r="D185" t="s">
        <v>51</v>
      </c>
      <c r="E185">
        <v>261525</v>
      </c>
      <c r="F185">
        <v>98359</v>
      </c>
      <c r="G185">
        <v>293630</v>
      </c>
      <c r="H185">
        <v>3963</v>
      </c>
      <c r="I185">
        <v>132</v>
      </c>
      <c r="J185">
        <v>98</v>
      </c>
      <c r="K185">
        <f t="shared" si="4"/>
        <v>4.2629550930773998</v>
      </c>
      <c r="L185">
        <v>46424</v>
      </c>
      <c r="M185">
        <v>154807</v>
      </c>
      <c r="N185">
        <f t="shared" si="5"/>
        <v>233.46329484749268</v>
      </c>
      <c r="O185" s="4">
        <v>46092</v>
      </c>
      <c r="P185" s="4">
        <v>46113</v>
      </c>
      <c r="Q185" t="s">
        <v>47</v>
      </c>
      <c r="R185">
        <f>Table2[[#This Row],[End_Date]]-Table2[[#This Row],[Start_Date]]</f>
        <v>21</v>
      </c>
      <c r="S185" t="str">
        <f>TEXT(Table2[[#This Row],[Start_Date]],"MMM")</f>
        <v>Mar</v>
      </c>
      <c r="T185">
        <f>YEAR(Table2[[#This Row],[Start_Date]])</f>
        <v>2026</v>
      </c>
      <c r="U185">
        <f>Table2[[#This Row],[Campaign_Cost (₹)]]/Table2[[#This Row],[Reach]]</f>
        <v>0.4719852784188534</v>
      </c>
      <c r="V185">
        <f>Table2[[#This Row],[Revenue_Generated (₹)]]/Table2[[#This Row],[Reach]]</f>
        <v>1.5738976606106203</v>
      </c>
    </row>
    <row r="186" spans="1:22" x14ac:dyDescent="0.3">
      <c r="A186" t="s">
        <v>237</v>
      </c>
      <c r="B186" t="s">
        <v>61</v>
      </c>
      <c r="C186" t="s">
        <v>33</v>
      </c>
      <c r="D186" t="s">
        <v>51</v>
      </c>
      <c r="E186">
        <v>1896439</v>
      </c>
      <c r="F186">
        <v>1321074</v>
      </c>
      <c r="G186">
        <v>2955345</v>
      </c>
      <c r="H186">
        <v>132724</v>
      </c>
      <c r="I186">
        <v>13725</v>
      </c>
      <c r="J186">
        <v>10238</v>
      </c>
      <c r="K186">
        <f t="shared" si="4"/>
        <v>11.860577075924589</v>
      </c>
      <c r="L186">
        <v>86078</v>
      </c>
      <c r="M186">
        <v>218815</v>
      </c>
      <c r="N186">
        <f t="shared" si="5"/>
        <v>154.20548804572599</v>
      </c>
      <c r="O186" s="4">
        <v>46046</v>
      </c>
      <c r="P186" s="4">
        <v>46061</v>
      </c>
      <c r="Q186" t="s">
        <v>47</v>
      </c>
      <c r="R186">
        <f>Table2[[#This Row],[End_Date]]-Table2[[#This Row],[Start_Date]]</f>
        <v>15</v>
      </c>
      <c r="S186" t="str">
        <f>TEXT(Table2[[#This Row],[Start_Date]],"MMM")</f>
        <v>Jan</v>
      </c>
      <c r="T186">
        <f>YEAR(Table2[[#This Row],[Start_Date]])</f>
        <v>2026</v>
      </c>
      <c r="U186">
        <f>Table2[[#This Row],[Campaign_Cost (₹)]]/Table2[[#This Row],[Reach]]</f>
        <v>6.5157591474815188E-2</v>
      </c>
      <c r="V186">
        <f>Table2[[#This Row],[Revenue_Generated (₹)]]/Table2[[#This Row],[Reach]]</f>
        <v>0.16563417340739428</v>
      </c>
    </row>
    <row r="187" spans="1:22" x14ac:dyDescent="0.3">
      <c r="A187" t="s">
        <v>238</v>
      </c>
      <c r="B187" t="s">
        <v>49</v>
      </c>
      <c r="C187" t="s">
        <v>19</v>
      </c>
      <c r="D187" t="s">
        <v>29</v>
      </c>
      <c r="E187">
        <v>1085776</v>
      </c>
      <c r="F187">
        <v>889042</v>
      </c>
      <c r="G187">
        <v>2235770</v>
      </c>
      <c r="H187">
        <v>51182</v>
      </c>
      <c r="I187">
        <v>6410</v>
      </c>
      <c r="J187">
        <v>1420</v>
      </c>
      <c r="K187">
        <f t="shared" si="4"/>
        <v>6.6377066550286719</v>
      </c>
      <c r="L187">
        <v>381577</v>
      </c>
      <c r="M187">
        <v>1030899</v>
      </c>
      <c r="N187">
        <f t="shared" si="5"/>
        <v>170.16801327124014</v>
      </c>
      <c r="O187" s="4">
        <v>45742</v>
      </c>
      <c r="P187" s="4">
        <v>45764</v>
      </c>
      <c r="Q187" t="s">
        <v>21</v>
      </c>
      <c r="R187">
        <f>Table2[[#This Row],[End_Date]]-Table2[[#This Row],[Start_Date]]</f>
        <v>22</v>
      </c>
      <c r="S187" t="str">
        <f>TEXT(Table2[[#This Row],[Start_Date]],"MMM")</f>
        <v>Mar</v>
      </c>
      <c r="T187">
        <f>YEAR(Table2[[#This Row],[Start_Date]])</f>
        <v>2025</v>
      </c>
      <c r="U187">
        <f>Table2[[#This Row],[Campaign_Cost (₹)]]/Table2[[#This Row],[Reach]]</f>
        <v>0.42920019526636538</v>
      </c>
      <c r="V187">
        <f>Table2[[#This Row],[Revenue_Generated (₹)]]/Table2[[#This Row],[Reach]]</f>
        <v>1.1595616405074225</v>
      </c>
    </row>
    <row r="188" spans="1:22" x14ac:dyDescent="0.3">
      <c r="A188" t="s">
        <v>239</v>
      </c>
      <c r="B188" t="s">
        <v>23</v>
      </c>
      <c r="C188" t="s">
        <v>19</v>
      </c>
      <c r="D188" t="s">
        <v>20</v>
      </c>
      <c r="E188">
        <v>1693344</v>
      </c>
      <c r="F188">
        <v>1044491</v>
      </c>
      <c r="G188">
        <v>1239915</v>
      </c>
      <c r="H188">
        <v>44459</v>
      </c>
      <c r="I188">
        <v>5391</v>
      </c>
      <c r="J188">
        <v>4357</v>
      </c>
      <c r="K188">
        <f t="shared" si="4"/>
        <v>5.1898005822931932</v>
      </c>
      <c r="L188">
        <v>16111</v>
      </c>
      <c r="M188">
        <v>25880</v>
      </c>
      <c r="N188">
        <f t="shared" si="5"/>
        <v>60.635590590279932</v>
      </c>
      <c r="O188" s="4">
        <v>45747</v>
      </c>
      <c r="P188" s="4">
        <v>45767</v>
      </c>
      <c r="Q188" t="s">
        <v>78</v>
      </c>
      <c r="R188">
        <f>Table2[[#This Row],[End_Date]]-Table2[[#This Row],[Start_Date]]</f>
        <v>20</v>
      </c>
      <c r="S188" t="str">
        <f>TEXT(Table2[[#This Row],[Start_Date]],"MMM")</f>
        <v>Mar</v>
      </c>
      <c r="T188">
        <f>YEAR(Table2[[#This Row],[Start_Date]])</f>
        <v>2025</v>
      </c>
      <c r="U188">
        <f>Table2[[#This Row],[Campaign_Cost (₹)]]/Table2[[#This Row],[Reach]]</f>
        <v>1.5424737982423975E-2</v>
      </c>
      <c r="V188">
        <f>Table2[[#This Row],[Revenue_Generated (₹)]]/Table2[[#This Row],[Reach]]</f>
        <v>2.4777618955069983E-2</v>
      </c>
    </row>
    <row r="189" spans="1:22" x14ac:dyDescent="0.3">
      <c r="A189" t="s">
        <v>240</v>
      </c>
      <c r="B189" t="s">
        <v>49</v>
      </c>
      <c r="C189" t="s">
        <v>28</v>
      </c>
      <c r="D189" t="s">
        <v>40</v>
      </c>
      <c r="E189">
        <v>883853</v>
      </c>
      <c r="F189">
        <v>365511</v>
      </c>
      <c r="G189">
        <v>758615</v>
      </c>
      <c r="H189">
        <v>12694</v>
      </c>
      <c r="I189">
        <v>794</v>
      </c>
      <c r="J189">
        <v>1222</v>
      </c>
      <c r="K189">
        <f t="shared" si="4"/>
        <v>4.0245026825458057</v>
      </c>
      <c r="L189">
        <v>409380</v>
      </c>
      <c r="M189">
        <v>880820</v>
      </c>
      <c r="N189">
        <f t="shared" si="5"/>
        <v>115.15950950217402</v>
      </c>
      <c r="O189" s="4">
        <v>45776</v>
      </c>
      <c r="P189" s="4">
        <v>45803</v>
      </c>
      <c r="Q189" t="s">
        <v>30</v>
      </c>
      <c r="R189">
        <f>Table2[[#This Row],[End_Date]]-Table2[[#This Row],[Start_Date]]</f>
        <v>27</v>
      </c>
      <c r="S189" t="str">
        <f>TEXT(Table2[[#This Row],[Start_Date]],"MMM")</f>
        <v>Apr</v>
      </c>
      <c r="T189">
        <f>YEAR(Table2[[#This Row],[Start_Date]])</f>
        <v>2025</v>
      </c>
      <c r="U189">
        <f>Table2[[#This Row],[Campaign_Cost (₹)]]/Table2[[#This Row],[Reach]]</f>
        <v>1.120021011679539</v>
      </c>
      <c r="V189">
        <f>Table2[[#This Row],[Revenue_Generated (₹)]]/Table2[[#This Row],[Reach]]</f>
        <v>2.4098317150509834</v>
      </c>
    </row>
    <row r="190" spans="1:22" x14ac:dyDescent="0.3">
      <c r="A190" t="s">
        <v>241</v>
      </c>
      <c r="B190" t="s">
        <v>80</v>
      </c>
      <c r="C190" t="s">
        <v>43</v>
      </c>
      <c r="D190" t="s">
        <v>24</v>
      </c>
      <c r="E190">
        <v>938552</v>
      </c>
      <c r="F190">
        <v>698157</v>
      </c>
      <c r="G190">
        <v>1221649</v>
      </c>
      <c r="H190">
        <v>92608</v>
      </c>
      <c r="I190">
        <v>10335</v>
      </c>
      <c r="J190">
        <v>8754</v>
      </c>
      <c r="K190">
        <f t="shared" si="4"/>
        <v>15.998836937823441</v>
      </c>
      <c r="L190">
        <v>247979</v>
      </c>
      <c r="M190">
        <v>1149225</v>
      </c>
      <c r="N190">
        <f t="shared" si="5"/>
        <v>363.43642001943715</v>
      </c>
      <c r="O190" s="4">
        <v>46029</v>
      </c>
      <c r="P190" s="4">
        <v>46039</v>
      </c>
      <c r="Q190" t="s">
        <v>30</v>
      </c>
      <c r="R190">
        <f>Table2[[#This Row],[End_Date]]-Table2[[#This Row],[Start_Date]]</f>
        <v>10</v>
      </c>
      <c r="S190" t="str">
        <f>TEXT(Table2[[#This Row],[Start_Date]],"MMM")</f>
        <v>Jan</v>
      </c>
      <c r="T190">
        <f>YEAR(Table2[[#This Row],[Start_Date]])</f>
        <v>2026</v>
      </c>
      <c r="U190">
        <f>Table2[[#This Row],[Campaign_Cost (₹)]]/Table2[[#This Row],[Reach]]</f>
        <v>0.35519088113418618</v>
      </c>
      <c r="V190">
        <f>Table2[[#This Row],[Revenue_Generated (₹)]]/Table2[[#This Row],[Reach]]</f>
        <v>1.6460839037637667</v>
      </c>
    </row>
    <row r="191" spans="1:22" x14ac:dyDescent="0.3">
      <c r="A191" t="s">
        <v>242</v>
      </c>
      <c r="B191" t="s">
        <v>36</v>
      </c>
      <c r="C191" t="s">
        <v>37</v>
      </c>
      <c r="D191" t="s">
        <v>20</v>
      </c>
      <c r="E191">
        <v>1607251</v>
      </c>
      <c r="F191">
        <v>492069</v>
      </c>
      <c r="G191">
        <v>1273649</v>
      </c>
      <c r="H191">
        <v>25104</v>
      </c>
      <c r="I191">
        <v>1353</v>
      </c>
      <c r="J191">
        <v>1767</v>
      </c>
      <c r="K191">
        <f t="shared" si="4"/>
        <v>5.735780957548636</v>
      </c>
      <c r="L191">
        <v>334127</v>
      </c>
      <c r="M191">
        <v>1421720</v>
      </c>
      <c r="N191">
        <f t="shared" si="5"/>
        <v>325.50287764831933</v>
      </c>
      <c r="O191" s="4">
        <v>45724</v>
      </c>
      <c r="P191" s="4">
        <v>45741</v>
      </c>
      <c r="Q191" t="s">
        <v>25</v>
      </c>
      <c r="R191">
        <f>Table2[[#This Row],[End_Date]]-Table2[[#This Row],[Start_Date]]</f>
        <v>17</v>
      </c>
      <c r="S191" t="str">
        <f>TEXT(Table2[[#This Row],[Start_Date]],"MMM")</f>
        <v>Mar</v>
      </c>
      <c r="T191">
        <f>YEAR(Table2[[#This Row],[Start_Date]])</f>
        <v>2025</v>
      </c>
      <c r="U191">
        <f>Table2[[#This Row],[Campaign_Cost (₹)]]/Table2[[#This Row],[Reach]]</f>
        <v>0.67902468962686124</v>
      </c>
      <c r="V191">
        <f>Table2[[#This Row],[Revenue_Generated (₹)]]/Table2[[#This Row],[Reach]]</f>
        <v>2.8892695943048636</v>
      </c>
    </row>
    <row r="192" spans="1:22" x14ac:dyDescent="0.3">
      <c r="A192" t="s">
        <v>243</v>
      </c>
      <c r="B192" t="s">
        <v>61</v>
      </c>
      <c r="C192" t="s">
        <v>37</v>
      </c>
      <c r="D192" t="s">
        <v>46</v>
      </c>
      <c r="E192">
        <v>1111496</v>
      </c>
      <c r="F192">
        <v>978370</v>
      </c>
      <c r="G192">
        <v>2769869</v>
      </c>
      <c r="H192">
        <v>44687</v>
      </c>
      <c r="I192">
        <v>1436</v>
      </c>
      <c r="J192">
        <v>1310</v>
      </c>
      <c r="K192">
        <f t="shared" si="4"/>
        <v>4.8481658268344292</v>
      </c>
      <c r="L192">
        <v>201788</v>
      </c>
      <c r="M192">
        <v>498616</v>
      </c>
      <c r="N192">
        <f t="shared" si="5"/>
        <v>147.09893551648264</v>
      </c>
      <c r="O192" s="4">
        <v>46046</v>
      </c>
      <c r="P192" s="4">
        <v>46061</v>
      </c>
      <c r="Q192" t="s">
        <v>25</v>
      </c>
      <c r="R192">
        <f>Table2[[#This Row],[End_Date]]-Table2[[#This Row],[Start_Date]]</f>
        <v>15</v>
      </c>
      <c r="S192" t="str">
        <f>TEXT(Table2[[#This Row],[Start_Date]],"MMM")</f>
        <v>Jan</v>
      </c>
      <c r="T192">
        <f>YEAR(Table2[[#This Row],[Start_Date]])</f>
        <v>2026</v>
      </c>
      <c r="U192">
        <f>Table2[[#This Row],[Campaign_Cost (₹)]]/Table2[[#This Row],[Reach]]</f>
        <v>0.20624916953708719</v>
      </c>
      <c r="V192">
        <f>Table2[[#This Row],[Revenue_Generated (₹)]]/Table2[[#This Row],[Reach]]</f>
        <v>0.50963950243772804</v>
      </c>
    </row>
    <row r="193" spans="1:22" x14ac:dyDescent="0.3">
      <c r="A193" t="s">
        <v>244</v>
      </c>
      <c r="B193" t="s">
        <v>80</v>
      </c>
      <c r="C193" t="s">
        <v>37</v>
      </c>
      <c r="D193" t="s">
        <v>58</v>
      </c>
      <c r="E193">
        <v>506335</v>
      </c>
      <c r="F193">
        <v>292088</v>
      </c>
      <c r="G193">
        <v>453057</v>
      </c>
      <c r="H193">
        <v>21317</v>
      </c>
      <c r="I193">
        <v>2301</v>
      </c>
      <c r="J193">
        <v>792</v>
      </c>
      <c r="K193">
        <f t="shared" si="4"/>
        <v>8.3570704719125732</v>
      </c>
      <c r="L193">
        <v>489968</v>
      </c>
      <c r="M193">
        <v>2249708</v>
      </c>
      <c r="N193">
        <f t="shared" si="5"/>
        <v>359.15406720438887</v>
      </c>
      <c r="O193" s="4">
        <v>46094</v>
      </c>
      <c r="P193" s="4">
        <v>46115</v>
      </c>
      <c r="Q193" t="s">
        <v>21</v>
      </c>
      <c r="R193">
        <f>Table2[[#This Row],[End_Date]]-Table2[[#This Row],[Start_Date]]</f>
        <v>21</v>
      </c>
      <c r="S193" t="str">
        <f>TEXT(Table2[[#This Row],[Start_Date]],"MMM")</f>
        <v>Mar</v>
      </c>
      <c r="T193">
        <f>YEAR(Table2[[#This Row],[Start_Date]])</f>
        <v>2026</v>
      </c>
      <c r="U193">
        <f>Table2[[#This Row],[Campaign_Cost (₹)]]/Table2[[#This Row],[Reach]]</f>
        <v>1.6774670647202212</v>
      </c>
      <c r="V193">
        <f>Table2[[#This Row],[Revenue_Generated (₹)]]/Table2[[#This Row],[Reach]]</f>
        <v>7.7021582536769744</v>
      </c>
    </row>
    <row r="194" spans="1:22" x14ac:dyDescent="0.3">
      <c r="A194" t="s">
        <v>245</v>
      </c>
      <c r="B194" t="s">
        <v>63</v>
      </c>
      <c r="C194" t="s">
        <v>43</v>
      </c>
      <c r="D194" t="s">
        <v>20</v>
      </c>
      <c r="E194">
        <v>1825777</v>
      </c>
      <c r="F194">
        <v>1115099</v>
      </c>
      <c r="G194">
        <v>1701558</v>
      </c>
      <c r="H194">
        <v>58541</v>
      </c>
      <c r="I194">
        <v>4373</v>
      </c>
      <c r="J194">
        <v>3518</v>
      </c>
      <c r="K194">
        <f t="shared" ref="K194:K257" si="6">((H194+I194+J194)/F194)*100</f>
        <v>5.9574979441287281</v>
      </c>
      <c r="L194">
        <v>41378</v>
      </c>
      <c r="M194">
        <v>199241</v>
      </c>
      <c r="N194">
        <f t="shared" ref="N194:N257" si="7">((M194-L194)/L194)*100</f>
        <v>381.51433128715746</v>
      </c>
      <c r="O194" s="4">
        <v>45817</v>
      </c>
      <c r="P194" s="4">
        <v>45833</v>
      </c>
      <c r="Q194" t="s">
        <v>47</v>
      </c>
      <c r="R194">
        <f>Table2[[#This Row],[End_Date]]-Table2[[#This Row],[Start_Date]]</f>
        <v>16</v>
      </c>
      <c r="S194" t="str">
        <f>TEXT(Table2[[#This Row],[Start_Date]],"MMM")</f>
        <v>Jun</v>
      </c>
      <c r="T194">
        <f>YEAR(Table2[[#This Row],[Start_Date]])</f>
        <v>2025</v>
      </c>
      <c r="U194">
        <f>Table2[[#This Row],[Campaign_Cost (₹)]]/Table2[[#This Row],[Reach]]</f>
        <v>3.7107019197398616E-2</v>
      </c>
      <c r="V194">
        <f>Table2[[#This Row],[Revenue_Generated (₹)]]/Table2[[#This Row],[Reach]]</f>
        <v>0.17867561534895107</v>
      </c>
    </row>
    <row r="195" spans="1:22" x14ac:dyDescent="0.3">
      <c r="A195" t="s">
        <v>246</v>
      </c>
      <c r="B195" t="s">
        <v>39</v>
      </c>
      <c r="C195" t="s">
        <v>33</v>
      </c>
      <c r="D195" t="s">
        <v>46</v>
      </c>
      <c r="E195">
        <v>244096</v>
      </c>
      <c r="F195">
        <v>98073</v>
      </c>
      <c r="G195">
        <v>282986</v>
      </c>
      <c r="H195">
        <v>7551</v>
      </c>
      <c r="I195">
        <v>670</v>
      </c>
      <c r="J195">
        <v>655</v>
      </c>
      <c r="K195">
        <f t="shared" si="6"/>
        <v>9.0504012317355436</v>
      </c>
      <c r="L195">
        <v>130937</v>
      </c>
      <c r="M195">
        <v>457383</v>
      </c>
      <c r="N195">
        <f t="shared" si="7"/>
        <v>249.31531958117264</v>
      </c>
      <c r="O195" s="4">
        <v>45802</v>
      </c>
      <c r="P195" s="4">
        <v>45811</v>
      </c>
      <c r="Q195" t="s">
        <v>21</v>
      </c>
      <c r="R195">
        <f>Table2[[#This Row],[End_Date]]-Table2[[#This Row],[Start_Date]]</f>
        <v>9</v>
      </c>
      <c r="S195" t="str">
        <f>TEXT(Table2[[#This Row],[Start_Date]],"MMM")</f>
        <v>May</v>
      </c>
      <c r="T195">
        <f>YEAR(Table2[[#This Row],[Start_Date]])</f>
        <v>2025</v>
      </c>
      <c r="U195">
        <f>Table2[[#This Row],[Campaign_Cost (₹)]]/Table2[[#This Row],[Reach]]</f>
        <v>1.3350973254616458</v>
      </c>
      <c r="V195">
        <f>Table2[[#This Row],[Revenue_Generated (₹)]]/Table2[[#This Row],[Reach]]</f>
        <v>4.6636994891560368</v>
      </c>
    </row>
    <row r="196" spans="1:22" x14ac:dyDescent="0.3">
      <c r="A196" t="s">
        <v>247</v>
      </c>
      <c r="B196" t="s">
        <v>75</v>
      </c>
      <c r="C196" t="s">
        <v>37</v>
      </c>
      <c r="D196" t="s">
        <v>40</v>
      </c>
      <c r="E196">
        <v>977102</v>
      </c>
      <c r="F196">
        <v>566408</v>
      </c>
      <c r="G196">
        <v>962858</v>
      </c>
      <c r="H196">
        <v>84695</v>
      </c>
      <c r="I196">
        <v>10906</v>
      </c>
      <c r="J196">
        <v>6704</v>
      </c>
      <c r="K196">
        <f t="shared" si="6"/>
        <v>18.062068332368185</v>
      </c>
      <c r="L196">
        <v>89539</v>
      </c>
      <c r="M196">
        <v>301679</v>
      </c>
      <c r="N196">
        <f t="shared" si="7"/>
        <v>236.92469203363896</v>
      </c>
      <c r="O196" s="4">
        <v>45892</v>
      </c>
      <c r="P196" s="4">
        <v>45904</v>
      </c>
      <c r="Q196" t="s">
        <v>78</v>
      </c>
      <c r="R196">
        <f>Table2[[#This Row],[End_Date]]-Table2[[#This Row],[Start_Date]]</f>
        <v>12</v>
      </c>
      <c r="S196" t="str">
        <f>TEXT(Table2[[#This Row],[Start_Date]],"MMM")</f>
        <v>Aug</v>
      </c>
      <c r="T196">
        <f>YEAR(Table2[[#This Row],[Start_Date]])</f>
        <v>2025</v>
      </c>
      <c r="U196">
        <f>Table2[[#This Row],[Campaign_Cost (₹)]]/Table2[[#This Row],[Reach]]</f>
        <v>0.1580821598564992</v>
      </c>
      <c r="V196">
        <f>Table2[[#This Row],[Revenue_Generated (₹)]]/Table2[[#This Row],[Reach]]</f>
        <v>0.53261783025663478</v>
      </c>
    </row>
    <row r="197" spans="1:22" x14ac:dyDescent="0.3">
      <c r="A197" t="s">
        <v>248</v>
      </c>
      <c r="B197" t="s">
        <v>53</v>
      </c>
      <c r="C197" t="s">
        <v>43</v>
      </c>
      <c r="D197" t="s">
        <v>20</v>
      </c>
      <c r="E197">
        <v>1916776</v>
      </c>
      <c r="F197">
        <v>717363</v>
      </c>
      <c r="G197">
        <v>1936568</v>
      </c>
      <c r="H197">
        <v>46831</v>
      </c>
      <c r="I197">
        <v>6609</v>
      </c>
      <c r="J197">
        <v>2774</v>
      </c>
      <c r="K197">
        <f t="shared" si="6"/>
        <v>7.8362000828032672</v>
      </c>
      <c r="L197">
        <v>166780</v>
      </c>
      <c r="M197">
        <v>329418</v>
      </c>
      <c r="N197">
        <f t="shared" si="7"/>
        <v>97.516488787624411</v>
      </c>
      <c r="O197" s="4">
        <v>45964</v>
      </c>
      <c r="P197" s="4">
        <v>45977</v>
      </c>
      <c r="Q197" t="s">
        <v>54</v>
      </c>
      <c r="R197">
        <f>Table2[[#This Row],[End_Date]]-Table2[[#This Row],[Start_Date]]</f>
        <v>13</v>
      </c>
      <c r="S197" t="str">
        <f>TEXT(Table2[[#This Row],[Start_Date]],"MMM")</f>
        <v>Nov</v>
      </c>
      <c r="T197">
        <f>YEAR(Table2[[#This Row],[Start_Date]])</f>
        <v>2025</v>
      </c>
      <c r="U197">
        <f>Table2[[#This Row],[Campaign_Cost (₹)]]/Table2[[#This Row],[Reach]]</f>
        <v>0.23249038492367183</v>
      </c>
      <c r="V197">
        <f>Table2[[#This Row],[Revenue_Generated (₹)]]/Table2[[#This Row],[Reach]]</f>
        <v>0.45920684507006915</v>
      </c>
    </row>
    <row r="198" spans="1:22" x14ac:dyDescent="0.3">
      <c r="A198" t="s">
        <v>249</v>
      </c>
      <c r="B198" t="s">
        <v>63</v>
      </c>
      <c r="C198" t="s">
        <v>28</v>
      </c>
      <c r="D198" t="s">
        <v>40</v>
      </c>
      <c r="E198">
        <v>69358</v>
      </c>
      <c r="F198">
        <v>40778</v>
      </c>
      <c r="G198">
        <v>110579</v>
      </c>
      <c r="H198">
        <v>1087</v>
      </c>
      <c r="I198">
        <v>136</v>
      </c>
      <c r="J198">
        <v>24</v>
      </c>
      <c r="K198">
        <f t="shared" si="6"/>
        <v>3.0580214821717591</v>
      </c>
      <c r="L198">
        <v>349710</v>
      </c>
      <c r="M198">
        <v>564663</v>
      </c>
      <c r="N198">
        <f t="shared" si="7"/>
        <v>61.466071888135886</v>
      </c>
      <c r="O198" s="4">
        <v>45900</v>
      </c>
      <c r="P198" s="4">
        <v>45916</v>
      </c>
      <c r="Q198" t="s">
        <v>47</v>
      </c>
      <c r="R198">
        <f>Table2[[#This Row],[End_Date]]-Table2[[#This Row],[Start_Date]]</f>
        <v>16</v>
      </c>
      <c r="S198" t="str">
        <f>TEXT(Table2[[#This Row],[Start_Date]],"MMM")</f>
        <v>Aug</v>
      </c>
      <c r="T198">
        <f>YEAR(Table2[[#This Row],[Start_Date]])</f>
        <v>2025</v>
      </c>
      <c r="U198">
        <f>Table2[[#This Row],[Campaign_Cost (₹)]]/Table2[[#This Row],[Reach]]</f>
        <v>8.5759478149982833</v>
      </c>
      <c r="V198">
        <f>Table2[[#This Row],[Revenue_Generated (₹)]]/Table2[[#This Row],[Reach]]</f>
        <v>13.847246064054147</v>
      </c>
    </row>
    <row r="199" spans="1:22" x14ac:dyDescent="0.3">
      <c r="A199" t="s">
        <v>250</v>
      </c>
      <c r="B199" t="s">
        <v>103</v>
      </c>
      <c r="C199" t="s">
        <v>19</v>
      </c>
      <c r="D199" t="s">
        <v>72</v>
      </c>
      <c r="E199">
        <v>1607929</v>
      </c>
      <c r="F199">
        <v>581636</v>
      </c>
      <c r="G199">
        <v>1507630</v>
      </c>
      <c r="H199">
        <v>26567</v>
      </c>
      <c r="I199">
        <v>2045</v>
      </c>
      <c r="J199">
        <v>2015</v>
      </c>
      <c r="K199">
        <f t="shared" si="6"/>
        <v>5.2656644361765776</v>
      </c>
      <c r="L199">
        <v>113631</v>
      </c>
      <c r="M199">
        <v>380077</v>
      </c>
      <c r="N199">
        <f t="shared" si="7"/>
        <v>234.48354762344783</v>
      </c>
      <c r="O199" s="4">
        <v>45849</v>
      </c>
      <c r="P199" s="4">
        <v>45873</v>
      </c>
      <c r="Q199" t="s">
        <v>25</v>
      </c>
      <c r="R199">
        <f>Table2[[#This Row],[End_Date]]-Table2[[#This Row],[Start_Date]]</f>
        <v>24</v>
      </c>
      <c r="S199" t="str">
        <f>TEXT(Table2[[#This Row],[Start_Date]],"MMM")</f>
        <v>Jul</v>
      </c>
      <c r="T199">
        <f>YEAR(Table2[[#This Row],[Start_Date]])</f>
        <v>2025</v>
      </c>
      <c r="U199">
        <f>Table2[[#This Row],[Campaign_Cost (₹)]]/Table2[[#This Row],[Reach]]</f>
        <v>0.195364454744892</v>
      </c>
      <c r="V199">
        <f>Table2[[#This Row],[Revenue_Generated (₹)]]/Table2[[#This Row],[Reach]]</f>
        <v>0.65346195902591997</v>
      </c>
    </row>
    <row r="200" spans="1:22" x14ac:dyDescent="0.3">
      <c r="A200" t="s">
        <v>251</v>
      </c>
      <c r="B200" t="s">
        <v>75</v>
      </c>
      <c r="C200" t="s">
        <v>28</v>
      </c>
      <c r="D200" t="s">
        <v>46</v>
      </c>
      <c r="E200">
        <v>844825</v>
      </c>
      <c r="F200">
        <v>321666</v>
      </c>
      <c r="G200">
        <v>668704</v>
      </c>
      <c r="H200">
        <v>38799</v>
      </c>
      <c r="I200">
        <v>5091</v>
      </c>
      <c r="J200">
        <v>3309</v>
      </c>
      <c r="K200">
        <f t="shared" si="6"/>
        <v>14.673294659678051</v>
      </c>
      <c r="L200">
        <v>16826</v>
      </c>
      <c r="M200">
        <v>79771</v>
      </c>
      <c r="N200">
        <f t="shared" si="7"/>
        <v>374.09366456674195</v>
      </c>
      <c r="O200" s="4">
        <v>46019</v>
      </c>
      <c r="P200" s="4">
        <v>46030</v>
      </c>
      <c r="Q200" t="s">
        <v>30</v>
      </c>
      <c r="R200">
        <f>Table2[[#This Row],[End_Date]]-Table2[[#This Row],[Start_Date]]</f>
        <v>11</v>
      </c>
      <c r="S200" t="str">
        <f>TEXT(Table2[[#This Row],[Start_Date]],"MMM")</f>
        <v>Dec</v>
      </c>
      <c r="T200">
        <f>YEAR(Table2[[#This Row],[Start_Date]])</f>
        <v>2025</v>
      </c>
      <c r="U200">
        <f>Table2[[#This Row],[Campaign_Cost (₹)]]/Table2[[#This Row],[Reach]]</f>
        <v>5.2308916702418037E-2</v>
      </c>
      <c r="V200">
        <f>Table2[[#This Row],[Revenue_Generated (₹)]]/Table2[[#This Row],[Reach]]</f>
        <v>0.24799326008965822</v>
      </c>
    </row>
    <row r="201" spans="1:22" x14ac:dyDescent="0.3">
      <c r="A201" t="s">
        <v>252</v>
      </c>
      <c r="B201" t="s">
        <v>61</v>
      </c>
      <c r="C201" t="s">
        <v>43</v>
      </c>
      <c r="D201" t="s">
        <v>24</v>
      </c>
      <c r="E201">
        <v>1433402</v>
      </c>
      <c r="F201">
        <v>1227223</v>
      </c>
      <c r="G201">
        <v>1785945</v>
      </c>
      <c r="H201">
        <v>104865</v>
      </c>
      <c r="I201">
        <v>10601</v>
      </c>
      <c r="J201">
        <v>9853</v>
      </c>
      <c r="K201">
        <f t="shared" si="6"/>
        <v>10.211591536338545</v>
      </c>
      <c r="L201">
        <v>223397</v>
      </c>
      <c r="M201">
        <v>247899</v>
      </c>
      <c r="N201">
        <f t="shared" si="7"/>
        <v>10.967918100959279</v>
      </c>
      <c r="O201" s="4">
        <v>45784</v>
      </c>
      <c r="P201" s="4">
        <v>45814</v>
      </c>
      <c r="Q201" t="s">
        <v>34</v>
      </c>
      <c r="R201">
        <f>Table2[[#This Row],[End_Date]]-Table2[[#This Row],[Start_Date]]</f>
        <v>30</v>
      </c>
      <c r="S201" t="str">
        <f>TEXT(Table2[[#This Row],[Start_Date]],"MMM")</f>
        <v>May</v>
      </c>
      <c r="T201">
        <f>YEAR(Table2[[#This Row],[Start_Date]])</f>
        <v>2025</v>
      </c>
      <c r="U201">
        <f>Table2[[#This Row],[Campaign_Cost (₹)]]/Table2[[#This Row],[Reach]]</f>
        <v>0.18203456095591428</v>
      </c>
      <c r="V201">
        <f>Table2[[#This Row],[Revenue_Generated (₹)]]/Table2[[#This Row],[Reach]]</f>
        <v>0.20199996251699975</v>
      </c>
    </row>
    <row r="202" spans="1:22" x14ac:dyDescent="0.3">
      <c r="A202" t="s">
        <v>253</v>
      </c>
      <c r="B202" t="s">
        <v>53</v>
      </c>
      <c r="C202" t="s">
        <v>43</v>
      </c>
      <c r="D202" t="s">
        <v>24</v>
      </c>
      <c r="E202">
        <v>533948</v>
      </c>
      <c r="F202">
        <v>459867</v>
      </c>
      <c r="G202">
        <v>520342</v>
      </c>
      <c r="H202">
        <v>50019</v>
      </c>
      <c r="I202">
        <v>6828</v>
      </c>
      <c r="J202">
        <v>4337</v>
      </c>
      <c r="K202">
        <f t="shared" si="6"/>
        <v>13.304716363644269</v>
      </c>
      <c r="L202">
        <v>63995</v>
      </c>
      <c r="M202">
        <v>225135</v>
      </c>
      <c r="N202">
        <f t="shared" si="7"/>
        <v>251.80092194702709</v>
      </c>
      <c r="O202" s="4">
        <v>46097</v>
      </c>
      <c r="P202" s="4">
        <v>46125</v>
      </c>
      <c r="Q202" t="s">
        <v>41</v>
      </c>
      <c r="R202">
        <f>Table2[[#This Row],[End_Date]]-Table2[[#This Row],[Start_Date]]</f>
        <v>28</v>
      </c>
      <c r="S202" t="str">
        <f>TEXT(Table2[[#This Row],[Start_Date]],"MMM")</f>
        <v>Mar</v>
      </c>
      <c r="T202">
        <f>YEAR(Table2[[#This Row],[Start_Date]])</f>
        <v>2026</v>
      </c>
      <c r="U202">
        <f>Table2[[#This Row],[Campaign_Cost (₹)]]/Table2[[#This Row],[Reach]]</f>
        <v>0.13915980055102889</v>
      </c>
      <c r="V202">
        <f>Table2[[#This Row],[Revenue_Generated (₹)]]/Table2[[#This Row],[Reach]]</f>
        <v>0.48956546131816375</v>
      </c>
    </row>
    <row r="203" spans="1:22" x14ac:dyDescent="0.3">
      <c r="A203" t="s">
        <v>254</v>
      </c>
      <c r="B203" t="s">
        <v>32</v>
      </c>
      <c r="C203" t="s">
        <v>37</v>
      </c>
      <c r="D203" t="s">
        <v>29</v>
      </c>
      <c r="E203">
        <v>92857</v>
      </c>
      <c r="F203">
        <v>54499</v>
      </c>
      <c r="G203">
        <v>123153</v>
      </c>
      <c r="H203">
        <v>7407</v>
      </c>
      <c r="I203">
        <v>720</v>
      </c>
      <c r="J203">
        <v>259</v>
      </c>
      <c r="K203">
        <f t="shared" si="6"/>
        <v>15.387438301620213</v>
      </c>
      <c r="L203">
        <v>105348</v>
      </c>
      <c r="M203">
        <v>441520</v>
      </c>
      <c r="N203">
        <f t="shared" si="7"/>
        <v>319.10620040247562</v>
      </c>
      <c r="O203" s="4">
        <v>45924</v>
      </c>
      <c r="P203" s="4">
        <v>45931</v>
      </c>
      <c r="Q203" t="s">
        <v>41</v>
      </c>
      <c r="R203">
        <f>Table2[[#This Row],[End_Date]]-Table2[[#This Row],[Start_Date]]</f>
        <v>7</v>
      </c>
      <c r="S203" t="str">
        <f>TEXT(Table2[[#This Row],[Start_Date]],"MMM")</f>
        <v>Sep</v>
      </c>
      <c r="T203">
        <f>YEAR(Table2[[#This Row],[Start_Date]])</f>
        <v>2025</v>
      </c>
      <c r="U203">
        <f>Table2[[#This Row],[Campaign_Cost (₹)]]/Table2[[#This Row],[Reach]]</f>
        <v>1.9330262940604415</v>
      </c>
      <c r="V203">
        <f>Table2[[#This Row],[Revenue_Generated (₹)]]/Table2[[#This Row],[Reach]]</f>
        <v>8.1014330538175017</v>
      </c>
    </row>
    <row r="204" spans="1:22" x14ac:dyDescent="0.3">
      <c r="A204" t="s">
        <v>255</v>
      </c>
      <c r="B204" t="s">
        <v>18</v>
      </c>
      <c r="C204" t="s">
        <v>28</v>
      </c>
      <c r="D204" t="s">
        <v>46</v>
      </c>
      <c r="E204">
        <v>227439</v>
      </c>
      <c r="F204">
        <v>177637</v>
      </c>
      <c r="G204">
        <v>455785</v>
      </c>
      <c r="H204">
        <v>18137</v>
      </c>
      <c r="I204">
        <v>2272</v>
      </c>
      <c r="J204">
        <v>1109</v>
      </c>
      <c r="K204">
        <f t="shared" si="6"/>
        <v>12.113467351959333</v>
      </c>
      <c r="L204">
        <v>342980</v>
      </c>
      <c r="M204">
        <v>581807</v>
      </c>
      <c r="N204">
        <f t="shared" si="7"/>
        <v>69.632923202519095</v>
      </c>
      <c r="O204" s="4">
        <v>45982</v>
      </c>
      <c r="P204" s="4">
        <v>45992</v>
      </c>
      <c r="Q204" t="s">
        <v>41</v>
      </c>
      <c r="R204">
        <f>Table2[[#This Row],[End_Date]]-Table2[[#This Row],[Start_Date]]</f>
        <v>10</v>
      </c>
      <c r="S204" t="str">
        <f>TEXT(Table2[[#This Row],[Start_Date]],"MMM")</f>
        <v>Nov</v>
      </c>
      <c r="T204">
        <f>YEAR(Table2[[#This Row],[Start_Date]])</f>
        <v>2025</v>
      </c>
      <c r="U204">
        <f>Table2[[#This Row],[Campaign_Cost (₹)]]/Table2[[#This Row],[Reach]]</f>
        <v>1.9307914454758863</v>
      </c>
      <c r="V204">
        <f>Table2[[#This Row],[Revenue_Generated (₹)]]/Table2[[#This Row],[Reach]]</f>
        <v>3.2752579699049185</v>
      </c>
    </row>
    <row r="205" spans="1:22" x14ac:dyDescent="0.3">
      <c r="A205" t="s">
        <v>256</v>
      </c>
      <c r="B205" t="s">
        <v>32</v>
      </c>
      <c r="C205" t="s">
        <v>43</v>
      </c>
      <c r="D205" t="s">
        <v>46</v>
      </c>
      <c r="E205">
        <v>466760</v>
      </c>
      <c r="F205">
        <v>206458</v>
      </c>
      <c r="G205">
        <v>249903</v>
      </c>
      <c r="H205">
        <v>17903</v>
      </c>
      <c r="I205">
        <v>699</v>
      </c>
      <c r="J205">
        <v>1663</v>
      </c>
      <c r="K205">
        <f t="shared" si="6"/>
        <v>9.8155557062453376</v>
      </c>
      <c r="L205">
        <v>450463</v>
      </c>
      <c r="M205">
        <v>1347391</v>
      </c>
      <c r="N205">
        <f t="shared" si="7"/>
        <v>199.11246872662127</v>
      </c>
      <c r="O205" s="4">
        <v>45927</v>
      </c>
      <c r="P205" s="4">
        <v>45940</v>
      </c>
      <c r="Q205" t="s">
        <v>54</v>
      </c>
      <c r="R205">
        <f>Table2[[#This Row],[End_Date]]-Table2[[#This Row],[Start_Date]]</f>
        <v>13</v>
      </c>
      <c r="S205" t="str">
        <f>TEXT(Table2[[#This Row],[Start_Date]],"MMM")</f>
        <v>Sep</v>
      </c>
      <c r="T205">
        <f>YEAR(Table2[[#This Row],[Start_Date]])</f>
        <v>2025</v>
      </c>
      <c r="U205">
        <f>Table2[[#This Row],[Campaign_Cost (₹)]]/Table2[[#This Row],[Reach]]</f>
        <v>2.1818626548741147</v>
      </c>
      <c r="V205">
        <f>Table2[[#This Row],[Revenue_Generated (₹)]]/Table2[[#This Row],[Reach]]</f>
        <v>6.5262232512181653</v>
      </c>
    </row>
    <row r="206" spans="1:22" x14ac:dyDescent="0.3">
      <c r="A206" t="s">
        <v>257</v>
      </c>
      <c r="B206" t="s">
        <v>39</v>
      </c>
      <c r="C206" t="s">
        <v>33</v>
      </c>
      <c r="D206" t="s">
        <v>40</v>
      </c>
      <c r="E206">
        <v>1867806</v>
      </c>
      <c r="F206">
        <v>823853</v>
      </c>
      <c r="G206">
        <v>1744136</v>
      </c>
      <c r="H206">
        <v>22650</v>
      </c>
      <c r="I206">
        <v>1972</v>
      </c>
      <c r="J206">
        <v>1202</v>
      </c>
      <c r="K206">
        <f t="shared" si="6"/>
        <v>3.1345397783342417</v>
      </c>
      <c r="L206">
        <v>475223</v>
      </c>
      <c r="M206">
        <v>1278853</v>
      </c>
      <c r="N206">
        <f t="shared" si="7"/>
        <v>169.10587240095703</v>
      </c>
      <c r="O206" s="4">
        <v>45879</v>
      </c>
      <c r="P206" s="4">
        <v>45907</v>
      </c>
      <c r="Q206" t="s">
        <v>47</v>
      </c>
      <c r="R206">
        <f>Table2[[#This Row],[End_Date]]-Table2[[#This Row],[Start_Date]]</f>
        <v>28</v>
      </c>
      <c r="S206" t="str">
        <f>TEXT(Table2[[#This Row],[Start_Date]],"MMM")</f>
        <v>Aug</v>
      </c>
      <c r="T206">
        <f>YEAR(Table2[[#This Row],[Start_Date]])</f>
        <v>2025</v>
      </c>
      <c r="U206">
        <f>Table2[[#This Row],[Campaign_Cost (₹)]]/Table2[[#This Row],[Reach]]</f>
        <v>0.5768298470722325</v>
      </c>
      <c r="V206">
        <f>Table2[[#This Row],[Revenue_Generated (₹)]]/Table2[[#This Row],[Reach]]</f>
        <v>1.5522829922328376</v>
      </c>
    </row>
    <row r="207" spans="1:22" x14ac:dyDescent="0.3">
      <c r="A207" t="s">
        <v>258</v>
      </c>
      <c r="B207" t="s">
        <v>80</v>
      </c>
      <c r="C207" t="s">
        <v>37</v>
      </c>
      <c r="D207" t="s">
        <v>58</v>
      </c>
      <c r="E207">
        <v>1175142</v>
      </c>
      <c r="F207">
        <v>700199</v>
      </c>
      <c r="G207">
        <v>1824546</v>
      </c>
      <c r="H207">
        <v>25888</v>
      </c>
      <c r="I207">
        <v>2149</v>
      </c>
      <c r="J207">
        <v>1911</v>
      </c>
      <c r="K207">
        <f t="shared" si="6"/>
        <v>4.2770698044413091</v>
      </c>
      <c r="L207">
        <v>18105</v>
      </c>
      <c r="M207">
        <v>31098</v>
      </c>
      <c r="N207">
        <f t="shared" si="7"/>
        <v>71.764705882352942</v>
      </c>
      <c r="O207" s="4">
        <v>46046</v>
      </c>
      <c r="P207" s="4">
        <v>46070</v>
      </c>
      <c r="Q207" t="s">
        <v>25</v>
      </c>
      <c r="R207">
        <f>Table2[[#This Row],[End_Date]]-Table2[[#This Row],[Start_Date]]</f>
        <v>24</v>
      </c>
      <c r="S207" t="str">
        <f>TEXT(Table2[[#This Row],[Start_Date]],"MMM")</f>
        <v>Jan</v>
      </c>
      <c r="T207">
        <f>YEAR(Table2[[#This Row],[Start_Date]])</f>
        <v>2026</v>
      </c>
      <c r="U207">
        <f>Table2[[#This Row],[Campaign_Cost (₹)]]/Table2[[#This Row],[Reach]]</f>
        <v>2.5856934957062205E-2</v>
      </c>
      <c r="V207">
        <f>Table2[[#This Row],[Revenue_Generated (₹)]]/Table2[[#This Row],[Reach]]</f>
        <v>4.4413088279189203E-2</v>
      </c>
    </row>
    <row r="208" spans="1:22" x14ac:dyDescent="0.3">
      <c r="A208" t="s">
        <v>259</v>
      </c>
      <c r="B208" t="s">
        <v>103</v>
      </c>
      <c r="C208" t="s">
        <v>37</v>
      </c>
      <c r="D208" t="s">
        <v>46</v>
      </c>
      <c r="E208">
        <v>665753</v>
      </c>
      <c r="F208">
        <v>528909</v>
      </c>
      <c r="G208">
        <v>1375402</v>
      </c>
      <c r="H208">
        <v>52827</v>
      </c>
      <c r="I208">
        <v>5984</v>
      </c>
      <c r="J208">
        <v>4327</v>
      </c>
      <c r="K208">
        <f t="shared" si="6"/>
        <v>11.937403220591822</v>
      </c>
      <c r="L208">
        <v>136030</v>
      </c>
      <c r="M208">
        <v>475038</v>
      </c>
      <c r="N208">
        <f t="shared" si="7"/>
        <v>249.21561420274938</v>
      </c>
      <c r="O208" s="4">
        <v>45850</v>
      </c>
      <c r="P208" s="4">
        <v>45868</v>
      </c>
      <c r="Q208" t="s">
        <v>78</v>
      </c>
      <c r="R208">
        <f>Table2[[#This Row],[End_Date]]-Table2[[#This Row],[Start_Date]]</f>
        <v>18</v>
      </c>
      <c r="S208" t="str">
        <f>TEXT(Table2[[#This Row],[Start_Date]],"MMM")</f>
        <v>Jul</v>
      </c>
      <c r="T208">
        <f>YEAR(Table2[[#This Row],[Start_Date]])</f>
        <v>2025</v>
      </c>
      <c r="U208">
        <f>Table2[[#This Row],[Campaign_Cost (₹)]]/Table2[[#This Row],[Reach]]</f>
        <v>0.25718980013575116</v>
      </c>
      <c r="V208">
        <f>Table2[[#This Row],[Revenue_Generated (₹)]]/Table2[[#This Row],[Reach]]</f>
        <v>0.89814694021088692</v>
      </c>
    </row>
    <row r="209" spans="1:22" x14ac:dyDescent="0.3">
      <c r="A209" t="s">
        <v>260</v>
      </c>
      <c r="B209" t="s">
        <v>23</v>
      </c>
      <c r="C209" t="s">
        <v>43</v>
      </c>
      <c r="D209" t="s">
        <v>46</v>
      </c>
      <c r="E209">
        <v>1290027</v>
      </c>
      <c r="F209">
        <v>753331</v>
      </c>
      <c r="G209">
        <v>1208778</v>
      </c>
      <c r="H209">
        <v>100630</v>
      </c>
      <c r="I209">
        <v>8556</v>
      </c>
      <c r="J209">
        <v>8019</v>
      </c>
      <c r="K209">
        <f t="shared" si="6"/>
        <v>15.558234029928411</v>
      </c>
      <c r="L209">
        <v>477998</v>
      </c>
      <c r="M209">
        <v>1889403</v>
      </c>
      <c r="N209">
        <f t="shared" si="7"/>
        <v>295.27424800940588</v>
      </c>
      <c r="O209" s="4">
        <v>45800</v>
      </c>
      <c r="P209" s="4">
        <v>45817</v>
      </c>
      <c r="Q209" t="s">
        <v>25</v>
      </c>
      <c r="R209">
        <f>Table2[[#This Row],[End_Date]]-Table2[[#This Row],[Start_Date]]</f>
        <v>17</v>
      </c>
      <c r="S209" t="str">
        <f>TEXT(Table2[[#This Row],[Start_Date]],"MMM")</f>
        <v>May</v>
      </c>
      <c r="T209">
        <f>YEAR(Table2[[#This Row],[Start_Date]])</f>
        <v>2025</v>
      </c>
      <c r="U209">
        <f>Table2[[#This Row],[Campaign_Cost (₹)]]/Table2[[#This Row],[Reach]]</f>
        <v>0.6345125847734927</v>
      </c>
      <c r="V209">
        <f>Table2[[#This Row],[Revenue_Generated (₹)]]/Table2[[#This Row],[Reach]]</f>
        <v>2.5080648479884671</v>
      </c>
    </row>
    <row r="210" spans="1:22" x14ac:dyDescent="0.3">
      <c r="A210" t="s">
        <v>261</v>
      </c>
      <c r="B210" t="s">
        <v>27</v>
      </c>
      <c r="C210" t="s">
        <v>28</v>
      </c>
      <c r="D210" t="s">
        <v>20</v>
      </c>
      <c r="E210">
        <v>1673030</v>
      </c>
      <c r="F210">
        <v>508483</v>
      </c>
      <c r="G210">
        <v>1496834</v>
      </c>
      <c r="H210">
        <v>34039</v>
      </c>
      <c r="I210">
        <v>4724</v>
      </c>
      <c r="J210">
        <v>2531</v>
      </c>
      <c r="K210">
        <f t="shared" si="6"/>
        <v>8.1210187951219606</v>
      </c>
      <c r="L210">
        <v>246122</v>
      </c>
      <c r="M210">
        <v>918789</v>
      </c>
      <c r="N210">
        <f t="shared" si="7"/>
        <v>273.30632775615345</v>
      </c>
      <c r="O210" s="4">
        <v>45700</v>
      </c>
      <c r="P210" s="4">
        <v>45717</v>
      </c>
      <c r="Q210" t="s">
        <v>21</v>
      </c>
      <c r="R210">
        <f>Table2[[#This Row],[End_Date]]-Table2[[#This Row],[Start_Date]]</f>
        <v>17</v>
      </c>
      <c r="S210" t="str">
        <f>TEXT(Table2[[#This Row],[Start_Date]],"MMM")</f>
        <v>Feb</v>
      </c>
      <c r="T210">
        <f>YEAR(Table2[[#This Row],[Start_Date]])</f>
        <v>2025</v>
      </c>
      <c r="U210">
        <f>Table2[[#This Row],[Campaign_Cost (₹)]]/Table2[[#This Row],[Reach]]</f>
        <v>0.48403191453794914</v>
      </c>
      <c r="V210">
        <f>Table2[[#This Row],[Revenue_Generated (₹)]]/Table2[[#This Row],[Reach]]</f>
        <v>1.8069217653294209</v>
      </c>
    </row>
    <row r="211" spans="1:22" x14ac:dyDescent="0.3">
      <c r="A211" t="s">
        <v>262</v>
      </c>
      <c r="B211" t="s">
        <v>23</v>
      </c>
      <c r="C211" t="s">
        <v>43</v>
      </c>
      <c r="D211" t="s">
        <v>20</v>
      </c>
      <c r="E211">
        <v>1314889</v>
      </c>
      <c r="F211">
        <v>922966</v>
      </c>
      <c r="G211">
        <v>1715269</v>
      </c>
      <c r="H211">
        <v>21937</v>
      </c>
      <c r="I211">
        <v>2977</v>
      </c>
      <c r="J211">
        <v>910</v>
      </c>
      <c r="K211">
        <f t="shared" si="6"/>
        <v>2.7979362186689434</v>
      </c>
      <c r="L211">
        <v>83730</v>
      </c>
      <c r="M211">
        <v>104095</v>
      </c>
      <c r="N211">
        <f t="shared" si="7"/>
        <v>24.322226203272422</v>
      </c>
      <c r="O211" s="4">
        <v>45706</v>
      </c>
      <c r="P211" s="4">
        <v>45723</v>
      </c>
      <c r="Q211" t="s">
        <v>30</v>
      </c>
      <c r="R211">
        <f>Table2[[#This Row],[End_Date]]-Table2[[#This Row],[Start_Date]]</f>
        <v>17</v>
      </c>
      <c r="S211" t="str">
        <f>TEXT(Table2[[#This Row],[Start_Date]],"MMM")</f>
        <v>Feb</v>
      </c>
      <c r="T211">
        <f>YEAR(Table2[[#This Row],[Start_Date]])</f>
        <v>2025</v>
      </c>
      <c r="U211">
        <f>Table2[[#This Row],[Campaign_Cost (₹)]]/Table2[[#This Row],[Reach]]</f>
        <v>9.0718401327892897E-2</v>
      </c>
      <c r="V211">
        <f>Table2[[#This Row],[Revenue_Generated (₹)]]/Table2[[#This Row],[Reach]]</f>
        <v>0.1127831361068555</v>
      </c>
    </row>
    <row r="212" spans="1:22" x14ac:dyDescent="0.3">
      <c r="A212" t="s">
        <v>263</v>
      </c>
      <c r="B212" t="s">
        <v>63</v>
      </c>
      <c r="C212" t="s">
        <v>33</v>
      </c>
      <c r="D212" t="s">
        <v>24</v>
      </c>
      <c r="E212">
        <v>1445758</v>
      </c>
      <c r="F212">
        <v>447218</v>
      </c>
      <c r="G212">
        <v>628700</v>
      </c>
      <c r="H212">
        <v>51575</v>
      </c>
      <c r="I212">
        <v>1694</v>
      </c>
      <c r="J212">
        <v>2059</v>
      </c>
      <c r="K212">
        <f t="shared" si="6"/>
        <v>12.371595061021694</v>
      </c>
      <c r="L212">
        <v>373498</v>
      </c>
      <c r="M212">
        <v>716327</v>
      </c>
      <c r="N212">
        <f t="shared" si="7"/>
        <v>91.78871105066159</v>
      </c>
      <c r="O212" s="4">
        <v>45744</v>
      </c>
      <c r="P212" s="4">
        <v>45771</v>
      </c>
      <c r="Q212" t="s">
        <v>78</v>
      </c>
      <c r="R212">
        <f>Table2[[#This Row],[End_Date]]-Table2[[#This Row],[Start_Date]]</f>
        <v>27</v>
      </c>
      <c r="S212" t="str">
        <f>TEXT(Table2[[#This Row],[Start_Date]],"MMM")</f>
        <v>Mar</v>
      </c>
      <c r="T212">
        <f>YEAR(Table2[[#This Row],[Start_Date]])</f>
        <v>2025</v>
      </c>
      <c r="U212">
        <f>Table2[[#This Row],[Campaign_Cost (₹)]]/Table2[[#This Row],[Reach]]</f>
        <v>0.83515869218144168</v>
      </c>
      <c r="V212">
        <f>Table2[[#This Row],[Revenue_Generated (₹)]]/Table2[[#This Row],[Reach]]</f>
        <v>1.6017400909623494</v>
      </c>
    </row>
    <row r="213" spans="1:22" x14ac:dyDescent="0.3">
      <c r="A213" t="s">
        <v>264</v>
      </c>
      <c r="B213" t="s">
        <v>49</v>
      </c>
      <c r="C213" t="s">
        <v>43</v>
      </c>
      <c r="D213" t="s">
        <v>72</v>
      </c>
      <c r="E213">
        <v>1903737</v>
      </c>
      <c r="F213">
        <v>851043</v>
      </c>
      <c r="G213">
        <v>2314167</v>
      </c>
      <c r="H213">
        <v>19033</v>
      </c>
      <c r="I213">
        <v>1058</v>
      </c>
      <c r="J213">
        <v>745</v>
      </c>
      <c r="K213">
        <f t="shared" si="6"/>
        <v>2.4482899218958387</v>
      </c>
      <c r="L213">
        <v>158682</v>
      </c>
      <c r="M213">
        <v>354284</v>
      </c>
      <c r="N213">
        <f t="shared" si="7"/>
        <v>123.26665910437227</v>
      </c>
      <c r="O213" s="4">
        <v>45665</v>
      </c>
      <c r="P213" s="4">
        <v>45681</v>
      </c>
      <c r="Q213" t="s">
        <v>21</v>
      </c>
      <c r="R213">
        <f>Table2[[#This Row],[End_Date]]-Table2[[#This Row],[Start_Date]]</f>
        <v>16</v>
      </c>
      <c r="S213" t="str">
        <f>TEXT(Table2[[#This Row],[Start_Date]],"MMM")</f>
        <v>Jan</v>
      </c>
      <c r="T213">
        <f>YEAR(Table2[[#This Row],[Start_Date]])</f>
        <v>2025</v>
      </c>
      <c r="U213">
        <f>Table2[[#This Row],[Campaign_Cost (₹)]]/Table2[[#This Row],[Reach]]</f>
        <v>0.18645591350848312</v>
      </c>
      <c r="V213">
        <f>Table2[[#This Row],[Revenue_Generated (₹)]]/Table2[[#This Row],[Reach]]</f>
        <v>0.41629388879292822</v>
      </c>
    </row>
    <row r="214" spans="1:22" x14ac:dyDescent="0.3">
      <c r="A214" t="s">
        <v>265</v>
      </c>
      <c r="B214" t="s">
        <v>61</v>
      </c>
      <c r="C214" t="s">
        <v>37</v>
      </c>
      <c r="D214" t="s">
        <v>40</v>
      </c>
      <c r="E214">
        <v>1839283</v>
      </c>
      <c r="F214">
        <v>1048897</v>
      </c>
      <c r="G214">
        <v>2561657</v>
      </c>
      <c r="H214">
        <v>94555</v>
      </c>
      <c r="I214">
        <v>7266</v>
      </c>
      <c r="J214">
        <v>3361</v>
      </c>
      <c r="K214">
        <f t="shared" si="6"/>
        <v>10.02786736924598</v>
      </c>
      <c r="L214">
        <v>93215</v>
      </c>
      <c r="M214">
        <v>271036</v>
      </c>
      <c r="N214">
        <f t="shared" si="7"/>
        <v>190.76436195891219</v>
      </c>
      <c r="O214" s="4">
        <v>46130</v>
      </c>
      <c r="P214" s="4">
        <v>46153</v>
      </c>
      <c r="Q214" t="s">
        <v>21</v>
      </c>
      <c r="R214">
        <f>Table2[[#This Row],[End_Date]]-Table2[[#This Row],[Start_Date]]</f>
        <v>23</v>
      </c>
      <c r="S214" t="str">
        <f>TEXT(Table2[[#This Row],[Start_Date]],"MMM")</f>
        <v>Apr</v>
      </c>
      <c r="T214">
        <f>YEAR(Table2[[#This Row],[Start_Date]])</f>
        <v>2026</v>
      </c>
      <c r="U214">
        <f>Table2[[#This Row],[Campaign_Cost (₹)]]/Table2[[#This Row],[Reach]]</f>
        <v>8.8869545818130849E-2</v>
      </c>
      <c r="V214">
        <f>Table2[[#This Row],[Revenue_Generated (₹)]]/Table2[[#This Row],[Reach]]</f>
        <v>0.25840096787387129</v>
      </c>
    </row>
    <row r="215" spans="1:22" x14ac:dyDescent="0.3">
      <c r="A215" t="s">
        <v>266</v>
      </c>
      <c r="B215" t="s">
        <v>45</v>
      </c>
      <c r="C215" t="s">
        <v>19</v>
      </c>
      <c r="D215" t="s">
        <v>51</v>
      </c>
      <c r="E215">
        <v>557266</v>
      </c>
      <c r="F215">
        <v>466814</v>
      </c>
      <c r="G215">
        <v>1330577</v>
      </c>
      <c r="H215">
        <v>25627</v>
      </c>
      <c r="I215">
        <v>3280</v>
      </c>
      <c r="J215">
        <v>514</v>
      </c>
      <c r="K215">
        <f t="shared" si="6"/>
        <v>6.3025102074916353</v>
      </c>
      <c r="L215">
        <v>413887</v>
      </c>
      <c r="M215">
        <v>1111364</v>
      </c>
      <c r="N215">
        <f t="shared" si="7"/>
        <v>168.51870196454587</v>
      </c>
      <c r="O215" s="4">
        <v>45824</v>
      </c>
      <c r="P215" s="4">
        <v>45852</v>
      </c>
      <c r="Q215" t="s">
        <v>78</v>
      </c>
      <c r="R215">
        <f>Table2[[#This Row],[End_Date]]-Table2[[#This Row],[Start_Date]]</f>
        <v>28</v>
      </c>
      <c r="S215" t="str">
        <f>TEXT(Table2[[#This Row],[Start_Date]],"MMM")</f>
        <v>Jun</v>
      </c>
      <c r="T215">
        <f>YEAR(Table2[[#This Row],[Start_Date]])</f>
        <v>2025</v>
      </c>
      <c r="U215">
        <f>Table2[[#This Row],[Campaign_Cost (₹)]]/Table2[[#This Row],[Reach]]</f>
        <v>0.88662079543458427</v>
      </c>
      <c r="V215">
        <f>Table2[[#This Row],[Revenue_Generated (₹)]]/Table2[[#This Row],[Reach]]</f>
        <v>2.3807426512486773</v>
      </c>
    </row>
    <row r="216" spans="1:22" x14ac:dyDescent="0.3">
      <c r="A216" t="s">
        <v>267</v>
      </c>
      <c r="B216" t="s">
        <v>103</v>
      </c>
      <c r="C216" t="s">
        <v>19</v>
      </c>
      <c r="D216" t="s">
        <v>46</v>
      </c>
      <c r="E216">
        <v>1949766</v>
      </c>
      <c r="F216">
        <v>899119</v>
      </c>
      <c r="G216">
        <v>1854676</v>
      </c>
      <c r="H216">
        <v>28607</v>
      </c>
      <c r="I216">
        <v>1307</v>
      </c>
      <c r="J216">
        <v>2408</v>
      </c>
      <c r="K216">
        <f t="shared" si="6"/>
        <v>3.5948522943014218</v>
      </c>
      <c r="L216">
        <v>158076</v>
      </c>
      <c r="M216">
        <v>318982</v>
      </c>
      <c r="N216">
        <f t="shared" si="7"/>
        <v>101.79027809408132</v>
      </c>
      <c r="O216" s="4">
        <v>45882</v>
      </c>
      <c r="P216" s="4">
        <v>45889</v>
      </c>
      <c r="Q216" t="s">
        <v>78</v>
      </c>
      <c r="R216">
        <f>Table2[[#This Row],[End_Date]]-Table2[[#This Row],[Start_Date]]</f>
        <v>7</v>
      </c>
      <c r="S216" t="str">
        <f>TEXT(Table2[[#This Row],[Start_Date]],"MMM")</f>
        <v>Aug</v>
      </c>
      <c r="T216">
        <f>YEAR(Table2[[#This Row],[Start_Date]])</f>
        <v>2025</v>
      </c>
      <c r="U216">
        <f>Table2[[#This Row],[Campaign_Cost (₹)]]/Table2[[#This Row],[Reach]]</f>
        <v>0.17581210051172314</v>
      </c>
      <c r="V216">
        <f>Table2[[#This Row],[Revenue_Generated (₹)]]/Table2[[#This Row],[Reach]]</f>
        <v>0.35477172654565192</v>
      </c>
    </row>
    <row r="217" spans="1:22" x14ac:dyDescent="0.3">
      <c r="A217" t="s">
        <v>268</v>
      </c>
      <c r="B217" t="s">
        <v>63</v>
      </c>
      <c r="C217" t="s">
        <v>19</v>
      </c>
      <c r="D217" t="s">
        <v>24</v>
      </c>
      <c r="E217">
        <v>205943</v>
      </c>
      <c r="F217">
        <v>155027</v>
      </c>
      <c r="G217">
        <v>282294</v>
      </c>
      <c r="H217">
        <v>14417</v>
      </c>
      <c r="I217">
        <v>1423</v>
      </c>
      <c r="J217">
        <v>765</v>
      </c>
      <c r="K217">
        <f t="shared" si="6"/>
        <v>10.711037432189231</v>
      </c>
      <c r="L217">
        <v>58006</v>
      </c>
      <c r="M217">
        <v>240853</v>
      </c>
      <c r="N217">
        <f t="shared" si="7"/>
        <v>315.22083922352857</v>
      </c>
      <c r="O217" s="4">
        <v>46115</v>
      </c>
      <c r="P217" s="4">
        <v>46135</v>
      </c>
      <c r="Q217" t="s">
        <v>34</v>
      </c>
      <c r="R217">
        <f>Table2[[#This Row],[End_Date]]-Table2[[#This Row],[Start_Date]]</f>
        <v>20</v>
      </c>
      <c r="S217" t="str">
        <f>TEXT(Table2[[#This Row],[Start_Date]],"MMM")</f>
        <v>Apr</v>
      </c>
      <c r="T217">
        <f>YEAR(Table2[[#This Row],[Start_Date]])</f>
        <v>2026</v>
      </c>
      <c r="U217">
        <f>Table2[[#This Row],[Campaign_Cost (₹)]]/Table2[[#This Row],[Reach]]</f>
        <v>0.37416708057306147</v>
      </c>
      <c r="V217">
        <f>Table2[[#This Row],[Revenue_Generated (₹)]]/Table2[[#This Row],[Reach]]</f>
        <v>1.5536196920536423</v>
      </c>
    </row>
    <row r="218" spans="1:22" x14ac:dyDescent="0.3">
      <c r="A218" t="s">
        <v>269</v>
      </c>
      <c r="B218" t="s">
        <v>80</v>
      </c>
      <c r="C218" t="s">
        <v>37</v>
      </c>
      <c r="D218" t="s">
        <v>20</v>
      </c>
      <c r="E218">
        <v>1583153</v>
      </c>
      <c r="F218">
        <v>1422849</v>
      </c>
      <c r="G218">
        <v>1966651</v>
      </c>
      <c r="H218">
        <v>140078</v>
      </c>
      <c r="I218">
        <v>17065</v>
      </c>
      <c r="J218">
        <v>7718</v>
      </c>
      <c r="K218">
        <f t="shared" si="6"/>
        <v>11.586682775192589</v>
      </c>
      <c r="L218">
        <v>60804</v>
      </c>
      <c r="M218">
        <v>82874</v>
      </c>
      <c r="N218">
        <f t="shared" si="7"/>
        <v>36.296954147753432</v>
      </c>
      <c r="O218" s="4">
        <v>46086</v>
      </c>
      <c r="P218" s="4">
        <v>46106</v>
      </c>
      <c r="Q218" t="s">
        <v>78</v>
      </c>
      <c r="R218">
        <f>Table2[[#This Row],[End_Date]]-Table2[[#This Row],[Start_Date]]</f>
        <v>20</v>
      </c>
      <c r="S218" t="str">
        <f>TEXT(Table2[[#This Row],[Start_Date]],"MMM")</f>
        <v>Mar</v>
      </c>
      <c r="T218">
        <f>YEAR(Table2[[#This Row],[Start_Date]])</f>
        <v>2026</v>
      </c>
      <c r="U218">
        <f>Table2[[#This Row],[Campaign_Cost (₹)]]/Table2[[#This Row],[Reach]]</f>
        <v>4.2733979501689917E-2</v>
      </c>
      <c r="V218">
        <f>Table2[[#This Row],[Revenue_Generated (₹)]]/Table2[[#This Row],[Reach]]</f>
        <v>5.8245112446928662E-2</v>
      </c>
    </row>
    <row r="219" spans="1:22" x14ac:dyDescent="0.3">
      <c r="A219" t="s">
        <v>270</v>
      </c>
      <c r="B219" t="s">
        <v>45</v>
      </c>
      <c r="C219" t="s">
        <v>19</v>
      </c>
      <c r="D219" t="s">
        <v>72</v>
      </c>
      <c r="E219">
        <v>928392</v>
      </c>
      <c r="F219">
        <v>269621</v>
      </c>
      <c r="G219">
        <v>667421</v>
      </c>
      <c r="H219">
        <v>11587</v>
      </c>
      <c r="I219">
        <v>599</v>
      </c>
      <c r="J219">
        <v>345</v>
      </c>
      <c r="K219">
        <f t="shared" si="6"/>
        <v>4.6476350135931552</v>
      </c>
      <c r="L219">
        <v>329184</v>
      </c>
      <c r="M219">
        <v>682011</v>
      </c>
      <c r="N219">
        <f t="shared" si="7"/>
        <v>107.18230533683291</v>
      </c>
      <c r="O219" s="4">
        <v>46103</v>
      </c>
      <c r="P219" s="4">
        <v>46120</v>
      </c>
      <c r="Q219" t="s">
        <v>34</v>
      </c>
      <c r="R219">
        <f>Table2[[#This Row],[End_Date]]-Table2[[#This Row],[Start_Date]]</f>
        <v>17</v>
      </c>
      <c r="S219" t="str">
        <f>TEXT(Table2[[#This Row],[Start_Date]],"MMM")</f>
        <v>Mar</v>
      </c>
      <c r="T219">
        <f>YEAR(Table2[[#This Row],[Start_Date]])</f>
        <v>2026</v>
      </c>
      <c r="U219">
        <f>Table2[[#This Row],[Campaign_Cost (₹)]]/Table2[[#This Row],[Reach]]</f>
        <v>1.2209138012246821</v>
      </c>
      <c r="V219">
        <f>Table2[[#This Row],[Revenue_Generated (₹)]]/Table2[[#This Row],[Reach]]</f>
        <v>2.529517359552854</v>
      </c>
    </row>
    <row r="220" spans="1:22" x14ac:dyDescent="0.3">
      <c r="A220" t="s">
        <v>271</v>
      </c>
      <c r="B220" t="s">
        <v>57</v>
      </c>
      <c r="C220" t="s">
        <v>28</v>
      </c>
      <c r="D220" t="s">
        <v>46</v>
      </c>
      <c r="E220">
        <v>508629</v>
      </c>
      <c r="F220">
        <v>200631</v>
      </c>
      <c r="G220">
        <v>514865</v>
      </c>
      <c r="H220">
        <v>22546</v>
      </c>
      <c r="I220">
        <v>2497</v>
      </c>
      <c r="J220">
        <v>503</v>
      </c>
      <c r="K220">
        <f t="shared" si="6"/>
        <v>12.732827927887516</v>
      </c>
      <c r="L220">
        <v>167042</v>
      </c>
      <c r="M220">
        <v>617453</v>
      </c>
      <c r="N220">
        <f t="shared" si="7"/>
        <v>269.63937213395434</v>
      </c>
      <c r="O220" s="4">
        <v>45745</v>
      </c>
      <c r="P220" s="4">
        <v>45760</v>
      </c>
      <c r="Q220" t="s">
        <v>54</v>
      </c>
      <c r="R220">
        <f>Table2[[#This Row],[End_Date]]-Table2[[#This Row],[Start_Date]]</f>
        <v>15</v>
      </c>
      <c r="S220" t="str">
        <f>TEXT(Table2[[#This Row],[Start_Date]],"MMM")</f>
        <v>Mar</v>
      </c>
      <c r="T220">
        <f>YEAR(Table2[[#This Row],[Start_Date]])</f>
        <v>2025</v>
      </c>
      <c r="U220">
        <f>Table2[[#This Row],[Campaign_Cost (₹)]]/Table2[[#This Row],[Reach]]</f>
        <v>0.83258320000398744</v>
      </c>
      <c r="V220">
        <f>Table2[[#This Row],[Revenue_Generated (₹)]]/Table2[[#This Row],[Reach]]</f>
        <v>3.0775553129875242</v>
      </c>
    </row>
    <row r="221" spans="1:22" x14ac:dyDescent="0.3">
      <c r="A221" t="s">
        <v>272</v>
      </c>
      <c r="B221" t="s">
        <v>36</v>
      </c>
      <c r="C221" t="s">
        <v>19</v>
      </c>
      <c r="D221" t="s">
        <v>72</v>
      </c>
      <c r="E221">
        <v>1431368</v>
      </c>
      <c r="F221">
        <v>626069</v>
      </c>
      <c r="G221">
        <v>1816338</v>
      </c>
      <c r="H221">
        <v>61670</v>
      </c>
      <c r="I221">
        <v>5527</v>
      </c>
      <c r="J221">
        <v>4110</v>
      </c>
      <c r="K221">
        <f t="shared" si="6"/>
        <v>11.389639161178721</v>
      </c>
      <c r="L221">
        <v>227368</v>
      </c>
      <c r="M221">
        <v>918370</v>
      </c>
      <c r="N221">
        <f t="shared" si="7"/>
        <v>303.91347946940641</v>
      </c>
      <c r="O221" s="4">
        <v>45753</v>
      </c>
      <c r="P221" s="4">
        <v>45780</v>
      </c>
      <c r="Q221" t="s">
        <v>25</v>
      </c>
      <c r="R221">
        <f>Table2[[#This Row],[End_Date]]-Table2[[#This Row],[Start_Date]]</f>
        <v>27</v>
      </c>
      <c r="S221" t="str">
        <f>TEXT(Table2[[#This Row],[Start_Date]],"MMM")</f>
        <v>Apr</v>
      </c>
      <c r="T221">
        <f>YEAR(Table2[[#This Row],[Start_Date]])</f>
        <v>2025</v>
      </c>
      <c r="U221">
        <f>Table2[[#This Row],[Campaign_Cost (₹)]]/Table2[[#This Row],[Reach]]</f>
        <v>0.36316763807184194</v>
      </c>
      <c r="V221">
        <f>Table2[[#This Row],[Revenue_Generated (₹)]]/Table2[[#This Row],[Reach]]</f>
        <v>1.4668830432428375</v>
      </c>
    </row>
    <row r="222" spans="1:22" x14ac:dyDescent="0.3">
      <c r="A222" t="s">
        <v>273</v>
      </c>
      <c r="B222" t="s">
        <v>61</v>
      </c>
      <c r="C222" t="s">
        <v>33</v>
      </c>
      <c r="D222" t="s">
        <v>29</v>
      </c>
      <c r="E222">
        <v>722923</v>
      </c>
      <c r="F222">
        <v>504457</v>
      </c>
      <c r="G222">
        <v>928616</v>
      </c>
      <c r="H222">
        <v>17714</v>
      </c>
      <c r="I222">
        <v>1544</v>
      </c>
      <c r="J222">
        <v>1421</v>
      </c>
      <c r="K222">
        <f t="shared" si="6"/>
        <v>4.0992592034603543</v>
      </c>
      <c r="L222">
        <v>95429</v>
      </c>
      <c r="M222">
        <v>208764</v>
      </c>
      <c r="N222">
        <f t="shared" si="7"/>
        <v>118.76368818702909</v>
      </c>
      <c r="O222" s="4">
        <v>45963</v>
      </c>
      <c r="P222" s="4">
        <v>45975</v>
      </c>
      <c r="Q222" t="s">
        <v>54</v>
      </c>
      <c r="R222">
        <f>Table2[[#This Row],[End_Date]]-Table2[[#This Row],[Start_Date]]</f>
        <v>12</v>
      </c>
      <c r="S222" t="str">
        <f>TEXT(Table2[[#This Row],[Start_Date]],"MMM")</f>
        <v>Nov</v>
      </c>
      <c r="T222">
        <f>YEAR(Table2[[#This Row],[Start_Date]])</f>
        <v>2025</v>
      </c>
      <c r="U222">
        <f>Table2[[#This Row],[Campaign_Cost (₹)]]/Table2[[#This Row],[Reach]]</f>
        <v>0.18917172325887044</v>
      </c>
      <c r="V222">
        <f>Table2[[#This Row],[Revenue_Generated (₹)]]/Table2[[#This Row],[Reach]]</f>
        <v>0.41383903880806489</v>
      </c>
    </row>
    <row r="223" spans="1:22" x14ac:dyDescent="0.3">
      <c r="A223" t="s">
        <v>274</v>
      </c>
      <c r="B223" t="s">
        <v>53</v>
      </c>
      <c r="C223" t="s">
        <v>28</v>
      </c>
      <c r="D223" t="s">
        <v>29</v>
      </c>
      <c r="E223">
        <v>579945</v>
      </c>
      <c r="F223">
        <v>347914</v>
      </c>
      <c r="G223">
        <v>1018340</v>
      </c>
      <c r="H223">
        <v>48770</v>
      </c>
      <c r="I223">
        <v>1811</v>
      </c>
      <c r="J223">
        <v>3324</v>
      </c>
      <c r="K223">
        <f t="shared" si="6"/>
        <v>15.493771449266196</v>
      </c>
      <c r="L223">
        <v>377647</v>
      </c>
      <c r="M223">
        <v>1412194</v>
      </c>
      <c r="N223">
        <f t="shared" si="7"/>
        <v>273.9455099603598</v>
      </c>
      <c r="O223" s="4">
        <v>45961</v>
      </c>
      <c r="P223" s="4">
        <v>45975</v>
      </c>
      <c r="Q223" t="s">
        <v>30</v>
      </c>
      <c r="R223">
        <f>Table2[[#This Row],[End_Date]]-Table2[[#This Row],[Start_Date]]</f>
        <v>14</v>
      </c>
      <c r="S223" t="str">
        <f>TEXT(Table2[[#This Row],[Start_Date]],"MMM")</f>
        <v>Oct</v>
      </c>
      <c r="T223">
        <f>YEAR(Table2[[#This Row],[Start_Date]])</f>
        <v>2025</v>
      </c>
      <c r="U223">
        <f>Table2[[#This Row],[Campaign_Cost (₹)]]/Table2[[#This Row],[Reach]]</f>
        <v>1.085460774789172</v>
      </c>
      <c r="V223">
        <f>Table2[[#This Row],[Revenue_Generated (₹)]]/Table2[[#This Row],[Reach]]</f>
        <v>4.0590318297050416</v>
      </c>
    </row>
    <row r="224" spans="1:22" x14ac:dyDescent="0.3">
      <c r="A224" t="s">
        <v>275</v>
      </c>
      <c r="B224" t="s">
        <v>32</v>
      </c>
      <c r="C224" t="s">
        <v>43</v>
      </c>
      <c r="D224" t="s">
        <v>20</v>
      </c>
      <c r="E224">
        <v>635034</v>
      </c>
      <c r="F224">
        <v>158865</v>
      </c>
      <c r="G224">
        <v>239336</v>
      </c>
      <c r="H224">
        <v>7987</v>
      </c>
      <c r="I224">
        <v>376</v>
      </c>
      <c r="J224">
        <v>653</v>
      </c>
      <c r="K224">
        <f t="shared" si="6"/>
        <v>5.6752588675919808</v>
      </c>
      <c r="L224">
        <v>114779</v>
      </c>
      <c r="M224">
        <v>451124</v>
      </c>
      <c r="N224">
        <f t="shared" si="7"/>
        <v>293.03705381646472</v>
      </c>
      <c r="O224" s="4">
        <v>45818</v>
      </c>
      <c r="P224" s="4">
        <v>45835</v>
      </c>
      <c r="Q224" t="s">
        <v>34</v>
      </c>
      <c r="R224">
        <f>Table2[[#This Row],[End_Date]]-Table2[[#This Row],[Start_Date]]</f>
        <v>17</v>
      </c>
      <c r="S224" t="str">
        <f>TEXT(Table2[[#This Row],[Start_Date]],"MMM")</f>
        <v>Jun</v>
      </c>
      <c r="T224">
        <f>YEAR(Table2[[#This Row],[Start_Date]])</f>
        <v>2025</v>
      </c>
      <c r="U224">
        <f>Table2[[#This Row],[Campaign_Cost (₹)]]/Table2[[#This Row],[Reach]]</f>
        <v>0.72249394139678347</v>
      </c>
      <c r="V224">
        <f>Table2[[#This Row],[Revenue_Generated (₹)]]/Table2[[#This Row],[Reach]]</f>
        <v>2.8396689012683725</v>
      </c>
    </row>
    <row r="225" spans="1:22" x14ac:dyDescent="0.3">
      <c r="A225" t="s">
        <v>276</v>
      </c>
      <c r="B225" t="s">
        <v>36</v>
      </c>
      <c r="C225" t="s">
        <v>28</v>
      </c>
      <c r="D225" t="s">
        <v>51</v>
      </c>
      <c r="E225">
        <v>1860857</v>
      </c>
      <c r="F225">
        <v>1099312</v>
      </c>
      <c r="G225">
        <v>2541533</v>
      </c>
      <c r="H225">
        <v>44809</v>
      </c>
      <c r="I225">
        <v>6635</v>
      </c>
      <c r="J225">
        <v>4332</v>
      </c>
      <c r="K225">
        <f t="shared" si="6"/>
        <v>5.0737188350531968</v>
      </c>
      <c r="L225">
        <v>315473</v>
      </c>
      <c r="M225">
        <v>1389916</v>
      </c>
      <c r="N225">
        <f t="shared" si="7"/>
        <v>340.5816028630025</v>
      </c>
      <c r="O225" s="4">
        <v>45728</v>
      </c>
      <c r="P225" s="4">
        <v>45753</v>
      </c>
      <c r="Q225" t="s">
        <v>78</v>
      </c>
      <c r="R225">
        <f>Table2[[#This Row],[End_Date]]-Table2[[#This Row],[Start_Date]]</f>
        <v>25</v>
      </c>
      <c r="S225" t="str">
        <f>TEXT(Table2[[#This Row],[Start_Date]],"MMM")</f>
        <v>Mar</v>
      </c>
      <c r="T225">
        <f>YEAR(Table2[[#This Row],[Start_Date]])</f>
        <v>2025</v>
      </c>
      <c r="U225">
        <f>Table2[[#This Row],[Campaign_Cost (₹)]]/Table2[[#This Row],[Reach]]</f>
        <v>0.28697312500909661</v>
      </c>
      <c r="V225">
        <f>Table2[[#This Row],[Revenue_Generated (₹)]]/Table2[[#This Row],[Reach]]</f>
        <v>1.2643507939511258</v>
      </c>
    </row>
    <row r="226" spans="1:22" x14ac:dyDescent="0.3">
      <c r="A226" t="s">
        <v>277</v>
      </c>
      <c r="B226" t="s">
        <v>103</v>
      </c>
      <c r="C226" t="s">
        <v>28</v>
      </c>
      <c r="D226" t="s">
        <v>51</v>
      </c>
      <c r="E226">
        <v>978946</v>
      </c>
      <c r="F226">
        <v>655596</v>
      </c>
      <c r="G226">
        <v>1530875</v>
      </c>
      <c r="H226">
        <v>84105</v>
      </c>
      <c r="I226">
        <v>3834</v>
      </c>
      <c r="J226">
        <v>6827</v>
      </c>
      <c r="K226">
        <f t="shared" si="6"/>
        <v>14.45493871225572</v>
      </c>
      <c r="L226">
        <v>392307</v>
      </c>
      <c r="M226">
        <v>1133683</v>
      </c>
      <c r="N226">
        <f t="shared" si="7"/>
        <v>188.97852956995413</v>
      </c>
      <c r="O226" s="4">
        <v>46077</v>
      </c>
      <c r="P226" s="4">
        <v>46093</v>
      </c>
      <c r="Q226" t="s">
        <v>25</v>
      </c>
      <c r="R226">
        <f>Table2[[#This Row],[End_Date]]-Table2[[#This Row],[Start_Date]]</f>
        <v>16</v>
      </c>
      <c r="S226" t="str">
        <f>TEXT(Table2[[#This Row],[Start_Date]],"MMM")</f>
        <v>Feb</v>
      </c>
      <c r="T226">
        <f>YEAR(Table2[[#This Row],[Start_Date]])</f>
        <v>2026</v>
      </c>
      <c r="U226">
        <f>Table2[[#This Row],[Campaign_Cost (₹)]]/Table2[[#This Row],[Reach]]</f>
        <v>0.59839748869730747</v>
      </c>
      <c r="V226">
        <f>Table2[[#This Row],[Revenue_Generated (₹)]]/Table2[[#This Row],[Reach]]</f>
        <v>1.7292402638210118</v>
      </c>
    </row>
    <row r="227" spans="1:22" x14ac:dyDescent="0.3">
      <c r="A227" t="s">
        <v>278</v>
      </c>
      <c r="B227" t="s">
        <v>36</v>
      </c>
      <c r="C227" t="s">
        <v>33</v>
      </c>
      <c r="D227" t="s">
        <v>20</v>
      </c>
      <c r="E227">
        <v>51874</v>
      </c>
      <c r="F227">
        <v>43340</v>
      </c>
      <c r="G227">
        <v>55231</v>
      </c>
      <c r="H227">
        <v>5657</v>
      </c>
      <c r="I227">
        <v>358</v>
      </c>
      <c r="J227">
        <v>358</v>
      </c>
      <c r="K227">
        <f t="shared" si="6"/>
        <v>14.704660821412091</v>
      </c>
      <c r="L227">
        <v>395343</v>
      </c>
      <c r="M227">
        <v>1646847</v>
      </c>
      <c r="N227">
        <f t="shared" si="7"/>
        <v>316.56156805609305</v>
      </c>
      <c r="O227" s="4">
        <v>45923</v>
      </c>
      <c r="P227" s="4">
        <v>45932</v>
      </c>
      <c r="Q227" t="s">
        <v>78</v>
      </c>
      <c r="R227">
        <f>Table2[[#This Row],[End_Date]]-Table2[[#This Row],[Start_Date]]</f>
        <v>9</v>
      </c>
      <c r="S227" t="str">
        <f>TEXT(Table2[[#This Row],[Start_Date]],"MMM")</f>
        <v>Sep</v>
      </c>
      <c r="T227">
        <f>YEAR(Table2[[#This Row],[Start_Date]])</f>
        <v>2025</v>
      </c>
      <c r="U227">
        <f>Table2[[#This Row],[Campaign_Cost (₹)]]/Table2[[#This Row],[Reach]]</f>
        <v>9.1218966312874947</v>
      </c>
      <c r="V227">
        <f>Table2[[#This Row],[Revenue_Generated (₹)]]/Table2[[#This Row],[Reach]]</f>
        <v>37.998315643747112</v>
      </c>
    </row>
    <row r="228" spans="1:22" x14ac:dyDescent="0.3">
      <c r="A228" t="s">
        <v>279</v>
      </c>
      <c r="B228" t="s">
        <v>45</v>
      </c>
      <c r="C228" t="s">
        <v>19</v>
      </c>
      <c r="D228" t="s">
        <v>58</v>
      </c>
      <c r="E228">
        <v>778447</v>
      </c>
      <c r="F228">
        <v>352593</v>
      </c>
      <c r="G228">
        <v>419177</v>
      </c>
      <c r="H228">
        <v>22591</v>
      </c>
      <c r="I228">
        <v>1263</v>
      </c>
      <c r="J228">
        <v>1275</v>
      </c>
      <c r="K228">
        <f t="shared" si="6"/>
        <v>7.1269140340279025</v>
      </c>
      <c r="L228">
        <v>273558</v>
      </c>
      <c r="M228">
        <v>645123</v>
      </c>
      <c r="N228">
        <f t="shared" si="7"/>
        <v>135.82677165354332</v>
      </c>
      <c r="O228" s="4">
        <v>45792</v>
      </c>
      <c r="P228" s="4">
        <v>45801</v>
      </c>
      <c r="Q228" t="s">
        <v>21</v>
      </c>
      <c r="R228">
        <f>Table2[[#This Row],[End_Date]]-Table2[[#This Row],[Start_Date]]</f>
        <v>9</v>
      </c>
      <c r="S228" t="str">
        <f>TEXT(Table2[[#This Row],[Start_Date]],"MMM")</f>
        <v>May</v>
      </c>
      <c r="T228">
        <f>YEAR(Table2[[#This Row],[Start_Date]])</f>
        <v>2025</v>
      </c>
      <c r="U228">
        <f>Table2[[#This Row],[Campaign_Cost (₹)]]/Table2[[#This Row],[Reach]]</f>
        <v>0.77584637244641841</v>
      </c>
      <c r="V228">
        <f>Table2[[#This Row],[Revenue_Generated (₹)]]/Table2[[#This Row],[Reach]]</f>
        <v>1.8296534531315143</v>
      </c>
    </row>
    <row r="229" spans="1:22" x14ac:dyDescent="0.3">
      <c r="A229" t="s">
        <v>280</v>
      </c>
      <c r="B229" t="s">
        <v>23</v>
      </c>
      <c r="C229" t="s">
        <v>19</v>
      </c>
      <c r="D229" t="s">
        <v>20</v>
      </c>
      <c r="E229">
        <v>898763</v>
      </c>
      <c r="F229">
        <v>246868</v>
      </c>
      <c r="G229">
        <v>343319</v>
      </c>
      <c r="H229">
        <v>28264</v>
      </c>
      <c r="I229">
        <v>1538</v>
      </c>
      <c r="J229">
        <v>2664</v>
      </c>
      <c r="K229">
        <f t="shared" si="6"/>
        <v>13.151157703712105</v>
      </c>
      <c r="L229">
        <v>98917</v>
      </c>
      <c r="M229">
        <v>145713</v>
      </c>
      <c r="N229">
        <f t="shared" si="7"/>
        <v>47.30834942426479</v>
      </c>
      <c r="O229" s="4">
        <v>45932</v>
      </c>
      <c r="P229" s="4">
        <v>45948</v>
      </c>
      <c r="Q229" t="s">
        <v>47</v>
      </c>
      <c r="R229">
        <f>Table2[[#This Row],[End_Date]]-Table2[[#This Row],[Start_Date]]</f>
        <v>16</v>
      </c>
      <c r="S229" t="str">
        <f>TEXT(Table2[[#This Row],[Start_Date]],"MMM")</f>
        <v>Oct</v>
      </c>
      <c r="T229">
        <f>YEAR(Table2[[#This Row],[Start_Date]])</f>
        <v>2025</v>
      </c>
      <c r="U229">
        <f>Table2[[#This Row],[Campaign_Cost (₹)]]/Table2[[#This Row],[Reach]]</f>
        <v>0.40068781697101286</v>
      </c>
      <c r="V229">
        <f>Table2[[#This Row],[Revenue_Generated (₹)]]/Table2[[#This Row],[Reach]]</f>
        <v>0.59024660952411812</v>
      </c>
    </row>
    <row r="230" spans="1:22" x14ac:dyDescent="0.3">
      <c r="A230" t="s">
        <v>281</v>
      </c>
      <c r="B230" t="s">
        <v>32</v>
      </c>
      <c r="C230" t="s">
        <v>19</v>
      </c>
      <c r="D230" t="s">
        <v>46</v>
      </c>
      <c r="E230">
        <v>374999</v>
      </c>
      <c r="F230">
        <v>295893</v>
      </c>
      <c r="G230">
        <v>472467</v>
      </c>
      <c r="H230">
        <v>30401</v>
      </c>
      <c r="I230">
        <v>2551</v>
      </c>
      <c r="J230">
        <v>1704</v>
      </c>
      <c r="K230">
        <f t="shared" si="6"/>
        <v>11.712341961452282</v>
      </c>
      <c r="L230">
        <v>108465</v>
      </c>
      <c r="M230">
        <v>239846</v>
      </c>
      <c r="N230">
        <f t="shared" si="7"/>
        <v>121.12755266675886</v>
      </c>
      <c r="O230" s="4">
        <v>45790</v>
      </c>
      <c r="P230" s="4">
        <v>45814</v>
      </c>
      <c r="Q230" t="s">
        <v>47</v>
      </c>
      <c r="R230">
        <f>Table2[[#This Row],[End_Date]]-Table2[[#This Row],[Start_Date]]</f>
        <v>24</v>
      </c>
      <c r="S230" t="str">
        <f>TEXT(Table2[[#This Row],[Start_Date]],"MMM")</f>
        <v>May</v>
      </c>
      <c r="T230">
        <f>YEAR(Table2[[#This Row],[Start_Date]])</f>
        <v>2025</v>
      </c>
      <c r="U230">
        <f>Table2[[#This Row],[Campaign_Cost (₹)]]/Table2[[#This Row],[Reach]]</f>
        <v>0.3665683203049751</v>
      </c>
      <c r="V230">
        <f>Table2[[#This Row],[Revenue_Generated (₹)]]/Table2[[#This Row],[Reach]]</f>
        <v>0.8105835555420372</v>
      </c>
    </row>
    <row r="231" spans="1:22" x14ac:dyDescent="0.3">
      <c r="A231" t="s">
        <v>282</v>
      </c>
      <c r="B231" t="s">
        <v>23</v>
      </c>
      <c r="C231" t="s">
        <v>43</v>
      </c>
      <c r="D231" t="s">
        <v>29</v>
      </c>
      <c r="E231">
        <v>83566</v>
      </c>
      <c r="F231">
        <v>64640</v>
      </c>
      <c r="G231">
        <v>73521</v>
      </c>
      <c r="H231">
        <v>4116</v>
      </c>
      <c r="I231">
        <v>261</v>
      </c>
      <c r="J231">
        <v>337</v>
      </c>
      <c r="K231">
        <f t="shared" si="6"/>
        <v>7.2926980198019802</v>
      </c>
      <c r="L231">
        <v>302413</v>
      </c>
      <c r="M231">
        <v>653369</v>
      </c>
      <c r="N231">
        <f t="shared" si="7"/>
        <v>116.05188930370056</v>
      </c>
      <c r="O231" s="4">
        <v>46124</v>
      </c>
      <c r="P231" s="4">
        <v>46143</v>
      </c>
      <c r="Q231" t="s">
        <v>21</v>
      </c>
      <c r="R231">
        <f>Table2[[#This Row],[End_Date]]-Table2[[#This Row],[Start_Date]]</f>
        <v>19</v>
      </c>
      <c r="S231" t="str">
        <f>TEXT(Table2[[#This Row],[Start_Date]],"MMM")</f>
        <v>Apr</v>
      </c>
      <c r="T231">
        <f>YEAR(Table2[[#This Row],[Start_Date]])</f>
        <v>2026</v>
      </c>
      <c r="U231">
        <f>Table2[[#This Row],[Campaign_Cost (₹)]]/Table2[[#This Row],[Reach]]</f>
        <v>4.6784189356435641</v>
      </c>
      <c r="V231">
        <f>Table2[[#This Row],[Revenue_Generated (₹)]]/Table2[[#This Row],[Reach]]</f>
        <v>10.1078125</v>
      </c>
    </row>
    <row r="232" spans="1:22" x14ac:dyDescent="0.3">
      <c r="A232" t="s">
        <v>283</v>
      </c>
      <c r="B232" t="s">
        <v>103</v>
      </c>
      <c r="C232" t="s">
        <v>37</v>
      </c>
      <c r="D232" t="s">
        <v>24</v>
      </c>
      <c r="E232">
        <v>1048430</v>
      </c>
      <c r="F232">
        <v>568140</v>
      </c>
      <c r="G232">
        <v>636849</v>
      </c>
      <c r="H232">
        <v>53712</v>
      </c>
      <c r="I232">
        <v>3038</v>
      </c>
      <c r="J232">
        <v>3919</v>
      </c>
      <c r="K232">
        <f t="shared" si="6"/>
        <v>10.678529939803569</v>
      </c>
      <c r="L232">
        <v>90063</v>
      </c>
      <c r="M232">
        <v>361299</v>
      </c>
      <c r="N232">
        <f t="shared" si="7"/>
        <v>301.16251956963458</v>
      </c>
      <c r="O232" s="4">
        <v>45886</v>
      </c>
      <c r="P232" s="4">
        <v>45914</v>
      </c>
      <c r="Q232" t="s">
        <v>21</v>
      </c>
      <c r="R232">
        <f>Table2[[#This Row],[End_Date]]-Table2[[#This Row],[Start_Date]]</f>
        <v>28</v>
      </c>
      <c r="S232" t="str">
        <f>TEXT(Table2[[#This Row],[Start_Date]],"MMM")</f>
        <v>Aug</v>
      </c>
      <c r="T232">
        <f>YEAR(Table2[[#This Row],[Start_Date]])</f>
        <v>2025</v>
      </c>
      <c r="U232">
        <f>Table2[[#This Row],[Campaign_Cost (₹)]]/Table2[[#This Row],[Reach]]</f>
        <v>0.15852254725947829</v>
      </c>
      <c r="V232">
        <f>Table2[[#This Row],[Revenue_Generated (₹)]]/Table2[[#This Row],[Reach]]</f>
        <v>0.63593304467208789</v>
      </c>
    </row>
    <row r="233" spans="1:22" x14ac:dyDescent="0.3">
      <c r="A233" t="s">
        <v>284</v>
      </c>
      <c r="B233" t="s">
        <v>36</v>
      </c>
      <c r="C233" t="s">
        <v>33</v>
      </c>
      <c r="D233" t="s">
        <v>46</v>
      </c>
      <c r="E233">
        <v>1150577</v>
      </c>
      <c r="F233">
        <v>899442</v>
      </c>
      <c r="G233">
        <v>1273915</v>
      </c>
      <c r="H233">
        <v>114469</v>
      </c>
      <c r="I233">
        <v>5377</v>
      </c>
      <c r="J233">
        <v>4965</v>
      </c>
      <c r="K233">
        <f t="shared" si="6"/>
        <v>13.876492314123645</v>
      </c>
      <c r="L233">
        <v>18622</v>
      </c>
      <c r="M233">
        <v>80366</v>
      </c>
      <c r="N233">
        <f t="shared" si="7"/>
        <v>331.56481580925788</v>
      </c>
      <c r="O233" s="4">
        <v>45736</v>
      </c>
      <c r="P233" s="4">
        <v>45758</v>
      </c>
      <c r="Q233" t="s">
        <v>21</v>
      </c>
      <c r="R233">
        <f>Table2[[#This Row],[End_Date]]-Table2[[#This Row],[Start_Date]]</f>
        <v>22</v>
      </c>
      <c r="S233" t="str">
        <f>TEXT(Table2[[#This Row],[Start_Date]],"MMM")</f>
        <v>Mar</v>
      </c>
      <c r="T233">
        <f>YEAR(Table2[[#This Row],[Start_Date]])</f>
        <v>2025</v>
      </c>
      <c r="U233">
        <f>Table2[[#This Row],[Campaign_Cost (₹)]]/Table2[[#This Row],[Reach]]</f>
        <v>2.0703947558597443E-2</v>
      </c>
      <c r="V233">
        <f>Table2[[#This Row],[Revenue_Generated (₹)]]/Table2[[#This Row],[Reach]]</f>
        <v>8.9350953146506387E-2</v>
      </c>
    </row>
    <row r="234" spans="1:22" x14ac:dyDescent="0.3">
      <c r="A234" t="s">
        <v>285</v>
      </c>
      <c r="B234" t="s">
        <v>57</v>
      </c>
      <c r="C234" t="s">
        <v>33</v>
      </c>
      <c r="D234" t="s">
        <v>51</v>
      </c>
      <c r="E234">
        <v>1967190</v>
      </c>
      <c r="F234">
        <v>560581</v>
      </c>
      <c r="G234">
        <v>1565205</v>
      </c>
      <c r="H234">
        <v>66393</v>
      </c>
      <c r="I234">
        <v>2442</v>
      </c>
      <c r="J234">
        <v>4196</v>
      </c>
      <c r="K234">
        <f t="shared" si="6"/>
        <v>13.027733726259004</v>
      </c>
      <c r="L234">
        <v>266129</v>
      </c>
      <c r="M234">
        <v>398789</v>
      </c>
      <c r="N234">
        <f t="shared" si="7"/>
        <v>49.848006042182554</v>
      </c>
      <c r="O234" s="4">
        <v>45687</v>
      </c>
      <c r="P234" s="4">
        <v>45708</v>
      </c>
      <c r="Q234" t="s">
        <v>34</v>
      </c>
      <c r="R234">
        <f>Table2[[#This Row],[End_Date]]-Table2[[#This Row],[Start_Date]]</f>
        <v>21</v>
      </c>
      <c r="S234" t="str">
        <f>TEXT(Table2[[#This Row],[Start_Date]],"MMM")</f>
        <v>Jan</v>
      </c>
      <c r="T234">
        <f>YEAR(Table2[[#This Row],[Start_Date]])</f>
        <v>2025</v>
      </c>
      <c r="U234">
        <f>Table2[[#This Row],[Campaign_Cost (₹)]]/Table2[[#This Row],[Reach]]</f>
        <v>0.47473781665807441</v>
      </c>
      <c r="V234">
        <f>Table2[[#This Row],[Revenue_Generated (₹)]]/Table2[[#This Row],[Reach]]</f>
        <v>0.71138515219031684</v>
      </c>
    </row>
    <row r="235" spans="1:22" x14ac:dyDescent="0.3">
      <c r="A235" t="s">
        <v>286</v>
      </c>
      <c r="B235" t="s">
        <v>75</v>
      </c>
      <c r="C235" t="s">
        <v>37</v>
      </c>
      <c r="D235" t="s">
        <v>46</v>
      </c>
      <c r="E235">
        <v>596158</v>
      </c>
      <c r="F235">
        <v>333293</v>
      </c>
      <c r="G235">
        <v>855497</v>
      </c>
      <c r="H235">
        <v>47879</v>
      </c>
      <c r="I235">
        <v>4452</v>
      </c>
      <c r="J235">
        <v>3969</v>
      </c>
      <c r="K235">
        <f t="shared" si="6"/>
        <v>16.892043937316416</v>
      </c>
      <c r="L235">
        <v>393701</v>
      </c>
      <c r="M235">
        <v>967977</v>
      </c>
      <c r="N235">
        <f t="shared" si="7"/>
        <v>145.86602523234637</v>
      </c>
      <c r="O235" s="4">
        <v>45964</v>
      </c>
      <c r="P235" s="4">
        <v>45980</v>
      </c>
      <c r="Q235" t="s">
        <v>30</v>
      </c>
      <c r="R235">
        <f>Table2[[#This Row],[End_Date]]-Table2[[#This Row],[Start_Date]]</f>
        <v>16</v>
      </c>
      <c r="S235" t="str">
        <f>TEXT(Table2[[#This Row],[Start_Date]],"MMM")</f>
        <v>Nov</v>
      </c>
      <c r="T235">
        <f>YEAR(Table2[[#This Row],[Start_Date]])</f>
        <v>2025</v>
      </c>
      <c r="U235">
        <f>Table2[[#This Row],[Campaign_Cost (₹)]]/Table2[[#This Row],[Reach]]</f>
        <v>1.1812459307576217</v>
      </c>
      <c r="V235">
        <f>Table2[[#This Row],[Revenue_Generated (₹)]]/Table2[[#This Row],[Reach]]</f>
        <v>2.904282418172599</v>
      </c>
    </row>
    <row r="236" spans="1:22" x14ac:dyDescent="0.3">
      <c r="A236" t="s">
        <v>287</v>
      </c>
      <c r="B236" t="s">
        <v>75</v>
      </c>
      <c r="C236" t="s">
        <v>19</v>
      </c>
      <c r="D236" t="s">
        <v>72</v>
      </c>
      <c r="E236">
        <v>1427975</v>
      </c>
      <c r="F236">
        <v>814015</v>
      </c>
      <c r="G236">
        <v>2143848</v>
      </c>
      <c r="H236">
        <v>56745</v>
      </c>
      <c r="I236">
        <v>4849</v>
      </c>
      <c r="J236">
        <v>4960</v>
      </c>
      <c r="K236">
        <f t="shared" si="6"/>
        <v>8.176016412473972</v>
      </c>
      <c r="L236">
        <v>343328</v>
      </c>
      <c r="M236">
        <v>407034</v>
      </c>
      <c r="N236">
        <f t="shared" si="7"/>
        <v>18.55543387081741</v>
      </c>
      <c r="O236" s="4">
        <v>45945</v>
      </c>
      <c r="P236" s="4">
        <v>45970</v>
      </c>
      <c r="Q236" t="s">
        <v>21</v>
      </c>
      <c r="R236">
        <f>Table2[[#This Row],[End_Date]]-Table2[[#This Row],[Start_Date]]</f>
        <v>25</v>
      </c>
      <c r="S236" t="str">
        <f>TEXT(Table2[[#This Row],[Start_Date]],"MMM")</f>
        <v>Oct</v>
      </c>
      <c r="T236">
        <f>YEAR(Table2[[#This Row],[Start_Date]])</f>
        <v>2025</v>
      </c>
      <c r="U236">
        <f>Table2[[#This Row],[Campaign_Cost (₹)]]/Table2[[#This Row],[Reach]]</f>
        <v>0.42177109758419684</v>
      </c>
      <c r="V236">
        <f>Table2[[#This Row],[Revenue_Generated (₹)]]/Table2[[#This Row],[Reach]]</f>
        <v>0.50003255468265329</v>
      </c>
    </row>
    <row r="237" spans="1:22" x14ac:dyDescent="0.3">
      <c r="A237" t="s">
        <v>288</v>
      </c>
      <c r="B237" t="s">
        <v>32</v>
      </c>
      <c r="C237" t="s">
        <v>28</v>
      </c>
      <c r="D237" t="s">
        <v>58</v>
      </c>
      <c r="E237">
        <v>743151</v>
      </c>
      <c r="F237">
        <v>611378</v>
      </c>
      <c r="G237">
        <v>952131</v>
      </c>
      <c r="H237">
        <v>13211</v>
      </c>
      <c r="I237">
        <v>1804</v>
      </c>
      <c r="J237">
        <v>443</v>
      </c>
      <c r="K237">
        <f t="shared" si="6"/>
        <v>2.5283866936657842</v>
      </c>
      <c r="L237">
        <v>36905</v>
      </c>
      <c r="M237">
        <v>152720</v>
      </c>
      <c r="N237">
        <f t="shared" si="7"/>
        <v>313.81926568215687</v>
      </c>
      <c r="O237" s="4">
        <v>45684</v>
      </c>
      <c r="P237" s="4">
        <v>45695</v>
      </c>
      <c r="Q237" t="s">
        <v>41</v>
      </c>
      <c r="R237">
        <f>Table2[[#This Row],[End_Date]]-Table2[[#This Row],[Start_Date]]</f>
        <v>11</v>
      </c>
      <c r="S237" t="str">
        <f>TEXT(Table2[[#This Row],[Start_Date]],"MMM")</f>
        <v>Jan</v>
      </c>
      <c r="T237">
        <f>YEAR(Table2[[#This Row],[Start_Date]])</f>
        <v>2025</v>
      </c>
      <c r="U237">
        <f>Table2[[#This Row],[Campaign_Cost (₹)]]/Table2[[#This Row],[Reach]]</f>
        <v>6.0363637553199491E-2</v>
      </c>
      <c r="V237">
        <f>Table2[[#This Row],[Revenue_Generated (₹)]]/Table2[[#This Row],[Reach]]</f>
        <v>0.24979636166168884</v>
      </c>
    </row>
    <row r="238" spans="1:22" x14ac:dyDescent="0.3">
      <c r="A238" t="s">
        <v>289</v>
      </c>
      <c r="B238" t="s">
        <v>39</v>
      </c>
      <c r="C238" t="s">
        <v>28</v>
      </c>
      <c r="D238" t="s">
        <v>58</v>
      </c>
      <c r="E238">
        <v>1598000</v>
      </c>
      <c r="F238">
        <v>752874</v>
      </c>
      <c r="G238">
        <v>987111</v>
      </c>
      <c r="H238">
        <v>73021</v>
      </c>
      <c r="I238">
        <v>5306</v>
      </c>
      <c r="J238">
        <v>1834</v>
      </c>
      <c r="K238">
        <f t="shared" si="6"/>
        <v>10.647332754219166</v>
      </c>
      <c r="L238">
        <v>29093</v>
      </c>
      <c r="M238">
        <v>139286</v>
      </c>
      <c r="N238">
        <f t="shared" si="7"/>
        <v>378.76121403774101</v>
      </c>
      <c r="O238" s="4">
        <v>45956</v>
      </c>
      <c r="P238" s="4">
        <v>45964</v>
      </c>
      <c r="Q238" t="s">
        <v>54</v>
      </c>
      <c r="R238">
        <f>Table2[[#This Row],[End_Date]]-Table2[[#This Row],[Start_Date]]</f>
        <v>8</v>
      </c>
      <c r="S238" t="str">
        <f>TEXT(Table2[[#This Row],[Start_Date]],"MMM")</f>
        <v>Oct</v>
      </c>
      <c r="T238">
        <f>YEAR(Table2[[#This Row],[Start_Date]])</f>
        <v>2025</v>
      </c>
      <c r="U238">
        <f>Table2[[#This Row],[Campaign_Cost (₹)]]/Table2[[#This Row],[Reach]]</f>
        <v>3.8642588268422075E-2</v>
      </c>
      <c r="V238">
        <f>Table2[[#This Row],[Revenue_Generated (₹)]]/Table2[[#This Row],[Reach]]</f>
        <v>0.18500572472950322</v>
      </c>
    </row>
    <row r="239" spans="1:22" x14ac:dyDescent="0.3">
      <c r="A239" t="s">
        <v>290</v>
      </c>
      <c r="B239" t="s">
        <v>23</v>
      </c>
      <c r="C239" t="s">
        <v>37</v>
      </c>
      <c r="D239" t="s">
        <v>51</v>
      </c>
      <c r="E239">
        <v>1305721</v>
      </c>
      <c r="F239">
        <v>472745</v>
      </c>
      <c r="G239">
        <v>718057</v>
      </c>
      <c r="H239">
        <v>70454</v>
      </c>
      <c r="I239">
        <v>4412</v>
      </c>
      <c r="J239">
        <v>2609</v>
      </c>
      <c r="K239">
        <f t="shared" si="6"/>
        <v>16.388327745401853</v>
      </c>
      <c r="L239">
        <v>426263</v>
      </c>
      <c r="M239">
        <v>1566815</v>
      </c>
      <c r="N239">
        <f t="shared" si="7"/>
        <v>267.57002132486281</v>
      </c>
      <c r="O239" s="4">
        <v>45799</v>
      </c>
      <c r="P239" s="4">
        <v>45822</v>
      </c>
      <c r="Q239" t="s">
        <v>34</v>
      </c>
      <c r="R239">
        <f>Table2[[#This Row],[End_Date]]-Table2[[#This Row],[Start_Date]]</f>
        <v>23</v>
      </c>
      <c r="S239" t="str">
        <f>TEXT(Table2[[#This Row],[Start_Date]],"MMM")</f>
        <v>May</v>
      </c>
      <c r="T239">
        <f>YEAR(Table2[[#This Row],[Start_Date]])</f>
        <v>2025</v>
      </c>
      <c r="U239">
        <f>Table2[[#This Row],[Campaign_Cost (₹)]]/Table2[[#This Row],[Reach]]</f>
        <v>0.90167637944346313</v>
      </c>
      <c r="V239">
        <f>Table2[[#This Row],[Revenue_Generated (₹)]]/Table2[[#This Row],[Reach]]</f>
        <v>3.3142920602015886</v>
      </c>
    </row>
    <row r="240" spans="1:22" x14ac:dyDescent="0.3">
      <c r="A240" t="s">
        <v>291</v>
      </c>
      <c r="B240" t="s">
        <v>57</v>
      </c>
      <c r="C240" t="s">
        <v>43</v>
      </c>
      <c r="D240" t="s">
        <v>20</v>
      </c>
      <c r="E240">
        <v>1453369</v>
      </c>
      <c r="F240">
        <v>805492</v>
      </c>
      <c r="G240">
        <v>1266755</v>
      </c>
      <c r="H240">
        <v>111052</v>
      </c>
      <c r="I240">
        <v>7355</v>
      </c>
      <c r="J240">
        <v>10600</v>
      </c>
      <c r="K240">
        <f t="shared" si="6"/>
        <v>16.015925670273575</v>
      </c>
      <c r="L240">
        <v>160341</v>
      </c>
      <c r="M240">
        <v>298317</v>
      </c>
      <c r="N240">
        <f t="shared" si="7"/>
        <v>86.051602522124725</v>
      </c>
      <c r="O240" s="4">
        <v>45660</v>
      </c>
      <c r="P240" s="4">
        <v>45674</v>
      </c>
      <c r="Q240" t="s">
        <v>41</v>
      </c>
      <c r="R240">
        <f>Table2[[#This Row],[End_Date]]-Table2[[#This Row],[Start_Date]]</f>
        <v>14</v>
      </c>
      <c r="S240" t="str">
        <f>TEXT(Table2[[#This Row],[Start_Date]],"MMM")</f>
        <v>Jan</v>
      </c>
      <c r="T240">
        <f>YEAR(Table2[[#This Row],[Start_Date]])</f>
        <v>2025</v>
      </c>
      <c r="U240">
        <f>Table2[[#This Row],[Campaign_Cost (₹)]]/Table2[[#This Row],[Reach]]</f>
        <v>0.19905970512432153</v>
      </c>
      <c r="V240">
        <f>Table2[[#This Row],[Revenue_Generated (₹)]]/Table2[[#This Row],[Reach]]</f>
        <v>0.37035377135961622</v>
      </c>
    </row>
    <row r="241" spans="1:22" x14ac:dyDescent="0.3">
      <c r="A241" t="s">
        <v>292</v>
      </c>
      <c r="B241" t="s">
        <v>63</v>
      </c>
      <c r="C241" t="s">
        <v>28</v>
      </c>
      <c r="D241" t="s">
        <v>29</v>
      </c>
      <c r="E241">
        <v>152289</v>
      </c>
      <c r="F241">
        <v>80098</v>
      </c>
      <c r="G241">
        <v>155421</v>
      </c>
      <c r="H241">
        <v>10295</v>
      </c>
      <c r="I241">
        <v>1087</v>
      </c>
      <c r="J241">
        <v>301</v>
      </c>
      <c r="K241">
        <f t="shared" si="6"/>
        <v>14.585882294189616</v>
      </c>
      <c r="L241">
        <v>292180</v>
      </c>
      <c r="M241">
        <v>906962</v>
      </c>
      <c r="N241">
        <f t="shared" si="7"/>
        <v>210.41207474844273</v>
      </c>
      <c r="O241" s="4">
        <v>45712</v>
      </c>
      <c r="P241" s="4">
        <v>45735</v>
      </c>
      <c r="Q241" t="s">
        <v>78</v>
      </c>
      <c r="R241">
        <f>Table2[[#This Row],[End_Date]]-Table2[[#This Row],[Start_Date]]</f>
        <v>23</v>
      </c>
      <c r="S241" t="str">
        <f>TEXT(Table2[[#This Row],[Start_Date]],"MMM")</f>
        <v>Feb</v>
      </c>
      <c r="T241">
        <f>YEAR(Table2[[#This Row],[Start_Date]])</f>
        <v>2025</v>
      </c>
      <c r="U241">
        <f>Table2[[#This Row],[Campaign_Cost (₹)]]/Table2[[#This Row],[Reach]]</f>
        <v>3.6477814677020648</v>
      </c>
      <c r="V241">
        <f>Table2[[#This Row],[Revenue_Generated (₹)]]/Table2[[#This Row],[Reach]]</f>
        <v>11.323154136183176</v>
      </c>
    </row>
    <row r="242" spans="1:22" x14ac:dyDescent="0.3">
      <c r="A242" t="s">
        <v>293</v>
      </c>
      <c r="B242" t="s">
        <v>27</v>
      </c>
      <c r="C242" t="s">
        <v>37</v>
      </c>
      <c r="D242" t="s">
        <v>20</v>
      </c>
      <c r="E242">
        <v>266847</v>
      </c>
      <c r="F242">
        <v>198550</v>
      </c>
      <c r="G242">
        <v>239109</v>
      </c>
      <c r="H242">
        <v>17550</v>
      </c>
      <c r="I242">
        <v>1734</v>
      </c>
      <c r="J242">
        <v>1175</v>
      </c>
      <c r="K242">
        <f t="shared" si="6"/>
        <v>10.304205489801058</v>
      </c>
      <c r="L242">
        <v>470483</v>
      </c>
      <c r="M242">
        <v>1563035</v>
      </c>
      <c r="N242">
        <f t="shared" si="7"/>
        <v>232.2192300253144</v>
      </c>
      <c r="O242" s="4">
        <v>45684</v>
      </c>
      <c r="P242" s="4">
        <v>45714</v>
      </c>
      <c r="Q242" t="s">
        <v>78</v>
      </c>
      <c r="R242">
        <f>Table2[[#This Row],[End_Date]]-Table2[[#This Row],[Start_Date]]</f>
        <v>30</v>
      </c>
      <c r="S242" t="str">
        <f>TEXT(Table2[[#This Row],[Start_Date]],"MMM")</f>
        <v>Jan</v>
      </c>
      <c r="T242">
        <f>YEAR(Table2[[#This Row],[Start_Date]])</f>
        <v>2025</v>
      </c>
      <c r="U242">
        <f>Table2[[#This Row],[Campaign_Cost (₹)]]/Table2[[#This Row],[Reach]]</f>
        <v>2.3695945605640896</v>
      </c>
      <c r="V242">
        <f>Table2[[#This Row],[Revenue_Generated (₹)]]/Table2[[#This Row],[Reach]]</f>
        <v>7.8722488038277509</v>
      </c>
    </row>
    <row r="243" spans="1:22" x14ac:dyDescent="0.3">
      <c r="A243" t="s">
        <v>294</v>
      </c>
      <c r="B243" t="s">
        <v>80</v>
      </c>
      <c r="C243" t="s">
        <v>33</v>
      </c>
      <c r="D243" t="s">
        <v>46</v>
      </c>
      <c r="E243">
        <v>342242</v>
      </c>
      <c r="F243">
        <v>251020</v>
      </c>
      <c r="G243">
        <v>636495</v>
      </c>
      <c r="H243">
        <v>14212</v>
      </c>
      <c r="I243">
        <v>1741</v>
      </c>
      <c r="J243">
        <v>1053</v>
      </c>
      <c r="K243">
        <f t="shared" si="6"/>
        <v>6.7747589833479411</v>
      </c>
      <c r="L243">
        <v>272244</v>
      </c>
      <c r="M243">
        <v>383177</v>
      </c>
      <c r="N243">
        <f t="shared" si="7"/>
        <v>40.74763814813182</v>
      </c>
      <c r="O243" s="4">
        <v>45906</v>
      </c>
      <c r="P243" s="4">
        <v>45922</v>
      </c>
      <c r="Q243" t="s">
        <v>21</v>
      </c>
      <c r="R243">
        <f>Table2[[#This Row],[End_Date]]-Table2[[#This Row],[Start_Date]]</f>
        <v>16</v>
      </c>
      <c r="S243" t="str">
        <f>TEXT(Table2[[#This Row],[Start_Date]],"MMM")</f>
        <v>Sep</v>
      </c>
      <c r="T243">
        <f>YEAR(Table2[[#This Row],[Start_Date]])</f>
        <v>2025</v>
      </c>
      <c r="U243">
        <f>Table2[[#This Row],[Campaign_Cost (₹)]]/Table2[[#This Row],[Reach]]</f>
        <v>1.0845510317902955</v>
      </c>
      <c r="V243">
        <f>Table2[[#This Row],[Revenue_Generated (₹)]]/Table2[[#This Row],[Reach]]</f>
        <v>1.5264799617560354</v>
      </c>
    </row>
    <row r="244" spans="1:22" x14ac:dyDescent="0.3">
      <c r="A244" t="s">
        <v>295</v>
      </c>
      <c r="B244" t="s">
        <v>18</v>
      </c>
      <c r="C244" t="s">
        <v>37</v>
      </c>
      <c r="D244" t="s">
        <v>20</v>
      </c>
      <c r="E244">
        <v>1540963</v>
      </c>
      <c r="F244">
        <v>1133212</v>
      </c>
      <c r="G244">
        <v>2646389</v>
      </c>
      <c r="H244">
        <v>72420</v>
      </c>
      <c r="I244">
        <v>5573</v>
      </c>
      <c r="J244">
        <v>5694</v>
      </c>
      <c r="K244">
        <f t="shared" si="6"/>
        <v>7.3849376815635557</v>
      </c>
      <c r="L244">
        <v>295184</v>
      </c>
      <c r="M244">
        <v>520268</v>
      </c>
      <c r="N244">
        <f t="shared" si="7"/>
        <v>76.252100384844709</v>
      </c>
      <c r="O244" s="4">
        <v>46021</v>
      </c>
      <c r="P244" s="4">
        <v>46039</v>
      </c>
      <c r="Q244" t="s">
        <v>54</v>
      </c>
      <c r="R244">
        <f>Table2[[#This Row],[End_Date]]-Table2[[#This Row],[Start_Date]]</f>
        <v>18</v>
      </c>
      <c r="S244" t="str">
        <f>TEXT(Table2[[#This Row],[Start_Date]],"MMM")</f>
        <v>Dec</v>
      </c>
      <c r="T244">
        <f>YEAR(Table2[[#This Row],[Start_Date]])</f>
        <v>2025</v>
      </c>
      <c r="U244">
        <f>Table2[[#This Row],[Campaign_Cost (₹)]]/Table2[[#This Row],[Reach]]</f>
        <v>0.26048435773712242</v>
      </c>
      <c r="V244">
        <f>Table2[[#This Row],[Revenue_Generated (₹)]]/Table2[[#This Row],[Reach]]</f>
        <v>0.45910915168565103</v>
      </c>
    </row>
    <row r="245" spans="1:22" x14ac:dyDescent="0.3">
      <c r="A245" t="s">
        <v>296</v>
      </c>
      <c r="B245" t="s">
        <v>18</v>
      </c>
      <c r="C245" t="s">
        <v>37</v>
      </c>
      <c r="D245" t="s">
        <v>58</v>
      </c>
      <c r="E245">
        <v>411358</v>
      </c>
      <c r="F245">
        <v>154885</v>
      </c>
      <c r="G245">
        <v>406483</v>
      </c>
      <c r="H245">
        <v>20944</v>
      </c>
      <c r="I245">
        <v>1620</v>
      </c>
      <c r="J245">
        <v>896</v>
      </c>
      <c r="K245">
        <f t="shared" si="6"/>
        <v>15.146721761306775</v>
      </c>
      <c r="L245">
        <v>175107</v>
      </c>
      <c r="M245">
        <v>696878</v>
      </c>
      <c r="N245">
        <f t="shared" si="7"/>
        <v>297.9726681400515</v>
      </c>
      <c r="O245" s="4">
        <v>46138</v>
      </c>
      <c r="P245" s="4">
        <v>46146</v>
      </c>
      <c r="Q245" t="s">
        <v>78</v>
      </c>
      <c r="R245">
        <f>Table2[[#This Row],[End_Date]]-Table2[[#This Row],[Start_Date]]</f>
        <v>8</v>
      </c>
      <c r="S245" t="str">
        <f>TEXT(Table2[[#This Row],[Start_Date]],"MMM")</f>
        <v>Apr</v>
      </c>
      <c r="T245">
        <f>YEAR(Table2[[#This Row],[Start_Date]])</f>
        <v>2026</v>
      </c>
      <c r="U245">
        <f>Table2[[#This Row],[Campaign_Cost (₹)]]/Table2[[#This Row],[Reach]]</f>
        <v>1.1305613842528328</v>
      </c>
      <c r="V245">
        <f>Table2[[#This Row],[Revenue_Generated (₹)]]/Table2[[#This Row],[Reach]]</f>
        <v>4.499325305872099</v>
      </c>
    </row>
    <row r="246" spans="1:22" x14ac:dyDescent="0.3">
      <c r="A246" t="s">
        <v>297</v>
      </c>
      <c r="B246" t="s">
        <v>63</v>
      </c>
      <c r="C246" t="s">
        <v>43</v>
      </c>
      <c r="D246" t="s">
        <v>58</v>
      </c>
      <c r="E246">
        <v>427779</v>
      </c>
      <c r="F246">
        <v>267510</v>
      </c>
      <c r="G246">
        <v>486552</v>
      </c>
      <c r="H246">
        <v>9117</v>
      </c>
      <c r="I246">
        <v>336</v>
      </c>
      <c r="J246">
        <v>368</v>
      </c>
      <c r="K246">
        <f t="shared" si="6"/>
        <v>3.6712646256214718</v>
      </c>
      <c r="L246">
        <v>230947</v>
      </c>
      <c r="M246">
        <v>433173</v>
      </c>
      <c r="N246">
        <f t="shared" si="7"/>
        <v>87.563813342455205</v>
      </c>
      <c r="O246" s="4">
        <v>45659</v>
      </c>
      <c r="P246" s="4">
        <v>45671</v>
      </c>
      <c r="Q246" t="s">
        <v>78</v>
      </c>
      <c r="R246">
        <f>Table2[[#This Row],[End_Date]]-Table2[[#This Row],[Start_Date]]</f>
        <v>12</v>
      </c>
      <c r="S246" t="str">
        <f>TEXT(Table2[[#This Row],[Start_Date]],"MMM")</f>
        <v>Jan</v>
      </c>
      <c r="T246">
        <f>YEAR(Table2[[#This Row],[Start_Date]])</f>
        <v>2025</v>
      </c>
      <c r="U246">
        <f>Table2[[#This Row],[Campaign_Cost (₹)]]/Table2[[#This Row],[Reach]]</f>
        <v>0.86332099734589363</v>
      </c>
      <c r="V246">
        <f>Table2[[#This Row],[Revenue_Generated (₹)]]/Table2[[#This Row],[Reach]]</f>
        <v>1.6192777840080745</v>
      </c>
    </row>
    <row r="247" spans="1:22" x14ac:dyDescent="0.3">
      <c r="A247" t="s">
        <v>298</v>
      </c>
      <c r="B247" t="s">
        <v>53</v>
      </c>
      <c r="C247" t="s">
        <v>37</v>
      </c>
      <c r="D247" t="s">
        <v>20</v>
      </c>
      <c r="E247">
        <v>908528</v>
      </c>
      <c r="F247">
        <v>269793</v>
      </c>
      <c r="G247">
        <v>685288</v>
      </c>
      <c r="H247">
        <v>14117</v>
      </c>
      <c r="I247">
        <v>906</v>
      </c>
      <c r="J247">
        <v>889</v>
      </c>
      <c r="K247">
        <f t="shared" si="6"/>
        <v>5.8978550221836743</v>
      </c>
      <c r="L247">
        <v>175004</v>
      </c>
      <c r="M247">
        <v>341524</v>
      </c>
      <c r="N247">
        <f t="shared" si="7"/>
        <v>95.152110808895799</v>
      </c>
      <c r="O247" s="4">
        <v>46009</v>
      </c>
      <c r="P247" s="4">
        <v>46026</v>
      </c>
      <c r="Q247" t="s">
        <v>25</v>
      </c>
      <c r="R247">
        <f>Table2[[#This Row],[End_Date]]-Table2[[#This Row],[Start_Date]]</f>
        <v>17</v>
      </c>
      <c r="S247" t="str">
        <f>TEXT(Table2[[#This Row],[Start_Date]],"MMM")</f>
        <v>Dec</v>
      </c>
      <c r="T247">
        <f>YEAR(Table2[[#This Row],[Start_Date]])</f>
        <v>2025</v>
      </c>
      <c r="U247">
        <f>Table2[[#This Row],[Campaign_Cost (₹)]]/Table2[[#This Row],[Reach]]</f>
        <v>0.64866026916932606</v>
      </c>
      <c r="V247">
        <f>Table2[[#This Row],[Revenue_Generated (₹)]]/Table2[[#This Row],[Reach]]</f>
        <v>1.265874207262605</v>
      </c>
    </row>
    <row r="248" spans="1:22" x14ac:dyDescent="0.3">
      <c r="A248" t="s">
        <v>299</v>
      </c>
      <c r="B248" t="s">
        <v>32</v>
      </c>
      <c r="C248" t="s">
        <v>43</v>
      </c>
      <c r="D248" t="s">
        <v>51</v>
      </c>
      <c r="E248">
        <v>1400359</v>
      </c>
      <c r="F248">
        <v>401850</v>
      </c>
      <c r="G248">
        <v>576861</v>
      </c>
      <c r="H248">
        <v>15651</v>
      </c>
      <c r="I248">
        <v>1739</v>
      </c>
      <c r="J248">
        <v>465</v>
      </c>
      <c r="K248">
        <f t="shared" si="6"/>
        <v>4.4432001990792589</v>
      </c>
      <c r="L248">
        <v>92533</v>
      </c>
      <c r="M248">
        <v>385314</v>
      </c>
      <c r="N248">
        <f t="shared" si="7"/>
        <v>316.40711962218882</v>
      </c>
      <c r="O248" s="4">
        <v>45998</v>
      </c>
      <c r="P248" s="4">
        <v>46022</v>
      </c>
      <c r="Q248" t="s">
        <v>21</v>
      </c>
      <c r="R248">
        <f>Table2[[#This Row],[End_Date]]-Table2[[#This Row],[Start_Date]]</f>
        <v>24</v>
      </c>
      <c r="S248" t="str">
        <f>TEXT(Table2[[#This Row],[Start_Date]],"MMM")</f>
        <v>Dec</v>
      </c>
      <c r="T248">
        <f>YEAR(Table2[[#This Row],[Start_Date]])</f>
        <v>2025</v>
      </c>
      <c r="U248">
        <f>Table2[[#This Row],[Campaign_Cost (₹)]]/Table2[[#This Row],[Reach]]</f>
        <v>0.23026751275351498</v>
      </c>
      <c r="V248">
        <f>Table2[[#This Row],[Revenue_Generated (₹)]]/Table2[[#This Row],[Reach]]</f>
        <v>0.95885031728256809</v>
      </c>
    </row>
    <row r="249" spans="1:22" x14ac:dyDescent="0.3">
      <c r="A249" t="s">
        <v>300</v>
      </c>
      <c r="B249" t="s">
        <v>18</v>
      </c>
      <c r="C249" t="s">
        <v>19</v>
      </c>
      <c r="D249" t="s">
        <v>40</v>
      </c>
      <c r="E249">
        <v>139235</v>
      </c>
      <c r="F249">
        <v>118032</v>
      </c>
      <c r="G249">
        <v>252875</v>
      </c>
      <c r="H249">
        <v>16647</v>
      </c>
      <c r="I249">
        <v>2166</v>
      </c>
      <c r="J249">
        <v>1553</v>
      </c>
      <c r="K249">
        <f t="shared" si="6"/>
        <v>17.254642808729837</v>
      </c>
      <c r="L249">
        <v>483718</v>
      </c>
      <c r="M249">
        <v>1315237</v>
      </c>
      <c r="N249">
        <f t="shared" si="7"/>
        <v>171.90160382702317</v>
      </c>
      <c r="O249" s="4">
        <v>45802</v>
      </c>
      <c r="P249" s="4">
        <v>45828</v>
      </c>
      <c r="Q249" t="s">
        <v>30</v>
      </c>
      <c r="R249">
        <f>Table2[[#This Row],[End_Date]]-Table2[[#This Row],[Start_Date]]</f>
        <v>26</v>
      </c>
      <c r="S249" t="str">
        <f>TEXT(Table2[[#This Row],[Start_Date]],"MMM")</f>
        <v>May</v>
      </c>
      <c r="T249">
        <f>YEAR(Table2[[#This Row],[Start_Date]])</f>
        <v>2025</v>
      </c>
      <c r="U249">
        <f>Table2[[#This Row],[Campaign_Cost (₹)]]/Table2[[#This Row],[Reach]]</f>
        <v>4.0981937101802899</v>
      </c>
      <c r="V249">
        <f>Table2[[#This Row],[Revenue_Generated (₹)]]/Table2[[#This Row],[Reach]]</f>
        <v>11.143054425918395</v>
      </c>
    </row>
    <row r="250" spans="1:22" x14ac:dyDescent="0.3">
      <c r="A250" t="s">
        <v>301</v>
      </c>
      <c r="B250" t="s">
        <v>103</v>
      </c>
      <c r="C250" t="s">
        <v>19</v>
      </c>
      <c r="D250" t="s">
        <v>20</v>
      </c>
      <c r="E250">
        <v>1978307</v>
      </c>
      <c r="F250">
        <v>1753392</v>
      </c>
      <c r="G250">
        <v>3871518</v>
      </c>
      <c r="H250">
        <v>73563</v>
      </c>
      <c r="I250">
        <v>5743</v>
      </c>
      <c r="J250">
        <v>6578</v>
      </c>
      <c r="K250">
        <f t="shared" si="6"/>
        <v>4.898163103287799</v>
      </c>
      <c r="L250">
        <v>446646</v>
      </c>
      <c r="M250">
        <v>1266755</v>
      </c>
      <c r="N250">
        <f t="shared" si="7"/>
        <v>183.61498815616841</v>
      </c>
      <c r="O250" s="4">
        <v>45727</v>
      </c>
      <c r="P250" s="4">
        <v>45739</v>
      </c>
      <c r="Q250" t="s">
        <v>30</v>
      </c>
      <c r="R250">
        <f>Table2[[#This Row],[End_Date]]-Table2[[#This Row],[Start_Date]]</f>
        <v>12</v>
      </c>
      <c r="S250" t="str">
        <f>TEXT(Table2[[#This Row],[Start_Date]],"MMM")</f>
        <v>Mar</v>
      </c>
      <c r="T250">
        <f>YEAR(Table2[[#This Row],[Start_Date]])</f>
        <v>2025</v>
      </c>
      <c r="U250">
        <f>Table2[[#This Row],[Campaign_Cost (₹)]]/Table2[[#This Row],[Reach]]</f>
        <v>0.25473254126858114</v>
      </c>
      <c r="V250">
        <f>Table2[[#This Row],[Revenue_Generated (₹)]]/Table2[[#This Row],[Reach]]</f>
        <v>0.72245966674879325</v>
      </c>
    </row>
    <row r="251" spans="1:22" x14ac:dyDescent="0.3">
      <c r="A251" t="s">
        <v>302</v>
      </c>
      <c r="B251" t="s">
        <v>103</v>
      </c>
      <c r="C251" t="s">
        <v>33</v>
      </c>
      <c r="D251" t="s">
        <v>58</v>
      </c>
      <c r="E251">
        <v>1526346</v>
      </c>
      <c r="F251">
        <v>1215329</v>
      </c>
      <c r="G251">
        <v>2582693</v>
      </c>
      <c r="H251">
        <v>76976</v>
      </c>
      <c r="I251">
        <v>9835</v>
      </c>
      <c r="J251">
        <v>6792</v>
      </c>
      <c r="K251">
        <f t="shared" si="6"/>
        <v>7.7018650916747644</v>
      </c>
      <c r="L251">
        <v>116215</v>
      </c>
      <c r="M251">
        <v>175191</v>
      </c>
      <c r="N251">
        <f t="shared" si="7"/>
        <v>50.747321774297639</v>
      </c>
      <c r="O251" s="4">
        <v>45949</v>
      </c>
      <c r="P251" s="4">
        <v>45978</v>
      </c>
      <c r="Q251" t="s">
        <v>41</v>
      </c>
      <c r="R251">
        <f>Table2[[#This Row],[End_Date]]-Table2[[#This Row],[Start_Date]]</f>
        <v>29</v>
      </c>
      <c r="S251" t="str">
        <f>TEXT(Table2[[#This Row],[Start_Date]],"MMM")</f>
        <v>Oct</v>
      </c>
      <c r="T251">
        <f>YEAR(Table2[[#This Row],[Start_Date]])</f>
        <v>2025</v>
      </c>
      <c r="U251">
        <f>Table2[[#This Row],[Campaign_Cost (₹)]]/Table2[[#This Row],[Reach]]</f>
        <v>9.5624312428980132E-2</v>
      </c>
      <c r="V251">
        <f>Table2[[#This Row],[Revenue_Generated (₹)]]/Table2[[#This Row],[Reach]]</f>
        <v>0.14415108995177436</v>
      </c>
    </row>
    <row r="252" spans="1:22" x14ac:dyDescent="0.3">
      <c r="A252" t="s">
        <v>303</v>
      </c>
      <c r="B252" t="s">
        <v>36</v>
      </c>
      <c r="C252" t="s">
        <v>19</v>
      </c>
      <c r="D252" t="s">
        <v>40</v>
      </c>
      <c r="E252">
        <v>678879</v>
      </c>
      <c r="F252">
        <v>584143</v>
      </c>
      <c r="G252">
        <v>1381940</v>
      </c>
      <c r="H252">
        <v>43317</v>
      </c>
      <c r="I252">
        <v>2497</v>
      </c>
      <c r="J252">
        <v>2090</v>
      </c>
      <c r="K252">
        <f t="shared" si="6"/>
        <v>8.2007316701561077</v>
      </c>
      <c r="L252">
        <v>434337</v>
      </c>
      <c r="M252">
        <v>1654349</v>
      </c>
      <c r="N252">
        <f t="shared" si="7"/>
        <v>280.89064482187791</v>
      </c>
      <c r="O252" s="4">
        <v>46136</v>
      </c>
      <c r="P252" s="4">
        <v>46160</v>
      </c>
      <c r="Q252" t="s">
        <v>78</v>
      </c>
      <c r="R252">
        <f>Table2[[#This Row],[End_Date]]-Table2[[#This Row],[Start_Date]]</f>
        <v>24</v>
      </c>
      <c r="S252" t="str">
        <f>TEXT(Table2[[#This Row],[Start_Date]],"MMM")</f>
        <v>Apr</v>
      </c>
      <c r="T252">
        <f>YEAR(Table2[[#This Row],[Start_Date]])</f>
        <v>2026</v>
      </c>
      <c r="U252">
        <f>Table2[[#This Row],[Campaign_Cost (₹)]]/Table2[[#This Row],[Reach]]</f>
        <v>0.74354567289174056</v>
      </c>
      <c r="V252">
        <f>Table2[[#This Row],[Revenue_Generated (₹)]]/Table2[[#This Row],[Reach]]</f>
        <v>2.8320959080225219</v>
      </c>
    </row>
    <row r="253" spans="1:22" x14ac:dyDescent="0.3">
      <c r="A253" t="s">
        <v>304</v>
      </c>
      <c r="B253" t="s">
        <v>80</v>
      </c>
      <c r="C253" t="s">
        <v>37</v>
      </c>
      <c r="D253" t="s">
        <v>58</v>
      </c>
      <c r="E253">
        <v>746728</v>
      </c>
      <c r="F253">
        <v>460958</v>
      </c>
      <c r="G253">
        <v>929735</v>
      </c>
      <c r="H253">
        <v>16027</v>
      </c>
      <c r="I253">
        <v>1434</v>
      </c>
      <c r="J253">
        <v>363</v>
      </c>
      <c r="K253">
        <f t="shared" si="6"/>
        <v>3.8667297237492355</v>
      </c>
      <c r="L253">
        <v>485716</v>
      </c>
      <c r="M253">
        <v>1077092</v>
      </c>
      <c r="N253">
        <f t="shared" si="7"/>
        <v>121.75345263487304</v>
      </c>
      <c r="O253" s="4">
        <v>46046</v>
      </c>
      <c r="P253" s="4">
        <v>46072</v>
      </c>
      <c r="Q253" t="s">
        <v>34</v>
      </c>
      <c r="R253">
        <f>Table2[[#This Row],[End_Date]]-Table2[[#This Row],[Start_Date]]</f>
        <v>26</v>
      </c>
      <c r="S253" t="str">
        <f>TEXT(Table2[[#This Row],[Start_Date]],"MMM")</f>
        <v>Jan</v>
      </c>
      <c r="T253">
        <f>YEAR(Table2[[#This Row],[Start_Date]])</f>
        <v>2026</v>
      </c>
      <c r="U253">
        <f>Table2[[#This Row],[Campaign_Cost (₹)]]/Table2[[#This Row],[Reach]]</f>
        <v>1.0537098824621767</v>
      </c>
      <c r="V253">
        <f>Table2[[#This Row],[Revenue_Generated (₹)]]/Table2[[#This Row],[Reach]]</f>
        <v>2.3366380451147393</v>
      </c>
    </row>
    <row r="254" spans="1:22" x14ac:dyDescent="0.3">
      <c r="A254" t="s">
        <v>305</v>
      </c>
      <c r="B254" t="s">
        <v>39</v>
      </c>
      <c r="C254" t="s">
        <v>28</v>
      </c>
      <c r="D254" t="s">
        <v>46</v>
      </c>
      <c r="E254">
        <v>1290553</v>
      </c>
      <c r="F254">
        <v>649036</v>
      </c>
      <c r="G254">
        <v>1827192</v>
      </c>
      <c r="H254">
        <v>22732</v>
      </c>
      <c r="I254">
        <v>1362</v>
      </c>
      <c r="J254">
        <v>1001</v>
      </c>
      <c r="K254">
        <f t="shared" si="6"/>
        <v>3.8665035529616234</v>
      </c>
      <c r="L254">
        <v>493180</v>
      </c>
      <c r="M254">
        <v>2013711</v>
      </c>
      <c r="N254">
        <f t="shared" si="7"/>
        <v>308.31156981223893</v>
      </c>
      <c r="O254" s="4">
        <v>45939</v>
      </c>
      <c r="P254" s="4">
        <v>45968</v>
      </c>
      <c r="Q254" t="s">
        <v>41</v>
      </c>
      <c r="R254">
        <f>Table2[[#This Row],[End_Date]]-Table2[[#This Row],[Start_Date]]</f>
        <v>29</v>
      </c>
      <c r="S254" t="str">
        <f>TEXT(Table2[[#This Row],[Start_Date]],"MMM")</f>
        <v>Oct</v>
      </c>
      <c r="T254">
        <f>YEAR(Table2[[#This Row],[Start_Date]])</f>
        <v>2025</v>
      </c>
      <c r="U254">
        <f>Table2[[#This Row],[Campaign_Cost (₹)]]/Table2[[#This Row],[Reach]]</f>
        <v>0.75986540037840733</v>
      </c>
      <c r="V254">
        <f>Table2[[#This Row],[Revenue_Generated (₹)]]/Table2[[#This Row],[Reach]]</f>
        <v>3.1026183447451299</v>
      </c>
    </row>
    <row r="255" spans="1:22" x14ac:dyDescent="0.3">
      <c r="A255" t="s">
        <v>306</v>
      </c>
      <c r="B255" t="s">
        <v>57</v>
      </c>
      <c r="C255" t="s">
        <v>37</v>
      </c>
      <c r="D255" t="s">
        <v>20</v>
      </c>
      <c r="E255">
        <v>1607246</v>
      </c>
      <c r="F255">
        <v>556467</v>
      </c>
      <c r="G255">
        <v>899397</v>
      </c>
      <c r="H255">
        <v>14043</v>
      </c>
      <c r="I255">
        <v>1468</v>
      </c>
      <c r="J255">
        <v>808</v>
      </c>
      <c r="K255">
        <f t="shared" si="6"/>
        <v>2.9326087620649566</v>
      </c>
      <c r="L255">
        <v>136133</v>
      </c>
      <c r="M255">
        <v>239109</v>
      </c>
      <c r="N255">
        <f t="shared" si="7"/>
        <v>75.643671997237988</v>
      </c>
      <c r="O255" s="4">
        <v>45778</v>
      </c>
      <c r="P255" s="4">
        <v>45799</v>
      </c>
      <c r="Q255" t="s">
        <v>21</v>
      </c>
      <c r="R255">
        <f>Table2[[#This Row],[End_Date]]-Table2[[#This Row],[Start_Date]]</f>
        <v>21</v>
      </c>
      <c r="S255" t="str">
        <f>TEXT(Table2[[#This Row],[Start_Date]],"MMM")</f>
        <v>May</v>
      </c>
      <c r="T255">
        <f>YEAR(Table2[[#This Row],[Start_Date]])</f>
        <v>2025</v>
      </c>
      <c r="U255">
        <f>Table2[[#This Row],[Campaign_Cost (₹)]]/Table2[[#This Row],[Reach]]</f>
        <v>0.24463804682038648</v>
      </c>
      <c r="V255">
        <f>Table2[[#This Row],[Revenue_Generated (₹)]]/Table2[[#This Row],[Reach]]</f>
        <v>0.42969124853764912</v>
      </c>
    </row>
    <row r="256" spans="1:22" x14ac:dyDescent="0.3">
      <c r="A256" t="s">
        <v>307</v>
      </c>
      <c r="B256" t="s">
        <v>61</v>
      </c>
      <c r="C256" t="s">
        <v>28</v>
      </c>
      <c r="D256" t="s">
        <v>72</v>
      </c>
      <c r="E256">
        <v>1296689</v>
      </c>
      <c r="F256">
        <v>888032</v>
      </c>
      <c r="G256">
        <v>2409037</v>
      </c>
      <c r="H256">
        <v>93888</v>
      </c>
      <c r="I256">
        <v>12354</v>
      </c>
      <c r="J256">
        <v>7280</v>
      </c>
      <c r="K256">
        <f t="shared" si="6"/>
        <v>12.783548340600341</v>
      </c>
      <c r="L256">
        <v>16044</v>
      </c>
      <c r="M256">
        <v>72102</v>
      </c>
      <c r="N256">
        <f t="shared" si="7"/>
        <v>349.4016454749439</v>
      </c>
      <c r="O256" s="4">
        <v>46040</v>
      </c>
      <c r="P256" s="4">
        <v>46049</v>
      </c>
      <c r="Q256" t="s">
        <v>25</v>
      </c>
      <c r="R256">
        <f>Table2[[#This Row],[End_Date]]-Table2[[#This Row],[Start_Date]]</f>
        <v>9</v>
      </c>
      <c r="S256" t="str">
        <f>TEXT(Table2[[#This Row],[Start_Date]],"MMM")</f>
        <v>Jan</v>
      </c>
      <c r="T256">
        <f>YEAR(Table2[[#This Row],[Start_Date]])</f>
        <v>2026</v>
      </c>
      <c r="U256">
        <f>Table2[[#This Row],[Campaign_Cost (₹)]]/Table2[[#This Row],[Reach]]</f>
        <v>1.8066916507513242E-2</v>
      </c>
      <c r="V256">
        <f>Table2[[#This Row],[Revenue_Generated (₹)]]/Table2[[#This Row],[Reach]]</f>
        <v>8.1193020071348779E-2</v>
      </c>
    </row>
    <row r="257" spans="1:22" x14ac:dyDescent="0.3">
      <c r="A257" t="s">
        <v>308</v>
      </c>
      <c r="B257" t="s">
        <v>80</v>
      </c>
      <c r="C257" t="s">
        <v>43</v>
      </c>
      <c r="D257" t="s">
        <v>40</v>
      </c>
      <c r="E257">
        <v>1157958</v>
      </c>
      <c r="F257">
        <v>307322</v>
      </c>
      <c r="G257">
        <v>419083</v>
      </c>
      <c r="H257">
        <v>12284</v>
      </c>
      <c r="I257">
        <v>596</v>
      </c>
      <c r="J257">
        <v>777</v>
      </c>
      <c r="K257">
        <f t="shared" si="6"/>
        <v>4.4438732013978823</v>
      </c>
      <c r="L257">
        <v>124286</v>
      </c>
      <c r="M257">
        <v>213957</v>
      </c>
      <c r="N257">
        <f t="shared" si="7"/>
        <v>72.148914600196321</v>
      </c>
      <c r="O257" s="4">
        <v>45798</v>
      </c>
      <c r="P257" s="4">
        <v>45813</v>
      </c>
      <c r="Q257" t="s">
        <v>25</v>
      </c>
      <c r="R257">
        <f>Table2[[#This Row],[End_Date]]-Table2[[#This Row],[Start_Date]]</f>
        <v>15</v>
      </c>
      <c r="S257" t="str">
        <f>TEXT(Table2[[#This Row],[Start_Date]],"MMM")</f>
        <v>May</v>
      </c>
      <c r="T257">
        <f>YEAR(Table2[[#This Row],[Start_Date]])</f>
        <v>2025</v>
      </c>
      <c r="U257">
        <f>Table2[[#This Row],[Campaign_Cost (₹)]]/Table2[[#This Row],[Reach]]</f>
        <v>0.4044162149146498</v>
      </c>
      <c r="V257">
        <f>Table2[[#This Row],[Revenue_Generated (₹)]]/Table2[[#This Row],[Reach]]</f>
        <v>0.69619812444276685</v>
      </c>
    </row>
    <row r="258" spans="1:22" x14ac:dyDescent="0.3">
      <c r="A258" t="s">
        <v>309</v>
      </c>
      <c r="B258" t="s">
        <v>27</v>
      </c>
      <c r="C258" t="s">
        <v>33</v>
      </c>
      <c r="D258" t="s">
        <v>51</v>
      </c>
      <c r="E258">
        <v>1613412</v>
      </c>
      <c r="F258">
        <v>968579</v>
      </c>
      <c r="G258">
        <v>1852079</v>
      </c>
      <c r="H258">
        <v>136740</v>
      </c>
      <c r="I258">
        <v>4202</v>
      </c>
      <c r="J258">
        <v>10774</v>
      </c>
      <c r="K258">
        <f t="shared" ref="K258:K321" si="8">((H258+I258+J258)/F258)*100</f>
        <v>15.663771359899398</v>
      </c>
      <c r="L258">
        <v>358911</v>
      </c>
      <c r="M258">
        <v>1296253</v>
      </c>
      <c r="N258">
        <f t="shared" ref="N258:N321" si="9">((M258-L258)/L258)*100</f>
        <v>261.16279523335868</v>
      </c>
      <c r="O258" s="4">
        <v>46137</v>
      </c>
      <c r="P258" s="4">
        <v>46145</v>
      </c>
      <c r="Q258" t="s">
        <v>54</v>
      </c>
      <c r="R258">
        <f>Table2[[#This Row],[End_Date]]-Table2[[#This Row],[Start_Date]]</f>
        <v>8</v>
      </c>
      <c r="S258" t="str">
        <f>TEXT(Table2[[#This Row],[Start_Date]],"MMM")</f>
        <v>Apr</v>
      </c>
      <c r="T258">
        <f>YEAR(Table2[[#This Row],[Start_Date]])</f>
        <v>2026</v>
      </c>
      <c r="U258">
        <f>Table2[[#This Row],[Campaign_Cost (₹)]]/Table2[[#This Row],[Reach]]</f>
        <v>0.37055418298352533</v>
      </c>
      <c r="V258">
        <f>Table2[[#This Row],[Revenue_Generated (₹)]]/Table2[[#This Row],[Reach]]</f>
        <v>1.3383038451174349</v>
      </c>
    </row>
    <row r="259" spans="1:22" x14ac:dyDescent="0.3">
      <c r="A259" t="s">
        <v>310</v>
      </c>
      <c r="B259" t="s">
        <v>103</v>
      </c>
      <c r="C259" t="s">
        <v>28</v>
      </c>
      <c r="D259" t="s">
        <v>51</v>
      </c>
      <c r="E259">
        <v>462073</v>
      </c>
      <c r="F259">
        <v>373233</v>
      </c>
      <c r="G259">
        <v>1025664</v>
      </c>
      <c r="H259">
        <v>43745</v>
      </c>
      <c r="I259">
        <v>1930</v>
      </c>
      <c r="J259">
        <v>3996</v>
      </c>
      <c r="K259">
        <f t="shared" si="8"/>
        <v>13.30830875083393</v>
      </c>
      <c r="L259">
        <v>72666</v>
      </c>
      <c r="M259">
        <v>108777</v>
      </c>
      <c r="N259">
        <f t="shared" si="9"/>
        <v>49.694492610023943</v>
      </c>
      <c r="O259" s="4">
        <v>46104</v>
      </c>
      <c r="P259" s="4">
        <v>46116</v>
      </c>
      <c r="Q259" t="s">
        <v>47</v>
      </c>
      <c r="R259">
        <f>Table2[[#This Row],[End_Date]]-Table2[[#This Row],[Start_Date]]</f>
        <v>12</v>
      </c>
      <c r="S259" t="str">
        <f>TEXT(Table2[[#This Row],[Start_Date]],"MMM")</f>
        <v>Mar</v>
      </c>
      <c r="T259">
        <f>YEAR(Table2[[#This Row],[Start_Date]])</f>
        <v>2026</v>
      </c>
      <c r="U259">
        <f>Table2[[#This Row],[Campaign_Cost (₹)]]/Table2[[#This Row],[Reach]]</f>
        <v>0.19469339527855253</v>
      </c>
      <c r="V259">
        <f>Table2[[#This Row],[Revenue_Generated (₹)]]/Table2[[#This Row],[Reach]]</f>
        <v>0.29144529020745752</v>
      </c>
    </row>
    <row r="260" spans="1:22" x14ac:dyDescent="0.3">
      <c r="A260" t="s">
        <v>311</v>
      </c>
      <c r="B260" t="s">
        <v>53</v>
      </c>
      <c r="C260" t="s">
        <v>33</v>
      </c>
      <c r="D260" t="s">
        <v>24</v>
      </c>
      <c r="E260">
        <v>1884301</v>
      </c>
      <c r="F260">
        <v>958163</v>
      </c>
      <c r="G260">
        <v>2414029</v>
      </c>
      <c r="H260">
        <v>20430</v>
      </c>
      <c r="I260">
        <v>2071</v>
      </c>
      <c r="J260">
        <v>1376</v>
      </c>
      <c r="K260">
        <f t="shared" si="8"/>
        <v>2.491955961563951</v>
      </c>
      <c r="L260">
        <v>211005</v>
      </c>
      <c r="M260">
        <v>421847</v>
      </c>
      <c r="N260">
        <f t="shared" si="9"/>
        <v>99.92275064571929</v>
      </c>
      <c r="O260" s="4">
        <v>45823</v>
      </c>
      <c r="P260" s="4">
        <v>45842</v>
      </c>
      <c r="Q260" t="s">
        <v>30</v>
      </c>
      <c r="R260">
        <f>Table2[[#This Row],[End_Date]]-Table2[[#This Row],[Start_Date]]</f>
        <v>19</v>
      </c>
      <c r="S260" t="str">
        <f>TEXT(Table2[[#This Row],[Start_Date]],"MMM")</f>
        <v>Jun</v>
      </c>
      <c r="T260">
        <f>YEAR(Table2[[#This Row],[Start_Date]])</f>
        <v>2025</v>
      </c>
      <c r="U260">
        <f>Table2[[#This Row],[Campaign_Cost (₹)]]/Table2[[#This Row],[Reach]]</f>
        <v>0.22021827183892512</v>
      </c>
      <c r="V260">
        <f>Table2[[#This Row],[Revenue_Generated (₹)]]/Table2[[#This Row],[Reach]]</f>
        <v>0.44026642648484654</v>
      </c>
    </row>
    <row r="261" spans="1:22" x14ac:dyDescent="0.3">
      <c r="A261" t="s">
        <v>312</v>
      </c>
      <c r="B261" t="s">
        <v>18</v>
      </c>
      <c r="C261" t="s">
        <v>33</v>
      </c>
      <c r="D261" t="s">
        <v>72</v>
      </c>
      <c r="E261">
        <v>256590</v>
      </c>
      <c r="F261">
        <v>161818</v>
      </c>
      <c r="G261">
        <v>268237</v>
      </c>
      <c r="H261">
        <v>20678</v>
      </c>
      <c r="I261">
        <v>1917</v>
      </c>
      <c r="J261">
        <v>1803</v>
      </c>
      <c r="K261">
        <f t="shared" si="8"/>
        <v>15.077432671272664</v>
      </c>
      <c r="L261">
        <v>419915</v>
      </c>
      <c r="M261">
        <v>1251226</v>
      </c>
      <c r="N261">
        <f t="shared" si="9"/>
        <v>197.97125608754155</v>
      </c>
      <c r="O261" s="4">
        <v>46066</v>
      </c>
      <c r="P261" s="4">
        <v>46093</v>
      </c>
      <c r="Q261" t="s">
        <v>34</v>
      </c>
      <c r="R261">
        <f>Table2[[#This Row],[End_Date]]-Table2[[#This Row],[Start_Date]]</f>
        <v>27</v>
      </c>
      <c r="S261" t="str">
        <f>TEXT(Table2[[#This Row],[Start_Date]],"MMM")</f>
        <v>Feb</v>
      </c>
      <c r="T261">
        <f>YEAR(Table2[[#This Row],[Start_Date]])</f>
        <v>2026</v>
      </c>
      <c r="U261">
        <f>Table2[[#This Row],[Campaign_Cost (₹)]]/Table2[[#This Row],[Reach]]</f>
        <v>2.5949832527901715</v>
      </c>
      <c r="V261">
        <f>Table2[[#This Row],[Revenue_Generated (₹)]]/Table2[[#This Row],[Reach]]</f>
        <v>7.7323041936002177</v>
      </c>
    </row>
    <row r="262" spans="1:22" x14ac:dyDescent="0.3">
      <c r="A262" t="s">
        <v>313</v>
      </c>
      <c r="B262" t="s">
        <v>36</v>
      </c>
      <c r="C262" t="s">
        <v>28</v>
      </c>
      <c r="D262" t="s">
        <v>40</v>
      </c>
      <c r="E262">
        <v>1213092</v>
      </c>
      <c r="F262">
        <v>581083</v>
      </c>
      <c r="G262">
        <v>1362986</v>
      </c>
      <c r="H262">
        <v>69757</v>
      </c>
      <c r="I262">
        <v>6307</v>
      </c>
      <c r="J262">
        <v>1406</v>
      </c>
      <c r="K262">
        <f t="shared" si="8"/>
        <v>13.33200248501505</v>
      </c>
      <c r="L262">
        <v>465086</v>
      </c>
      <c r="M262">
        <v>2169741</v>
      </c>
      <c r="N262">
        <f t="shared" si="9"/>
        <v>366.52468575704279</v>
      </c>
      <c r="O262" s="4">
        <v>46084</v>
      </c>
      <c r="P262" s="4">
        <v>46100</v>
      </c>
      <c r="Q262" t="s">
        <v>30</v>
      </c>
      <c r="R262">
        <f>Table2[[#This Row],[End_Date]]-Table2[[#This Row],[Start_Date]]</f>
        <v>16</v>
      </c>
      <c r="S262" t="str">
        <f>TEXT(Table2[[#This Row],[Start_Date]],"MMM")</f>
        <v>Mar</v>
      </c>
      <c r="T262">
        <f>YEAR(Table2[[#This Row],[Start_Date]])</f>
        <v>2026</v>
      </c>
      <c r="U262">
        <f>Table2[[#This Row],[Campaign_Cost (₹)]]/Table2[[#This Row],[Reach]]</f>
        <v>0.80037791503107125</v>
      </c>
      <c r="V262">
        <f>Table2[[#This Row],[Revenue_Generated (₹)]]/Table2[[#This Row],[Reach]]</f>
        <v>3.7339605529674764</v>
      </c>
    </row>
    <row r="263" spans="1:22" x14ac:dyDescent="0.3">
      <c r="A263" t="s">
        <v>314</v>
      </c>
      <c r="B263" t="s">
        <v>49</v>
      </c>
      <c r="C263" t="s">
        <v>19</v>
      </c>
      <c r="D263" t="s">
        <v>20</v>
      </c>
      <c r="E263">
        <v>909210</v>
      </c>
      <c r="F263">
        <v>780177</v>
      </c>
      <c r="G263">
        <v>1194095</v>
      </c>
      <c r="H263">
        <v>85100</v>
      </c>
      <c r="I263">
        <v>3561</v>
      </c>
      <c r="J263">
        <v>4257</v>
      </c>
      <c r="K263">
        <f t="shared" si="8"/>
        <v>11.909861480151299</v>
      </c>
      <c r="L263">
        <v>318596</v>
      </c>
      <c r="M263">
        <v>481891</v>
      </c>
      <c r="N263">
        <f t="shared" si="9"/>
        <v>51.254566912327839</v>
      </c>
      <c r="O263" s="4">
        <v>46148</v>
      </c>
      <c r="P263" s="4">
        <v>46167</v>
      </c>
      <c r="Q263" t="s">
        <v>41</v>
      </c>
      <c r="R263">
        <f>Table2[[#This Row],[End_Date]]-Table2[[#This Row],[Start_Date]]</f>
        <v>19</v>
      </c>
      <c r="S263" t="str">
        <f>TEXT(Table2[[#This Row],[Start_Date]],"MMM")</f>
        <v>May</v>
      </c>
      <c r="T263">
        <f>YEAR(Table2[[#This Row],[Start_Date]])</f>
        <v>2026</v>
      </c>
      <c r="U263">
        <f>Table2[[#This Row],[Campaign_Cost (₹)]]/Table2[[#This Row],[Reach]]</f>
        <v>0.40836374309932233</v>
      </c>
      <c r="V263">
        <f>Table2[[#This Row],[Revenue_Generated (₹)]]/Table2[[#This Row],[Reach]]</f>
        <v>0.61766881105185101</v>
      </c>
    </row>
    <row r="264" spans="1:22" x14ac:dyDescent="0.3">
      <c r="A264" t="s">
        <v>315</v>
      </c>
      <c r="B264" t="s">
        <v>61</v>
      </c>
      <c r="C264" t="s">
        <v>33</v>
      </c>
      <c r="D264" t="s">
        <v>46</v>
      </c>
      <c r="E264">
        <v>524425</v>
      </c>
      <c r="F264">
        <v>312108</v>
      </c>
      <c r="G264">
        <v>820107</v>
      </c>
      <c r="H264">
        <v>39658</v>
      </c>
      <c r="I264">
        <v>5869</v>
      </c>
      <c r="J264">
        <v>1399</v>
      </c>
      <c r="K264">
        <f t="shared" si="8"/>
        <v>15.035180129955016</v>
      </c>
      <c r="L264">
        <v>54664</v>
      </c>
      <c r="M264">
        <v>206239</v>
      </c>
      <c r="N264">
        <f t="shared" si="9"/>
        <v>277.28486755451485</v>
      </c>
      <c r="O264" s="4">
        <v>45692</v>
      </c>
      <c r="P264" s="4">
        <v>45715</v>
      </c>
      <c r="Q264" t="s">
        <v>47</v>
      </c>
      <c r="R264">
        <f>Table2[[#This Row],[End_Date]]-Table2[[#This Row],[Start_Date]]</f>
        <v>23</v>
      </c>
      <c r="S264" t="str">
        <f>TEXT(Table2[[#This Row],[Start_Date]],"MMM")</f>
        <v>Feb</v>
      </c>
      <c r="T264">
        <f>YEAR(Table2[[#This Row],[Start_Date]])</f>
        <v>2025</v>
      </c>
      <c r="U264">
        <f>Table2[[#This Row],[Campaign_Cost (₹)]]/Table2[[#This Row],[Reach]]</f>
        <v>0.17514450126238354</v>
      </c>
      <c r="V264">
        <f>Table2[[#This Row],[Revenue_Generated (₹)]]/Table2[[#This Row],[Reach]]</f>
        <v>0.66079369961679935</v>
      </c>
    </row>
    <row r="265" spans="1:22" x14ac:dyDescent="0.3">
      <c r="A265" t="s">
        <v>316</v>
      </c>
      <c r="B265" t="s">
        <v>39</v>
      </c>
      <c r="C265" t="s">
        <v>37</v>
      </c>
      <c r="D265" t="s">
        <v>20</v>
      </c>
      <c r="E265">
        <v>1779263</v>
      </c>
      <c r="F265">
        <v>1019071</v>
      </c>
      <c r="G265">
        <v>2746274</v>
      </c>
      <c r="H265">
        <v>50656</v>
      </c>
      <c r="I265">
        <v>3137</v>
      </c>
      <c r="J265">
        <v>3547</v>
      </c>
      <c r="K265">
        <f t="shared" si="8"/>
        <v>5.6266933314754315</v>
      </c>
      <c r="L265">
        <v>409128</v>
      </c>
      <c r="M265">
        <v>1645146</v>
      </c>
      <c r="N265">
        <f t="shared" si="9"/>
        <v>302.11034199565904</v>
      </c>
      <c r="O265" s="4">
        <v>45706</v>
      </c>
      <c r="P265" s="4">
        <v>45736</v>
      </c>
      <c r="Q265" t="s">
        <v>34</v>
      </c>
      <c r="R265">
        <f>Table2[[#This Row],[End_Date]]-Table2[[#This Row],[Start_Date]]</f>
        <v>30</v>
      </c>
      <c r="S265" t="str">
        <f>TEXT(Table2[[#This Row],[Start_Date]],"MMM")</f>
        <v>Feb</v>
      </c>
      <c r="T265">
        <f>YEAR(Table2[[#This Row],[Start_Date]])</f>
        <v>2025</v>
      </c>
      <c r="U265">
        <f>Table2[[#This Row],[Campaign_Cost (₹)]]/Table2[[#This Row],[Reach]]</f>
        <v>0.40147153633063837</v>
      </c>
      <c r="V265">
        <f>Table2[[#This Row],[Revenue_Generated (₹)]]/Table2[[#This Row],[Reach]]</f>
        <v>1.6143585677543566</v>
      </c>
    </row>
    <row r="266" spans="1:22" x14ac:dyDescent="0.3">
      <c r="A266" t="s">
        <v>317</v>
      </c>
      <c r="B266" t="s">
        <v>27</v>
      </c>
      <c r="C266" t="s">
        <v>19</v>
      </c>
      <c r="D266" t="s">
        <v>46</v>
      </c>
      <c r="E266">
        <v>855428</v>
      </c>
      <c r="F266">
        <v>279586</v>
      </c>
      <c r="G266">
        <v>485539</v>
      </c>
      <c r="H266">
        <v>15534</v>
      </c>
      <c r="I266">
        <v>2107</v>
      </c>
      <c r="J266">
        <v>921</v>
      </c>
      <c r="K266">
        <f t="shared" si="8"/>
        <v>6.6391021009635676</v>
      </c>
      <c r="L266">
        <v>370378</v>
      </c>
      <c r="M266">
        <v>1618571</v>
      </c>
      <c r="N266">
        <f t="shared" si="9"/>
        <v>337.0051676935455</v>
      </c>
      <c r="O266" s="4">
        <v>45908</v>
      </c>
      <c r="P266" s="4">
        <v>45934</v>
      </c>
      <c r="Q266" t="s">
        <v>54</v>
      </c>
      <c r="R266">
        <f>Table2[[#This Row],[End_Date]]-Table2[[#This Row],[Start_Date]]</f>
        <v>26</v>
      </c>
      <c r="S266" t="str">
        <f>TEXT(Table2[[#This Row],[Start_Date]],"MMM")</f>
        <v>Sep</v>
      </c>
      <c r="T266">
        <f>YEAR(Table2[[#This Row],[Start_Date]])</f>
        <v>2025</v>
      </c>
      <c r="U266">
        <f>Table2[[#This Row],[Campaign_Cost (₹)]]/Table2[[#This Row],[Reach]]</f>
        <v>1.3247372901361298</v>
      </c>
      <c r="V266">
        <f>Table2[[#This Row],[Revenue_Generated (₹)]]/Table2[[#This Row],[Reach]]</f>
        <v>5.7891704162583251</v>
      </c>
    </row>
    <row r="267" spans="1:22" x14ac:dyDescent="0.3">
      <c r="A267" t="s">
        <v>318</v>
      </c>
      <c r="B267" t="s">
        <v>27</v>
      </c>
      <c r="C267" t="s">
        <v>28</v>
      </c>
      <c r="D267" t="s">
        <v>46</v>
      </c>
      <c r="E267">
        <v>859246</v>
      </c>
      <c r="F267">
        <v>565927</v>
      </c>
      <c r="G267">
        <v>1564132</v>
      </c>
      <c r="H267">
        <v>28152</v>
      </c>
      <c r="I267">
        <v>3284</v>
      </c>
      <c r="J267">
        <v>2215</v>
      </c>
      <c r="K267">
        <f t="shared" si="8"/>
        <v>5.9461732696973284</v>
      </c>
      <c r="L267">
        <v>338617</v>
      </c>
      <c r="M267">
        <v>1429288</v>
      </c>
      <c r="N267">
        <f t="shared" si="9"/>
        <v>322.09576010655104</v>
      </c>
      <c r="O267" s="4">
        <v>45689</v>
      </c>
      <c r="P267" s="4">
        <v>45716</v>
      </c>
      <c r="Q267" t="s">
        <v>54</v>
      </c>
      <c r="R267">
        <f>Table2[[#This Row],[End_Date]]-Table2[[#This Row],[Start_Date]]</f>
        <v>27</v>
      </c>
      <c r="S267" t="str">
        <f>TEXT(Table2[[#This Row],[Start_Date]],"MMM")</f>
        <v>Feb</v>
      </c>
      <c r="T267">
        <f>YEAR(Table2[[#This Row],[Start_Date]])</f>
        <v>2025</v>
      </c>
      <c r="U267">
        <f>Table2[[#This Row],[Campaign_Cost (₹)]]/Table2[[#This Row],[Reach]]</f>
        <v>0.59834042199789017</v>
      </c>
      <c r="V267">
        <f>Table2[[#This Row],[Revenue_Generated (₹)]]/Table2[[#This Row],[Reach]]</f>
        <v>2.5255695522567398</v>
      </c>
    </row>
    <row r="268" spans="1:22" x14ac:dyDescent="0.3">
      <c r="A268" t="s">
        <v>319</v>
      </c>
      <c r="B268" t="s">
        <v>103</v>
      </c>
      <c r="C268" t="s">
        <v>43</v>
      </c>
      <c r="D268" t="s">
        <v>20</v>
      </c>
      <c r="E268">
        <v>685701</v>
      </c>
      <c r="F268">
        <v>330125</v>
      </c>
      <c r="G268">
        <v>726346</v>
      </c>
      <c r="H268">
        <v>30736</v>
      </c>
      <c r="I268">
        <v>3682</v>
      </c>
      <c r="J268">
        <v>2388</v>
      </c>
      <c r="K268">
        <f t="shared" si="8"/>
        <v>11.149110185535783</v>
      </c>
      <c r="L268">
        <v>71052</v>
      </c>
      <c r="M268">
        <v>186782</v>
      </c>
      <c r="N268">
        <f t="shared" si="9"/>
        <v>162.88070708776669</v>
      </c>
      <c r="O268" s="4">
        <v>46057</v>
      </c>
      <c r="P268" s="4">
        <v>46081</v>
      </c>
      <c r="Q268" t="s">
        <v>54</v>
      </c>
      <c r="R268">
        <f>Table2[[#This Row],[End_Date]]-Table2[[#This Row],[Start_Date]]</f>
        <v>24</v>
      </c>
      <c r="S268" t="str">
        <f>TEXT(Table2[[#This Row],[Start_Date]],"MMM")</f>
        <v>Feb</v>
      </c>
      <c r="T268">
        <f>YEAR(Table2[[#This Row],[Start_Date]])</f>
        <v>2026</v>
      </c>
      <c r="U268">
        <f>Table2[[#This Row],[Campaign_Cost (₹)]]/Table2[[#This Row],[Reach]]</f>
        <v>0.21522756531616813</v>
      </c>
      <c r="V268">
        <f>Table2[[#This Row],[Revenue_Generated (₹)]]/Table2[[#This Row],[Reach]]</f>
        <v>0.5657917455509277</v>
      </c>
    </row>
    <row r="269" spans="1:22" x14ac:dyDescent="0.3">
      <c r="A269" t="s">
        <v>320</v>
      </c>
      <c r="B269" t="s">
        <v>45</v>
      </c>
      <c r="C269" t="s">
        <v>33</v>
      </c>
      <c r="D269" t="s">
        <v>72</v>
      </c>
      <c r="E269">
        <v>1518140</v>
      </c>
      <c r="F269">
        <v>1295846</v>
      </c>
      <c r="G269">
        <v>1960851</v>
      </c>
      <c r="H269">
        <v>68910</v>
      </c>
      <c r="I269">
        <v>7762</v>
      </c>
      <c r="J269">
        <v>4544</v>
      </c>
      <c r="K269">
        <f t="shared" si="8"/>
        <v>6.2674114053676133</v>
      </c>
      <c r="L269">
        <v>341725</v>
      </c>
      <c r="M269">
        <v>995692</v>
      </c>
      <c r="N269">
        <f t="shared" si="9"/>
        <v>191.37230228985297</v>
      </c>
      <c r="O269" s="4">
        <v>45780</v>
      </c>
      <c r="P269" s="4">
        <v>45810</v>
      </c>
      <c r="Q269" t="s">
        <v>47</v>
      </c>
      <c r="R269">
        <f>Table2[[#This Row],[End_Date]]-Table2[[#This Row],[Start_Date]]</f>
        <v>30</v>
      </c>
      <c r="S269" t="str">
        <f>TEXT(Table2[[#This Row],[Start_Date]],"MMM")</f>
        <v>May</v>
      </c>
      <c r="T269">
        <f>YEAR(Table2[[#This Row],[Start_Date]])</f>
        <v>2025</v>
      </c>
      <c r="U269">
        <f>Table2[[#This Row],[Campaign_Cost (₹)]]/Table2[[#This Row],[Reach]]</f>
        <v>0.26370803320764968</v>
      </c>
      <c r="V269">
        <f>Table2[[#This Row],[Revenue_Generated (₹)]]/Table2[[#This Row],[Reach]]</f>
        <v>0.76837216768041883</v>
      </c>
    </row>
    <row r="270" spans="1:22" x14ac:dyDescent="0.3">
      <c r="A270" t="s">
        <v>321</v>
      </c>
      <c r="B270" t="s">
        <v>75</v>
      </c>
      <c r="C270" t="s">
        <v>28</v>
      </c>
      <c r="D270" t="s">
        <v>20</v>
      </c>
      <c r="E270">
        <v>482334</v>
      </c>
      <c r="F270">
        <v>278428</v>
      </c>
      <c r="G270">
        <v>368297</v>
      </c>
      <c r="H270">
        <v>6012</v>
      </c>
      <c r="I270">
        <v>543</v>
      </c>
      <c r="J270">
        <v>461</v>
      </c>
      <c r="K270">
        <f t="shared" si="8"/>
        <v>2.5198615081816484</v>
      </c>
      <c r="L270">
        <v>219058</v>
      </c>
      <c r="M270">
        <v>647552</v>
      </c>
      <c r="N270">
        <f t="shared" si="9"/>
        <v>195.60755598973788</v>
      </c>
      <c r="O270" s="4">
        <v>45785</v>
      </c>
      <c r="P270" s="4">
        <v>45811</v>
      </c>
      <c r="Q270" t="s">
        <v>21</v>
      </c>
      <c r="R270">
        <f>Table2[[#This Row],[End_Date]]-Table2[[#This Row],[Start_Date]]</f>
        <v>26</v>
      </c>
      <c r="S270" t="str">
        <f>TEXT(Table2[[#This Row],[Start_Date]],"MMM")</f>
        <v>May</v>
      </c>
      <c r="T270">
        <f>YEAR(Table2[[#This Row],[Start_Date]])</f>
        <v>2025</v>
      </c>
      <c r="U270">
        <f>Table2[[#This Row],[Campaign_Cost (₹)]]/Table2[[#This Row],[Reach]]</f>
        <v>0.78676713548924682</v>
      </c>
      <c r="V270">
        <f>Table2[[#This Row],[Revenue_Generated (₹)]]/Table2[[#This Row],[Reach]]</f>
        <v>2.3257431005502318</v>
      </c>
    </row>
    <row r="271" spans="1:22" x14ac:dyDescent="0.3">
      <c r="A271" t="s">
        <v>322</v>
      </c>
      <c r="B271" t="s">
        <v>103</v>
      </c>
      <c r="C271" t="s">
        <v>28</v>
      </c>
      <c r="D271" t="s">
        <v>58</v>
      </c>
      <c r="E271">
        <v>1318302</v>
      </c>
      <c r="F271">
        <v>1029488</v>
      </c>
      <c r="G271">
        <v>1666169</v>
      </c>
      <c r="H271">
        <v>57897</v>
      </c>
      <c r="I271">
        <v>7291</v>
      </c>
      <c r="J271">
        <v>4525</v>
      </c>
      <c r="K271">
        <f t="shared" si="8"/>
        <v>6.7716185132803881</v>
      </c>
      <c r="L271">
        <v>329900</v>
      </c>
      <c r="M271">
        <v>1547963</v>
      </c>
      <c r="N271">
        <f t="shared" si="9"/>
        <v>369.22188541982422</v>
      </c>
      <c r="O271" s="4">
        <v>45983</v>
      </c>
      <c r="P271" s="4">
        <v>45998</v>
      </c>
      <c r="Q271" t="s">
        <v>25</v>
      </c>
      <c r="R271">
        <f>Table2[[#This Row],[End_Date]]-Table2[[#This Row],[Start_Date]]</f>
        <v>15</v>
      </c>
      <c r="S271" t="str">
        <f>TEXT(Table2[[#This Row],[Start_Date]],"MMM")</f>
        <v>Nov</v>
      </c>
      <c r="T271">
        <f>YEAR(Table2[[#This Row],[Start_Date]])</f>
        <v>2025</v>
      </c>
      <c r="U271">
        <f>Table2[[#This Row],[Campaign_Cost (₹)]]/Table2[[#This Row],[Reach]]</f>
        <v>0.32045055406182493</v>
      </c>
      <c r="V271">
        <f>Table2[[#This Row],[Revenue_Generated (₹)]]/Table2[[#This Row],[Reach]]</f>
        <v>1.5036241316071679</v>
      </c>
    </row>
    <row r="272" spans="1:22" x14ac:dyDescent="0.3">
      <c r="A272" t="s">
        <v>323</v>
      </c>
      <c r="B272" t="s">
        <v>103</v>
      </c>
      <c r="C272" t="s">
        <v>19</v>
      </c>
      <c r="D272" t="s">
        <v>40</v>
      </c>
      <c r="E272">
        <v>1766927</v>
      </c>
      <c r="F272">
        <v>1421520</v>
      </c>
      <c r="G272">
        <v>4049078</v>
      </c>
      <c r="H272">
        <v>140997</v>
      </c>
      <c r="I272">
        <v>8553</v>
      </c>
      <c r="J272">
        <v>9345</v>
      </c>
      <c r="K272">
        <f t="shared" si="8"/>
        <v>11.177823737970623</v>
      </c>
      <c r="L272">
        <v>260533</v>
      </c>
      <c r="M272">
        <v>303488</v>
      </c>
      <c r="N272">
        <f t="shared" si="9"/>
        <v>16.487354768877648</v>
      </c>
      <c r="O272" s="4">
        <v>45988</v>
      </c>
      <c r="P272" s="4">
        <v>46004</v>
      </c>
      <c r="Q272" t="s">
        <v>47</v>
      </c>
      <c r="R272">
        <f>Table2[[#This Row],[End_Date]]-Table2[[#This Row],[Start_Date]]</f>
        <v>16</v>
      </c>
      <c r="S272" t="str">
        <f>TEXT(Table2[[#This Row],[Start_Date]],"MMM")</f>
        <v>Nov</v>
      </c>
      <c r="T272">
        <f>YEAR(Table2[[#This Row],[Start_Date]])</f>
        <v>2025</v>
      </c>
      <c r="U272">
        <f>Table2[[#This Row],[Campaign_Cost (₹)]]/Table2[[#This Row],[Reach]]</f>
        <v>0.1832777590185154</v>
      </c>
      <c r="V272">
        <f>Table2[[#This Row],[Revenue_Generated (₹)]]/Table2[[#This Row],[Reach]]</f>
        <v>0.21349541336034666</v>
      </c>
    </row>
    <row r="273" spans="1:22" x14ac:dyDescent="0.3">
      <c r="A273" t="s">
        <v>324</v>
      </c>
      <c r="B273" t="s">
        <v>49</v>
      </c>
      <c r="C273" t="s">
        <v>43</v>
      </c>
      <c r="D273" t="s">
        <v>24</v>
      </c>
      <c r="E273">
        <v>895840</v>
      </c>
      <c r="F273">
        <v>259313</v>
      </c>
      <c r="G273">
        <v>692175</v>
      </c>
      <c r="H273">
        <v>21030</v>
      </c>
      <c r="I273">
        <v>1532</v>
      </c>
      <c r="J273">
        <v>1583</v>
      </c>
      <c r="K273">
        <f t="shared" si="8"/>
        <v>9.3111413619833954</v>
      </c>
      <c r="L273">
        <v>120413</v>
      </c>
      <c r="M273">
        <v>346374</v>
      </c>
      <c r="N273">
        <f t="shared" si="9"/>
        <v>187.65498741830203</v>
      </c>
      <c r="O273" s="4">
        <v>46088</v>
      </c>
      <c r="P273" s="4">
        <v>46100</v>
      </c>
      <c r="Q273" t="s">
        <v>30</v>
      </c>
      <c r="R273">
        <f>Table2[[#This Row],[End_Date]]-Table2[[#This Row],[Start_Date]]</f>
        <v>12</v>
      </c>
      <c r="S273" t="str">
        <f>TEXT(Table2[[#This Row],[Start_Date]],"MMM")</f>
        <v>Mar</v>
      </c>
      <c r="T273">
        <f>YEAR(Table2[[#This Row],[Start_Date]])</f>
        <v>2026</v>
      </c>
      <c r="U273">
        <f>Table2[[#This Row],[Campaign_Cost (₹)]]/Table2[[#This Row],[Reach]]</f>
        <v>0.46435388892959473</v>
      </c>
      <c r="V273">
        <f>Table2[[#This Row],[Revenue_Generated (₹)]]/Table2[[#This Row],[Reach]]</f>
        <v>1.3357371207768218</v>
      </c>
    </row>
    <row r="274" spans="1:22" x14ac:dyDescent="0.3">
      <c r="A274" t="s">
        <v>325</v>
      </c>
      <c r="B274" t="s">
        <v>45</v>
      </c>
      <c r="C274" t="s">
        <v>43</v>
      </c>
      <c r="D274" t="s">
        <v>40</v>
      </c>
      <c r="E274">
        <v>715760</v>
      </c>
      <c r="F274">
        <v>307142</v>
      </c>
      <c r="G274">
        <v>433421</v>
      </c>
      <c r="H274">
        <v>9867</v>
      </c>
      <c r="I274">
        <v>526</v>
      </c>
      <c r="J274">
        <v>247</v>
      </c>
      <c r="K274">
        <f t="shared" si="8"/>
        <v>3.4641957140345507</v>
      </c>
      <c r="L274">
        <v>84900</v>
      </c>
      <c r="M274">
        <v>142287</v>
      </c>
      <c r="N274">
        <f t="shared" si="9"/>
        <v>67.593639575971736</v>
      </c>
      <c r="O274" s="4">
        <v>46047</v>
      </c>
      <c r="P274" s="4">
        <v>46055</v>
      </c>
      <c r="Q274" t="s">
        <v>21</v>
      </c>
      <c r="R274">
        <f>Table2[[#This Row],[End_Date]]-Table2[[#This Row],[Start_Date]]</f>
        <v>8</v>
      </c>
      <c r="S274" t="str">
        <f>TEXT(Table2[[#This Row],[Start_Date]],"MMM")</f>
        <v>Jan</v>
      </c>
      <c r="T274">
        <f>YEAR(Table2[[#This Row],[Start_Date]])</f>
        <v>2026</v>
      </c>
      <c r="U274">
        <f>Table2[[#This Row],[Campaign_Cost (₹)]]/Table2[[#This Row],[Reach]]</f>
        <v>0.27641937605407269</v>
      </c>
      <c r="V274">
        <f>Table2[[#This Row],[Revenue_Generated (₹)]]/Table2[[#This Row],[Reach]]</f>
        <v>0.46326129282221251</v>
      </c>
    </row>
    <row r="275" spans="1:22" x14ac:dyDescent="0.3">
      <c r="A275" t="s">
        <v>326</v>
      </c>
      <c r="B275" t="s">
        <v>53</v>
      </c>
      <c r="C275" t="s">
        <v>37</v>
      </c>
      <c r="D275" t="s">
        <v>20</v>
      </c>
      <c r="E275">
        <v>1720813</v>
      </c>
      <c r="F275">
        <v>1104019</v>
      </c>
      <c r="G275">
        <v>2240544</v>
      </c>
      <c r="H275">
        <v>42452</v>
      </c>
      <c r="I275">
        <v>3606</v>
      </c>
      <c r="J275">
        <v>2028</v>
      </c>
      <c r="K275">
        <f t="shared" si="8"/>
        <v>4.3555409825374385</v>
      </c>
      <c r="L275">
        <v>448049</v>
      </c>
      <c r="M275">
        <v>1248693</v>
      </c>
      <c r="N275">
        <f t="shared" si="9"/>
        <v>178.69563373648865</v>
      </c>
      <c r="O275" s="4">
        <v>45879</v>
      </c>
      <c r="P275" s="4">
        <v>45887</v>
      </c>
      <c r="Q275" t="s">
        <v>21</v>
      </c>
      <c r="R275">
        <f>Table2[[#This Row],[End_Date]]-Table2[[#This Row],[Start_Date]]</f>
        <v>8</v>
      </c>
      <c r="S275" t="str">
        <f>TEXT(Table2[[#This Row],[Start_Date]],"MMM")</f>
        <v>Aug</v>
      </c>
      <c r="T275">
        <f>YEAR(Table2[[#This Row],[Start_Date]])</f>
        <v>2025</v>
      </c>
      <c r="U275">
        <f>Table2[[#This Row],[Campaign_Cost (₹)]]/Table2[[#This Row],[Reach]]</f>
        <v>0.40583450103666696</v>
      </c>
      <c r="V275">
        <f>Table2[[#This Row],[Revenue_Generated (₹)]]/Table2[[#This Row],[Reach]]</f>
        <v>1.1310430345854554</v>
      </c>
    </row>
    <row r="276" spans="1:22" x14ac:dyDescent="0.3">
      <c r="A276" t="s">
        <v>327</v>
      </c>
      <c r="B276" t="s">
        <v>45</v>
      </c>
      <c r="C276" t="s">
        <v>19</v>
      </c>
      <c r="D276" t="s">
        <v>20</v>
      </c>
      <c r="E276">
        <v>142461</v>
      </c>
      <c r="F276">
        <v>126649</v>
      </c>
      <c r="G276">
        <v>311066</v>
      </c>
      <c r="H276">
        <v>5431</v>
      </c>
      <c r="I276">
        <v>529</v>
      </c>
      <c r="J276">
        <v>430</v>
      </c>
      <c r="K276">
        <f t="shared" si="8"/>
        <v>5.0454405482869982</v>
      </c>
      <c r="L276">
        <v>498366</v>
      </c>
      <c r="M276">
        <v>1075609</v>
      </c>
      <c r="N276">
        <f t="shared" si="9"/>
        <v>115.82712303808846</v>
      </c>
      <c r="O276" s="4">
        <v>45846</v>
      </c>
      <c r="P276" s="4">
        <v>45868</v>
      </c>
      <c r="Q276" t="s">
        <v>54</v>
      </c>
      <c r="R276">
        <f>Table2[[#This Row],[End_Date]]-Table2[[#This Row],[Start_Date]]</f>
        <v>22</v>
      </c>
      <c r="S276" t="str">
        <f>TEXT(Table2[[#This Row],[Start_Date]],"MMM")</f>
        <v>Jul</v>
      </c>
      <c r="T276">
        <f>YEAR(Table2[[#This Row],[Start_Date]])</f>
        <v>2025</v>
      </c>
      <c r="U276">
        <f>Table2[[#This Row],[Campaign_Cost (₹)]]/Table2[[#This Row],[Reach]]</f>
        <v>3.9350172524062565</v>
      </c>
      <c r="V276">
        <f>Table2[[#This Row],[Revenue_Generated (₹)]]/Table2[[#This Row],[Reach]]</f>
        <v>8.4928345269208592</v>
      </c>
    </row>
    <row r="277" spans="1:22" x14ac:dyDescent="0.3">
      <c r="A277" t="s">
        <v>328</v>
      </c>
      <c r="B277" t="s">
        <v>45</v>
      </c>
      <c r="C277" t="s">
        <v>19</v>
      </c>
      <c r="D277" t="s">
        <v>24</v>
      </c>
      <c r="E277">
        <v>616332</v>
      </c>
      <c r="F277">
        <v>268023</v>
      </c>
      <c r="G277">
        <v>312067</v>
      </c>
      <c r="H277">
        <v>27430</v>
      </c>
      <c r="I277">
        <v>1357</v>
      </c>
      <c r="J277">
        <v>2325</v>
      </c>
      <c r="K277">
        <f t="shared" si="8"/>
        <v>11.607959018442447</v>
      </c>
      <c r="L277">
        <v>57179</v>
      </c>
      <c r="M277">
        <v>233990</v>
      </c>
      <c r="N277">
        <f t="shared" si="9"/>
        <v>309.22366603123527</v>
      </c>
      <c r="O277" s="4">
        <v>45937</v>
      </c>
      <c r="P277" s="4">
        <v>45966</v>
      </c>
      <c r="Q277" t="s">
        <v>41</v>
      </c>
      <c r="R277">
        <f>Table2[[#This Row],[End_Date]]-Table2[[#This Row],[Start_Date]]</f>
        <v>29</v>
      </c>
      <c r="S277" t="str">
        <f>TEXT(Table2[[#This Row],[Start_Date]],"MMM")</f>
        <v>Oct</v>
      </c>
      <c r="T277">
        <f>YEAR(Table2[[#This Row],[Start_Date]])</f>
        <v>2025</v>
      </c>
      <c r="U277">
        <f>Table2[[#This Row],[Campaign_Cost (₹)]]/Table2[[#This Row],[Reach]]</f>
        <v>0.21333616891087706</v>
      </c>
      <c r="V277">
        <f>Table2[[#This Row],[Revenue_Generated (₹)]]/Table2[[#This Row],[Reach]]</f>
        <v>0.87302209138767939</v>
      </c>
    </row>
    <row r="278" spans="1:22" x14ac:dyDescent="0.3">
      <c r="A278" t="s">
        <v>329</v>
      </c>
      <c r="B278" t="s">
        <v>61</v>
      </c>
      <c r="C278" t="s">
        <v>43</v>
      </c>
      <c r="D278" t="s">
        <v>29</v>
      </c>
      <c r="E278">
        <v>605640</v>
      </c>
      <c r="F278">
        <v>417434</v>
      </c>
      <c r="G278">
        <v>1000177</v>
      </c>
      <c r="H278">
        <v>24764</v>
      </c>
      <c r="I278">
        <v>3407</v>
      </c>
      <c r="J278">
        <v>1815</v>
      </c>
      <c r="K278">
        <f t="shared" si="8"/>
        <v>7.1834110302466971</v>
      </c>
      <c r="L278">
        <v>175956</v>
      </c>
      <c r="M278">
        <v>606696</v>
      </c>
      <c r="N278">
        <f t="shared" si="9"/>
        <v>244.79983632271703</v>
      </c>
      <c r="O278" s="4">
        <v>45721</v>
      </c>
      <c r="P278" s="4">
        <v>45729</v>
      </c>
      <c r="Q278" t="s">
        <v>21</v>
      </c>
      <c r="R278">
        <f>Table2[[#This Row],[End_Date]]-Table2[[#This Row],[Start_Date]]</f>
        <v>8</v>
      </c>
      <c r="S278" t="str">
        <f>TEXT(Table2[[#This Row],[Start_Date]],"MMM")</f>
        <v>Mar</v>
      </c>
      <c r="T278">
        <f>YEAR(Table2[[#This Row],[Start_Date]])</f>
        <v>2025</v>
      </c>
      <c r="U278">
        <f>Table2[[#This Row],[Campaign_Cost (₹)]]/Table2[[#This Row],[Reach]]</f>
        <v>0.42151813220772627</v>
      </c>
      <c r="V278">
        <f>Table2[[#This Row],[Revenue_Generated (₹)]]/Table2[[#This Row],[Reach]]</f>
        <v>1.4533938299228142</v>
      </c>
    </row>
    <row r="279" spans="1:22" x14ac:dyDescent="0.3">
      <c r="A279" t="s">
        <v>330</v>
      </c>
      <c r="B279" t="s">
        <v>80</v>
      </c>
      <c r="C279" t="s">
        <v>33</v>
      </c>
      <c r="D279" t="s">
        <v>46</v>
      </c>
      <c r="E279">
        <v>546833</v>
      </c>
      <c r="F279">
        <v>310460</v>
      </c>
      <c r="G279">
        <v>572488</v>
      </c>
      <c r="H279">
        <v>22587</v>
      </c>
      <c r="I279">
        <v>1420</v>
      </c>
      <c r="J279">
        <v>1431</v>
      </c>
      <c r="K279">
        <f t="shared" si="8"/>
        <v>8.1936481350254464</v>
      </c>
      <c r="L279">
        <v>352943</v>
      </c>
      <c r="M279">
        <v>636717</v>
      </c>
      <c r="N279">
        <f t="shared" si="9"/>
        <v>80.402217921874069</v>
      </c>
      <c r="O279" s="4">
        <v>46081</v>
      </c>
      <c r="P279" s="4">
        <v>46089</v>
      </c>
      <c r="Q279" t="s">
        <v>47</v>
      </c>
      <c r="R279">
        <f>Table2[[#This Row],[End_Date]]-Table2[[#This Row],[Start_Date]]</f>
        <v>8</v>
      </c>
      <c r="S279" t="str">
        <f>TEXT(Table2[[#This Row],[Start_Date]],"MMM")</f>
        <v>Feb</v>
      </c>
      <c r="T279">
        <f>YEAR(Table2[[#This Row],[Start_Date]])</f>
        <v>2026</v>
      </c>
      <c r="U279">
        <f>Table2[[#This Row],[Campaign_Cost (₹)]]/Table2[[#This Row],[Reach]]</f>
        <v>1.1368388842362944</v>
      </c>
      <c r="V279">
        <f>Table2[[#This Row],[Revenue_Generated (₹)]]/Table2[[#This Row],[Reach]]</f>
        <v>2.0508825613605617</v>
      </c>
    </row>
    <row r="280" spans="1:22" x14ac:dyDescent="0.3">
      <c r="A280" t="s">
        <v>331</v>
      </c>
      <c r="B280" t="s">
        <v>32</v>
      </c>
      <c r="C280" t="s">
        <v>28</v>
      </c>
      <c r="D280" t="s">
        <v>46</v>
      </c>
      <c r="E280">
        <v>1695113</v>
      </c>
      <c r="F280">
        <v>1154813</v>
      </c>
      <c r="G280">
        <v>2860102</v>
      </c>
      <c r="H280">
        <v>132533</v>
      </c>
      <c r="I280">
        <v>7106</v>
      </c>
      <c r="J280">
        <v>8050</v>
      </c>
      <c r="K280">
        <f t="shared" si="8"/>
        <v>12.788997006441734</v>
      </c>
      <c r="L280">
        <v>351920</v>
      </c>
      <c r="M280">
        <v>1613412</v>
      </c>
      <c r="N280">
        <f t="shared" si="9"/>
        <v>358.45987724482836</v>
      </c>
      <c r="O280" s="4">
        <v>45783</v>
      </c>
      <c r="P280" s="4">
        <v>45809</v>
      </c>
      <c r="Q280" t="s">
        <v>41</v>
      </c>
      <c r="R280">
        <f>Table2[[#This Row],[End_Date]]-Table2[[#This Row],[Start_Date]]</f>
        <v>26</v>
      </c>
      <c r="S280" t="str">
        <f>TEXT(Table2[[#This Row],[Start_Date]],"MMM")</f>
        <v>May</v>
      </c>
      <c r="T280">
        <f>YEAR(Table2[[#This Row],[Start_Date]])</f>
        <v>2025</v>
      </c>
      <c r="U280">
        <f>Table2[[#This Row],[Campaign_Cost (₹)]]/Table2[[#This Row],[Reach]]</f>
        <v>0.30474197987033397</v>
      </c>
      <c r="V280">
        <f>Table2[[#This Row],[Revenue_Generated (₹)]]/Table2[[#This Row],[Reach]]</f>
        <v>1.3971197068269927</v>
      </c>
    </row>
    <row r="281" spans="1:22" x14ac:dyDescent="0.3">
      <c r="A281" t="s">
        <v>332</v>
      </c>
      <c r="B281" t="s">
        <v>18</v>
      </c>
      <c r="C281" t="s">
        <v>33</v>
      </c>
      <c r="D281" t="s">
        <v>40</v>
      </c>
      <c r="E281">
        <v>1261302</v>
      </c>
      <c r="F281">
        <v>728514</v>
      </c>
      <c r="G281">
        <v>2173175</v>
      </c>
      <c r="H281">
        <v>59468</v>
      </c>
      <c r="I281">
        <v>7220</v>
      </c>
      <c r="J281">
        <v>5880</v>
      </c>
      <c r="K281">
        <f t="shared" si="8"/>
        <v>9.9610988944618768</v>
      </c>
      <c r="L281">
        <v>458267</v>
      </c>
      <c r="M281">
        <v>2180897</v>
      </c>
      <c r="N281">
        <f t="shared" si="9"/>
        <v>375.90094857364812</v>
      </c>
      <c r="O281" s="4">
        <v>46008</v>
      </c>
      <c r="P281" s="4">
        <v>46030</v>
      </c>
      <c r="Q281" t="s">
        <v>21</v>
      </c>
      <c r="R281">
        <f>Table2[[#This Row],[End_Date]]-Table2[[#This Row],[Start_Date]]</f>
        <v>22</v>
      </c>
      <c r="S281" t="str">
        <f>TEXT(Table2[[#This Row],[Start_Date]],"MMM")</f>
        <v>Dec</v>
      </c>
      <c r="T281">
        <f>YEAR(Table2[[#This Row],[Start_Date]])</f>
        <v>2025</v>
      </c>
      <c r="U281">
        <f>Table2[[#This Row],[Campaign_Cost (₹)]]/Table2[[#This Row],[Reach]]</f>
        <v>0.62904350499784489</v>
      </c>
      <c r="V281">
        <f>Table2[[#This Row],[Revenue_Generated (₹)]]/Table2[[#This Row],[Reach]]</f>
        <v>2.9936240072256677</v>
      </c>
    </row>
    <row r="282" spans="1:22" x14ac:dyDescent="0.3">
      <c r="A282" t="s">
        <v>333</v>
      </c>
      <c r="B282" t="s">
        <v>45</v>
      </c>
      <c r="C282" t="s">
        <v>19</v>
      </c>
      <c r="D282" t="s">
        <v>20</v>
      </c>
      <c r="E282">
        <v>265102</v>
      </c>
      <c r="F282">
        <v>205728</v>
      </c>
      <c r="G282">
        <v>399116</v>
      </c>
      <c r="H282">
        <v>17831</v>
      </c>
      <c r="I282">
        <v>1819</v>
      </c>
      <c r="J282">
        <v>1467</v>
      </c>
      <c r="K282">
        <f t="shared" si="8"/>
        <v>10.264524031731218</v>
      </c>
      <c r="L282">
        <v>228752</v>
      </c>
      <c r="M282">
        <v>434784</v>
      </c>
      <c r="N282">
        <f t="shared" si="9"/>
        <v>90.067846401342948</v>
      </c>
      <c r="O282" s="4">
        <v>45889</v>
      </c>
      <c r="P282" s="4">
        <v>45913</v>
      </c>
      <c r="Q282" t="s">
        <v>34</v>
      </c>
      <c r="R282">
        <f>Table2[[#This Row],[End_Date]]-Table2[[#This Row],[Start_Date]]</f>
        <v>24</v>
      </c>
      <c r="S282" t="str">
        <f>TEXT(Table2[[#This Row],[Start_Date]],"MMM")</f>
        <v>Aug</v>
      </c>
      <c r="T282">
        <f>YEAR(Table2[[#This Row],[Start_Date]])</f>
        <v>2025</v>
      </c>
      <c r="U282">
        <f>Table2[[#This Row],[Campaign_Cost (₹)]]/Table2[[#This Row],[Reach]]</f>
        <v>1.1119147612381397</v>
      </c>
      <c r="V282">
        <f>Table2[[#This Row],[Revenue_Generated (₹)]]/Table2[[#This Row],[Reach]]</f>
        <v>2.1133924405039664</v>
      </c>
    </row>
    <row r="283" spans="1:22" x14ac:dyDescent="0.3">
      <c r="A283" t="s">
        <v>334</v>
      </c>
      <c r="B283" t="s">
        <v>80</v>
      </c>
      <c r="C283" t="s">
        <v>33</v>
      </c>
      <c r="D283" t="s">
        <v>29</v>
      </c>
      <c r="E283">
        <v>1066284</v>
      </c>
      <c r="F283">
        <v>279535</v>
      </c>
      <c r="G283">
        <v>701368</v>
      </c>
      <c r="H283">
        <v>11628</v>
      </c>
      <c r="I283">
        <v>939</v>
      </c>
      <c r="J283">
        <v>336</v>
      </c>
      <c r="K283">
        <f t="shared" si="8"/>
        <v>4.6158799434775615</v>
      </c>
      <c r="L283">
        <v>134085</v>
      </c>
      <c r="M283">
        <v>502898</v>
      </c>
      <c r="N283">
        <f t="shared" si="9"/>
        <v>275.05910429951149</v>
      </c>
      <c r="O283" s="4">
        <v>45931</v>
      </c>
      <c r="P283" s="4">
        <v>45944</v>
      </c>
      <c r="Q283" t="s">
        <v>41</v>
      </c>
      <c r="R283">
        <f>Table2[[#This Row],[End_Date]]-Table2[[#This Row],[Start_Date]]</f>
        <v>13</v>
      </c>
      <c r="S283" t="str">
        <f>TEXT(Table2[[#This Row],[Start_Date]],"MMM")</f>
        <v>Oct</v>
      </c>
      <c r="T283">
        <f>YEAR(Table2[[#This Row],[Start_Date]])</f>
        <v>2025</v>
      </c>
      <c r="U283">
        <f>Table2[[#This Row],[Campaign_Cost (₹)]]/Table2[[#This Row],[Reach]]</f>
        <v>0.4796715974743771</v>
      </c>
      <c r="V283">
        <f>Table2[[#This Row],[Revenue_Generated (₹)]]/Table2[[#This Row],[Reach]]</f>
        <v>1.7990519970665571</v>
      </c>
    </row>
    <row r="284" spans="1:22" x14ac:dyDescent="0.3">
      <c r="A284" t="s">
        <v>335</v>
      </c>
      <c r="B284" t="s">
        <v>61</v>
      </c>
      <c r="C284" t="s">
        <v>43</v>
      </c>
      <c r="D284" t="s">
        <v>51</v>
      </c>
      <c r="E284">
        <v>720138</v>
      </c>
      <c r="F284">
        <v>334862</v>
      </c>
      <c r="G284">
        <v>891394</v>
      </c>
      <c r="H284">
        <v>21546</v>
      </c>
      <c r="I284">
        <v>1502</v>
      </c>
      <c r="J284">
        <v>1067</v>
      </c>
      <c r="K284">
        <f t="shared" si="8"/>
        <v>7.2014740400523207</v>
      </c>
      <c r="L284">
        <v>371678</v>
      </c>
      <c r="M284">
        <v>1366949</v>
      </c>
      <c r="N284">
        <f t="shared" si="9"/>
        <v>267.77775386221407</v>
      </c>
      <c r="O284" s="4">
        <v>45867</v>
      </c>
      <c r="P284" s="4">
        <v>45889</v>
      </c>
      <c r="Q284" t="s">
        <v>21</v>
      </c>
      <c r="R284">
        <f>Table2[[#This Row],[End_Date]]-Table2[[#This Row],[Start_Date]]</f>
        <v>22</v>
      </c>
      <c r="S284" t="str">
        <f>TEXT(Table2[[#This Row],[Start_Date]],"MMM")</f>
        <v>Jul</v>
      </c>
      <c r="T284">
        <f>YEAR(Table2[[#This Row],[Start_Date]])</f>
        <v>2025</v>
      </c>
      <c r="U284">
        <f>Table2[[#This Row],[Campaign_Cost (₹)]]/Table2[[#This Row],[Reach]]</f>
        <v>1.109943797743548</v>
      </c>
      <c r="V284">
        <f>Table2[[#This Row],[Revenue_Generated (₹)]]/Table2[[#This Row],[Reach]]</f>
        <v>4.0821263684741771</v>
      </c>
    </row>
    <row r="285" spans="1:22" x14ac:dyDescent="0.3">
      <c r="A285" t="s">
        <v>336</v>
      </c>
      <c r="B285" t="s">
        <v>49</v>
      </c>
      <c r="C285" t="s">
        <v>43</v>
      </c>
      <c r="D285" t="s">
        <v>24</v>
      </c>
      <c r="E285">
        <v>1364101</v>
      </c>
      <c r="F285">
        <v>1047931</v>
      </c>
      <c r="G285">
        <v>2500684</v>
      </c>
      <c r="H285">
        <v>118218</v>
      </c>
      <c r="I285">
        <v>4198</v>
      </c>
      <c r="J285">
        <v>8265</v>
      </c>
      <c r="K285">
        <f t="shared" si="8"/>
        <v>12.470382114852981</v>
      </c>
      <c r="L285">
        <v>179242</v>
      </c>
      <c r="M285">
        <v>390576</v>
      </c>
      <c r="N285">
        <f t="shared" si="9"/>
        <v>117.90428582586669</v>
      </c>
      <c r="O285" s="4">
        <v>46113</v>
      </c>
      <c r="P285" s="4">
        <v>46131</v>
      </c>
      <c r="Q285" t="s">
        <v>34</v>
      </c>
      <c r="R285">
        <f>Table2[[#This Row],[End_Date]]-Table2[[#This Row],[Start_Date]]</f>
        <v>18</v>
      </c>
      <c r="S285" t="str">
        <f>TEXT(Table2[[#This Row],[Start_Date]],"MMM")</f>
        <v>Apr</v>
      </c>
      <c r="T285">
        <f>YEAR(Table2[[#This Row],[Start_Date]])</f>
        <v>2026</v>
      </c>
      <c r="U285">
        <f>Table2[[#This Row],[Campaign_Cost (₹)]]/Table2[[#This Row],[Reach]]</f>
        <v>0.17104370421334991</v>
      </c>
      <c r="V285">
        <f>Table2[[#This Row],[Revenue_Generated (₹)]]/Table2[[#This Row],[Reach]]</f>
        <v>0.37271156211620804</v>
      </c>
    </row>
    <row r="286" spans="1:22" x14ac:dyDescent="0.3">
      <c r="A286" t="s">
        <v>337</v>
      </c>
      <c r="B286" t="s">
        <v>53</v>
      </c>
      <c r="C286" t="s">
        <v>37</v>
      </c>
      <c r="D286" t="s">
        <v>58</v>
      </c>
      <c r="E286">
        <v>1385607</v>
      </c>
      <c r="F286">
        <v>682239</v>
      </c>
      <c r="G286">
        <v>1237943</v>
      </c>
      <c r="H286">
        <v>20977</v>
      </c>
      <c r="I286">
        <v>1933</v>
      </c>
      <c r="J286">
        <v>1201</v>
      </c>
      <c r="K286">
        <f t="shared" si="8"/>
        <v>3.5340987542488773</v>
      </c>
      <c r="L286">
        <v>405457</v>
      </c>
      <c r="M286">
        <v>638939</v>
      </c>
      <c r="N286">
        <f t="shared" si="9"/>
        <v>57.584898028644218</v>
      </c>
      <c r="O286" s="4">
        <v>45778</v>
      </c>
      <c r="P286" s="4">
        <v>45791</v>
      </c>
      <c r="Q286" t="s">
        <v>54</v>
      </c>
      <c r="R286">
        <f>Table2[[#This Row],[End_Date]]-Table2[[#This Row],[Start_Date]]</f>
        <v>13</v>
      </c>
      <c r="S286" t="str">
        <f>TEXT(Table2[[#This Row],[Start_Date]],"MMM")</f>
        <v>May</v>
      </c>
      <c r="T286">
        <f>YEAR(Table2[[#This Row],[Start_Date]])</f>
        <v>2025</v>
      </c>
      <c r="U286">
        <f>Table2[[#This Row],[Campaign_Cost (₹)]]/Table2[[#This Row],[Reach]]</f>
        <v>0.59430346256956867</v>
      </c>
      <c r="V286">
        <f>Table2[[#This Row],[Revenue_Generated (₹)]]/Table2[[#This Row],[Reach]]</f>
        <v>0.93653250547095668</v>
      </c>
    </row>
    <row r="287" spans="1:22" x14ac:dyDescent="0.3">
      <c r="A287" t="s">
        <v>338</v>
      </c>
      <c r="B287" t="s">
        <v>32</v>
      </c>
      <c r="C287" t="s">
        <v>33</v>
      </c>
      <c r="D287" t="s">
        <v>58</v>
      </c>
      <c r="E287">
        <v>829507</v>
      </c>
      <c r="F287">
        <v>562959</v>
      </c>
      <c r="G287">
        <v>684300</v>
      </c>
      <c r="H287">
        <v>82498</v>
      </c>
      <c r="I287">
        <v>8503</v>
      </c>
      <c r="J287">
        <v>2634</v>
      </c>
      <c r="K287">
        <f t="shared" si="8"/>
        <v>16.632649979838675</v>
      </c>
      <c r="L287">
        <v>316834</v>
      </c>
      <c r="M287">
        <v>1405827</v>
      </c>
      <c r="N287">
        <f t="shared" si="9"/>
        <v>343.71090223902735</v>
      </c>
      <c r="O287" s="4">
        <v>46074</v>
      </c>
      <c r="P287" s="4">
        <v>46087</v>
      </c>
      <c r="Q287" t="s">
        <v>41</v>
      </c>
      <c r="R287">
        <f>Table2[[#This Row],[End_Date]]-Table2[[#This Row],[Start_Date]]</f>
        <v>13</v>
      </c>
      <c r="S287" t="str">
        <f>TEXT(Table2[[#This Row],[Start_Date]],"MMM")</f>
        <v>Feb</v>
      </c>
      <c r="T287">
        <f>YEAR(Table2[[#This Row],[Start_Date]])</f>
        <v>2026</v>
      </c>
      <c r="U287">
        <f>Table2[[#This Row],[Campaign_Cost (₹)]]/Table2[[#This Row],[Reach]]</f>
        <v>0.56280119866633271</v>
      </c>
      <c r="V287">
        <f>Table2[[#This Row],[Revenue_Generated (₹)]]/Table2[[#This Row],[Reach]]</f>
        <v>2.4972102764144459</v>
      </c>
    </row>
    <row r="288" spans="1:22" x14ac:dyDescent="0.3">
      <c r="A288" t="s">
        <v>339</v>
      </c>
      <c r="B288" t="s">
        <v>57</v>
      </c>
      <c r="C288" t="s">
        <v>37</v>
      </c>
      <c r="D288" t="s">
        <v>20</v>
      </c>
      <c r="E288">
        <v>487343</v>
      </c>
      <c r="F288">
        <v>344680</v>
      </c>
      <c r="G288">
        <v>600393</v>
      </c>
      <c r="H288">
        <v>17555</v>
      </c>
      <c r="I288">
        <v>1986</v>
      </c>
      <c r="J288">
        <v>1701</v>
      </c>
      <c r="K288">
        <f t="shared" si="8"/>
        <v>6.1628176859695953</v>
      </c>
      <c r="L288">
        <v>61348</v>
      </c>
      <c r="M288">
        <v>250298</v>
      </c>
      <c r="N288">
        <f t="shared" si="9"/>
        <v>307.99700071721981</v>
      </c>
      <c r="O288" s="4">
        <v>45827</v>
      </c>
      <c r="P288" s="4">
        <v>45849</v>
      </c>
      <c r="Q288" t="s">
        <v>25</v>
      </c>
      <c r="R288">
        <f>Table2[[#This Row],[End_Date]]-Table2[[#This Row],[Start_Date]]</f>
        <v>22</v>
      </c>
      <c r="S288" t="str">
        <f>TEXT(Table2[[#This Row],[Start_Date]],"MMM")</f>
        <v>Jun</v>
      </c>
      <c r="T288">
        <f>YEAR(Table2[[#This Row],[Start_Date]])</f>
        <v>2025</v>
      </c>
      <c r="U288">
        <f>Table2[[#This Row],[Campaign_Cost (₹)]]/Table2[[#This Row],[Reach]]</f>
        <v>0.17798537774167345</v>
      </c>
      <c r="V288">
        <f>Table2[[#This Row],[Revenue_Generated (₹)]]/Table2[[#This Row],[Reach]]</f>
        <v>0.72617500290124171</v>
      </c>
    </row>
    <row r="289" spans="1:22" x14ac:dyDescent="0.3">
      <c r="A289" t="s">
        <v>340</v>
      </c>
      <c r="B289" t="s">
        <v>18</v>
      </c>
      <c r="C289" t="s">
        <v>33</v>
      </c>
      <c r="D289" t="s">
        <v>29</v>
      </c>
      <c r="E289">
        <v>536995</v>
      </c>
      <c r="F289">
        <v>294529</v>
      </c>
      <c r="G289">
        <v>798540</v>
      </c>
      <c r="H289">
        <v>30421</v>
      </c>
      <c r="I289">
        <v>3426</v>
      </c>
      <c r="J289">
        <v>1194</v>
      </c>
      <c r="K289">
        <f t="shared" si="8"/>
        <v>11.897300435610756</v>
      </c>
      <c r="L289">
        <v>55353</v>
      </c>
      <c r="M289">
        <v>129418</v>
      </c>
      <c r="N289">
        <f t="shared" si="9"/>
        <v>133.80485249218651</v>
      </c>
      <c r="O289" s="4">
        <v>45882</v>
      </c>
      <c r="P289" s="4">
        <v>45900</v>
      </c>
      <c r="Q289" t="s">
        <v>78</v>
      </c>
      <c r="R289">
        <f>Table2[[#This Row],[End_Date]]-Table2[[#This Row],[Start_Date]]</f>
        <v>18</v>
      </c>
      <c r="S289" t="str">
        <f>TEXT(Table2[[#This Row],[Start_Date]],"MMM")</f>
        <v>Aug</v>
      </c>
      <c r="T289">
        <f>YEAR(Table2[[#This Row],[Start_Date]])</f>
        <v>2025</v>
      </c>
      <c r="U289">
        <f>Table2[[#This Row],[Campaign_Cost (₹)]]/Table2[[#This Row],[Reach]]</f>
        <v>0.18793735082114155</v>
      </c>
      <c r="V289">
        <f>Table2[[#This Row],[Revenue_Generated (₹)]]/Table2[[#This Row],[Reach]]</f>
        <v>0.43940664586509309</v>
      </c>
    </row>
    <row r="290" spans="1:22" x14ac:dyDescent="0.3">
      <c r="A290" t="s">
        <v>341</v>
      </c>
      <c r="B290" t="s">
        <v>36</v>
      </c>
      <c r="C290" t="s">
        <v>19</v>
      </c>
      <c r="D290" t="s">
        <v>29</v>
      </c>
      <c r="E290">
        <v>1480293</v>
      </c>
      <c r="F290">
        <v>1221336</v>
      </c>
      <c r="G290">
        <v>2729978</v>
      </c>
      <c r="H290">
        <v>103253</v>
      </c>
      <c r="I290">
        <v>5742</v>
      </c>
      <c r="J290">
        <v>9245</v>
      </c>
      <c r="K290">
        <f t="shared" si="8"/>
        <v>9.6812015694288878</v>
      </c>
      <c r="L290">
        <v>12531</v>
      </c>
      <c r="M290">
        <v>45347</v>
      </c>
      <c r="N290">
        <f t="shared" si="9"/>
        <v>261.87854121777991</v>
      </c>
      <c r="O290" s="4">
        <v>46075</v>
      </c>
      <c r="P290" s="4">
        <v>46090</v>
      </c>
      <c r="Q290" t="s">
        <v>47</v>
      </c>
      <c r="R290">
        <f>Table2[[#This Row],[End_Date]]-Table2[[#This Row],[Start_Date]]</f>
        <v>15</v>
      </c>
      <c r="S290" t="str">
        <f>TEXT(Table2[[#This Row],[Start_Date]],"MMM")</f>
        <v>Feb</v>
      </c>
      <c r="T290">
        <f>YEAR(Table2[[#This Row],[Start_Date]])</f>
        <v>2026</v>
      </c>
      <c r="U290">
        <f>Table2[[#This Row],[Campaign_Cost (₹)]]/Table2[[#This Row],[Reach]]</f>
        <v>1.0260075851362771E-2</v>
      </c>
      <c r="V290">
        <f>Table2[[#This Row],[Revenue_Generated (₹)]]/Table2[[#This Row],[Reach]]</f>
        <v>3.7129012818749307E-2</v>
      </c>
    </row>
    <row r="291" spans="1:22" x14ac:dyDescent="0.3">
      <c r="A291" t="s">
        <v>342</v>
      </c>
      <c r="B291" t="s">
        <v>27</v>
      </c>
      <c r="C291" t="s">
        <v>37</v>
      </c>
      <c r="D291" t="s">
        <v>51</v>
      </c>
      <c r="E291">
        <v>1574368</v>
      </c>
      <c r="F291">
        <v>1193124</v>
      </c>
      <c r="G291">
        <v>2768635</v>
      </c>
      <c r="H291">
        <v>103577</v>
      </c>
      <c r="I291">
        <v>9320</v>
      </c>
      <c r="J291">
        <v>5057</v>
      </c>
      <c r="K291">
        <f t="shared" si="8"/>
        <v>9.8861476258963865</v>
      </c>
      <c r="L291">
        <v>66174</v>
      </c>
      <c r="M291">
        <v>289446</v>
      </c>
      <c r="N291">
        <f t="shared" si="9"/>
        <v>337.40139631879589</v>
      </c>
      <c r="O291" s="4">
        <v>45689</v>
      </c>
      <c r="P291" s="4">
        <v>45719</v>
      </c>
      <c r="Q291" t="s">
        <v>21</v>
      </c>
      <c r="R291">
        <f>Table2[[#This Row],[End_Date]]-Table2[[#This Row],[Start_Date]]</f>
        <v>30</v>
      </c>
      <c r="S291" t="str">
        <f>TEXT(Table2[[#This Row],[Start_Date]],"MMM")</f>
        <v>Feb</v>
      </c>
      <c r="T291">
        <f>YEAR(Table2[[#This Row],[Start_Date]])</f>
        <v>2025</v>
      </c>
      <c r="U291">
        <f>Table2[[#This Row],[Campaign_Cost (₹)]]/Table2[[#This Row],[Reach]]</f>
        <v>5.5462801854627014E-2</v>
      </c>
      <c r="V291">
        <f>Table2[[#This Row],[Revenue_Generated (₹)]]/Table2[[#This Row],[Reach]]</f>
        <v>0.24259506974966558</v>
      </c>
    </row>
    <row r="292" spans="1:22" x14ac:dyDescent="0.3">
      <c r="A292" t="s">
        <v>343</v>
      </c>
      <c r="B292" t="s">
        <v>63</v>
      </c>
      <c r="C292" t="s">
        <v>19</v>
      </c>
      <c r="D292" t="s">
        <v>20</v>
      </c>
      <c r="E292">
        <v>158601</v>
      </c>
      <c r="F292">
        <v>58542</v>
      </c>
      <c r="G292">
        <v>134759</v>
      </c>
      <c r="H292">
        <v>3529</v>
      </c>
      <c r="I292">
        <v>106</v>
      </c>
      <c r="J292">
        <v>224</v>
      </c>
      <c r="K292">
        <f t="shared" si="8"/>
        <v>6.5918485873390038</v>
      </c>
      <c r="L292">
        <v>236564</v>
      </c>
      <c r="M292">
        <v>507338</v>
      </c>
      <c r="N292">
        <f t="shared" si="9"/>
        <v>114.4612028880134</v>
      </c>
      <c r="O292" s="4">
        <v>45911</v>
      </c>
      <c r="P292" s="4">
        <v>45938</v>
      </c>
      <c r="Q292" t="s">
        <v>34</v>
      </c>
      <c r="R292">
        <f>Table2[[#This Row],[End_Date]]-Table2[[#This Row],[Start_Date]]</f>
        <v>27</v>
      </c>
      <c r="S292" t="str">
        <f>TEXT(Table2[[#This Row],[Start_Date]],"MMM")</f>
        <v>Sep</v>
      </c>
      <c r="T292">
        <f>YEAR(Table2[[#This Row],[Start_Date]])</f>
        <v>2025</v>
      </c>
      <c r="U292">
        <f>Table2[[#This Row],[Campaign_Cost (₹)]]/Table2[[#This Row],[Reach]]</f>
        <v>4.0409278808376889</v>
      </c>
      <c r="V292">
        <f>Table2[[#This Row],[Revenue_Generated (₹)]]/Table2[[#This Row],[Reach]]</f>
        <v>8.6662225410816163</v>
      </c>
    </row>
    <row r="293" spans="1:22" x14ac:dyDescent="0.3">
      <c r="A293" t="s">
        <v>344</v>
      </c>
      <c r="B293" t="s">
        <v>45</v>
      </c>
      <c r="C293" t="s">
        <v>33</v>
      </c>
      <c r="D293" t="s">
        <v>29</v>
      </c>
      <c r="E293">
        <v>1344243</v>
      </c>
      <c r="F293">
        <v>982473</v>
      </c>
      <c r="G293">
        <v>2052386</v>
      </c>
      <c r="H293">
        <v>106103</v>
      </c>
      <c r="I293">
        <v>6556</v>
      </c>
      <c r="J293">
        <v>4108</v>
      </c>
      <c r="K293">
        <f t="shared" si="8"/>
        <v>11.88500854476408</v>
      </c>
      <c r="L293">
        <v>298093</v>
      </c>
      <c r="M293">
        <v>506611</v>
      </c>
      <c r="N293">
        <f t="shared" si="9"/>
        <v>69.950652984135814</v>
      </c>
      <c r="O293" s="4">
        <v>46068</v>
      </c>
      <c r="P293" s="4">
        <v>46097</v>
      </c>
      <c r="Q293" t="s">
        <v>47</v>
      </c>
      <c r="R293">
        <f>Table2[[#This Row],[End_Date]]-Table2[[#This Row],[Start_Date]]</f>
        <v>29</v>
      </c>
      <c r="S293" t="str">
        <f>TEXT(Table2[[#This Row],[Start_Date]],"MMM")</f>
        <v>Feb</v>
      </c>
      <c r="T293">
        <f>YEAR(Table2[[#This Row],[Start_Date]])</f>
        <v>2026</v>
      </c>
      <c r="U293">
        <f>Table2[[#This Row],[Campaign_Cost (₹)]]/Table2[[#This Row],[Reach]]</f>
        <v>0.30341088253824788</v>
      </c>
      <c r="V293">
        <f>Table2[[#This Row],[Revenue_Generated (₹)]]/Table2[[#This Row],[Reach]]</f>
        <v>0.51564877609868154</v>
      </c>
    </row>
    <row r="294" spans="1:22" x14ac:dyDescent="0.3">
      <c r="A294" t="s">
        <v>345</v>
      </c>
      <c r="B294" t="s">
        <v>63</v>
      </c>
      <c r="C294" t="s">
        <v>33</v>
      </c>
      <c r="D294" t="s">
        <v>72</v>
      </c>
      <c r="E294">
        <v>375287</v>
      </c>
      <c r="F294">
        <v>288922</v>
      </c>
      <c r="G294">
        <v>546794</v>
      </c>
      <c r="H294">
        <v>42247</v>
      </c>
      <c r="I294">
        <v>3576</v>
      </c>
      <c r="J294">
        <v>2544</v>
      </c>
      <c r="K294">
        <f t="shared" si="8"/>
        <v>16.740504357577475</v>
      </c>
      <c r="L294">
        <v>50879</v>
      </c>
      <c r="M294">
        <v>191167</v>
      </c>
      <c r="N294">
        <f t="shared" si="9"/>
        <v>275.72868963619567</v>
      </c>
      <c r="O294" s="4">
        <v>45710</v>
      </c>
      <c r="P294" s="4">
        <v>45718</v>
      </c>
      <c r="Q294" t="s">
        <v>54</v>
      </c>
      <c r="R294">
        <f>Table2[[#This Row],[End_Date]]-Table2[[#This Row],[Start_Date]]</f>
        <v>8</v>
      </c>
      <c r="S294" t="str">
        <f>TEXT(Table2[[#This Row],[Start_Date]],"MMM")</f>
        <v>Feb</v>
      </c>
      <c r="T294">
        <f>YEAR(Table2[[#This Row],[Start_Date]])</f>
        <v>2025</v>
      </c>
      <c r="U294">
        <f>Table2[[#This Row],[Campaign_Cost (₹)]]/Table2[[#This Row],[Reach]]</f>
        <v>0.17609943168052278</v>
      </c>
      <c r="V294">
        <f>Table2[[#This Row],[Revenue_Generated (₹)]]/Table2[[#This Row],[Reach]]</f>
        <v>0.66165608711001589</v>
      </c>
    </row>
    <row r="295" spans="1:22" x14ac:dyDescent="0.3">
      <c r="A295" t="s">
        <v>346</v>
      </c>
      <c r="B295" t="s">
        <v>49</v>
      </c>
      <c r="C295" t="s">
        <v>28</v>
      </c>
      <c r="D295" t="s">
        <v>72</v>
      </c>
      <c r="E295">
        <v>971975</v>
      </c>
      <c r="F295">
        <v>363868</v>
      </c>
      <c r="G295">
        <v>401820</v>
      </c>
      <c r="H295">
        <v>15796</v>
      </c>
      <c r="I295">
        <v>2148</v>
      </c>
      <c r="J295">
        <v>491</v>
      </c>
      <c r="K295">
        <f t="shared" si="8"/>
        <v>5.0663977046621307</v>
      </c>
      <c r="L295">
        <v>330645</v>
      </c>
      <c r="M295">
        <v>518344</v>
      </c>
      <c r="N295">
        <f t="shared" si="9"/>
        <v>56.767530130502507</v>
      </c>
      <c r="O295" s="4">
        <v>45999</v>
      </c>
      <c r="P295" s="4">
        <v>46015</v>
      </c>
      <c r="Q295" t="s">
        <v>25</v>
      </c>
      <c r="R295">
        <f>Table2[[#This Row],[End_Date]]-Table2[[#This Row],[Start_Date]]</f>
        <v>16</v>
      </c>
      <c r="S295" t="str">
        <f>TEXT(Table2[[#This Row],[Start_Date]],"MMM")</f>
        <v>Dec</v>
      </c>
      <c r="T295">
        <f>YEAR(Table2[[#This Row],[Start_Date]])</f>
        <v>2025</v>
      </c>
      <c r="U295">
        <f>Table2[[#This Row],[Campaign_Cost (₹)]]/Table2[[#This Row],[Reach]]</f>
        <v>0.90869491134147551</v>
      </c>
      <c r="V295">
        <f>Table2[[#This Row],[Revenue_Generated (₹)]]/Table2[[#This Row],[Reach]]</f>
        <v>1.4245385689315906</v>
      </c>
    </row>
    <row r="296" spans="1:22" x14ac:dyDescent="0.3">
      <c r="A296" t="s">
        <v>347</v>
      </c>
      <c r="B296" t="s">
        <v>49</v>
      </c>
      <c r="C296" t="s">
        <v>19</v>
      </c>
      <c r="D296" t="s">
        <v>40</v>
      </c>
      <c r="E296">
        <v>1634818</v>
      </c>
      <c r="F296">
        <v>1129946</v>
      </c>
      <c r="G296">
        <v>1362515</v>
      </c>
      <c r="H296">
        <v>122574</v>
      </c>
      <c r="I296">
        <v>9241</v>
      </c>
      <c r="J296">
        <v>11038</v>
      </c>
      <c r="K296">
        <f t="shared" si="8"/>
        <v>12.642462560157741</v>
      </c>
      <c r="L296">
        <v>117168</v>
      </c>
      <c r="M296">
        <v>529151</v>
      </c>
      <c r="N296">
        <f t="shared" si="9"/>
        <v>351.61733579134238</v>
      </c>
      <c r="O296" s="4">
        <v>45823</v>
      </c>
      <c r="P296" s="4">
        <v>45839</v>
      </c>
      <c r="Q296" t="s">
        <v>41</v>
      </c>
      <c r="R296">
        <f>Table2[[#This Row],[End_Date]]-Table2[[#This Row],[Start_Date]]</f>
        <v>16</v>
      </c>
      <c r="S296" t="str">
        <f>TEXT(Table2[[#This Row],[Start_Date]],"MMM")</f>
        <v>Jun</v>
      </c>
      <c r="T296">
        <f>YEAR(Table2[[#This Row],[Start_Date]])</f>
        <v>2025</v>
      </c>
      <c r="U296">
        <f>Table2[[#This Row],[Campaign_Cost (₹)]]/Table2[[#This Row],[Reach]]</f>
        <v>0.10369345083747365</v>
      </c>
      <c r="V296">
        <f>Table2[[#This Row],[Revenue_Generated (₹)]]/Table2[[#This Row],[Reach]]</f>
        <v>0.46829760006230386</v>
      </c>
    </row>
    <row r="297" spans="1:22" x14ac:dyDescent="0.3">
      <c r="A297" t="s">
        <v>348</v>
      </c>
      <c r="B297" t="s">
        <v>75</v>
      </c>
      <c r="C297" t="s">
        <v>37</v>
      </c>
      <c r="D297" t="s">
        <v>58</v>
      </c>
      <c r="E297">
        <v>863789</v>
      </c>
      <c r="F297">
        <v>482383</v>
      </c>
      <c r="G297">
        <v>1194343</v>
      </c>
      <c r="H297">
        <v>71064</v>
      </c>
      <c r="I297">
        <v>7041</v>
      </c>
      <c r="J297">
        <v>1463</v>
      </c>
      <c r="K297">
        <f t="shared" si="8"/>
        <v>16.494776971825292</v>
      </c>
      <c r="L297">
        <v>289230</v>
      </c>
      <c r="M297">
        <v>324038</v>
      </c>
      <c r="N297">
        <f t="shared" si="9"/>
        <v>12.034712858278878</v>
      </c>
      <c r="O297" s="4">
        <v>45725</v>
      </c>
      <c r="P297" s="4">
        <v>45741</v>
      </c>
      <c r="Q297" t="s">
        <v>47</v>
      </c>
      <c r="R297">
        <f>Table2[[#This Row],[End_Date]]-Table2[[#This Row],[Start_Date]]</f>
        <v>16</v>
      </c>
      <c r="S297" t="str">
        <f>TEXT(Table2[[#This Row],[Start_Date]],"MMM")</f>
        <v>Mar</v>
      </c>
      <c r="T297">
        <f>YEAR(Table2[[#This Row],[Start_Date]])</f>
        <v>2025</v>
      </c>
      <c r="U297">
        <f>Table2[[#This Row],[Campaign_Cost (₹)]]/Table2[[#This Row],[Reach]]</f>
        <v>0.59958580629914404</v>
      </c>
      <c r="V297">
        <f>Table2[[#This Row],[Revenue_Generated (₹)]]/Table2[[#This Row],[Reach]]</f>
        <v>0.67174423642624226</v>
      </c>
    </row>
    <row r="298" spans="1:22" x14ac:dyDescent="0.3">
      <c r="A298" t="s">
        <v>349</v>
      </c>
      <c r="B298" t="s">
        <v>36</v>
      </c>
      <c r="C298" t="s">
        <v>28</v>
      </c>
      <c r="D298" t="s">
        <v>58</v>
      </c>
      <c r="E298">
        <v>1713272</v>
      </c>
      <c r="F298">
        <v>625918</v>
      </c>
      <c r="G298">
        <v>851510</v>
      </c>
      <c r="H298">
        <v>79992</v>
      </c>
      <c r="I298">
        <v>4259</v>
      </c>
      <c r="J298">
        <v>4058</v>
      </c>
      <c r="K298">
        <f t="shared" si="8"/>
        <v>14.10871711629958</v>
      </c>
      <c r="L298">
        <v>138886</v>
      </c>
      <c r="M298">
        <v>306027</v>
      </c>
      <c r="N298">
        <f t="shared" si="9"/>
        <v>120.34402315568164</v>
      </c>
      <c r="O298" s="4">
        <v>46033</v>
      </c>
      <c r="P298" s="4">
        <v>46057</v>
      </c>
      <c r="Q298" t="s">
        <v>47</v>
      </c>
      <c r="R298">
        <f>Table2[[#This Row],[End_Date]]-Table2[[#This Row],[Start_Date]]</f>
        <v>24</v>
      </c>
      <c r="S298" t="str">
        <f>TEXT(Table2[[#This Row],[Start_Date]],"MMM")</f>
        <v>Jan</v>
      </c>
      <c r="T298">
        <f>YEAR(Table2[[#This Row],[Start_Date]])</f>
        <v>2026</v>
      </c>
      <c r="U298">
        <f>Table2[[#This Row],[Campaign_Cost (₹)]]/Table2[[#This Row],[Reach]]</f>
        <v>0.22189168549234883</v>
      </c>
      <c r="V298">
        <f>Table2[[#This Row],[Revenue_Generated (₹)]]/Table2[[#This Row],[Reach]]</f>
        <v>0.48892506686179338</v>
      </c>
    </row>
    <row r="299" spans="1:22" x14ac:dyDescent="0.3">
      <c r="A299" t="s">
        <v>350</v>
      </c>
      <c r="B299" t="s">
        <v>32</v>
      </c>
      <c r="C299" t="s">
        <v>33</v>
      </c>
      <c r="D299" t="s">
        <v>46</v>
      </c>
      <c r="E299">
        <v>1413954</v>
      </c>
      <c r="F299">
        <v>1139362</v>
      </c>
      <c r="G299">
        <v>1261498</v>
      </c>
      <c r="H299">
        <v>24229</v>
      </c>
      <c r="I299">
        <v>3108</v>
      </c>
      <c r="J299">
        <v>688</v>
      </c>
      <c r="K299">
        <f t="shared" si="8"/>
        <v>2.4597099078256077</v>
      </c>
      <c r="L299">
        <v>273602</v>
      </c>
      <c r="M299">
        <v>323908</v>
      </c>
      <c r="N299">
        <f t="shared" si="9"/>
        <v>18.386561501743408</v>
      </c>
      <c r="O299" s="4">
        <v>45855</v>
      </c>
      <c r="P299" s="4">
        <v>45873</v>
      </c>
      <c r="Q299" t="s">
        <v>21</v>
      </c>
      <c r="R299">
        <f>Table2[[#This Row],[End_Date]]-Table2[[#This Row],[Start_Date]]</f>
        <v>18</v>
      </c>
      <c r="S299" t="str">
        <f>TEXT(Table2[[#This Row],[Start_Date]],"MMM")</f>
        <v>Jul</v>
      </c>
      <c r="T299">
        <f>YEAR(Table2[[#This Row],[Start_Date]])</f>
        <v>2025</v>
      </c>
      <c r="U299">
        <f>Table2[[#This Row],[Campaign_Cost (₹)]]/Table2[[#This Row],[Reach]]</f>
        <v>0.24013614636963493</v>
      </c>
      <c r="V299">
        <f>Table2[[#This Row],[Revenue_Generated (₹)]]/Table2[[#This Row],[Reach]]</f>
        <v>0.28428892660980443</v>
      </c>
    </row>
    <row r="300" spans="1:22" x14ac:dyDescent="0.3">
      <c r="A300" t="s">
        <v>351</v>
      </c>
      <c r="B300" t="s">
        <v>103</v>
      </c>
      <c r="C300" t="s">
        <v>28</v>
      </c>
      <c r="D300" t="s">
        <v>46</v>
      </c>
      <c r="E300">
        <v>1137138</v>
      </c>
      <c r="F300">
        <v>806614</v>
      </c>
      <c r="G300">
        <v>1608370</v>
      </c>
      <c r="H300">
        <v>37524</v>
      </c>
      <c r="I300">
        <v>2378</v>
      </c>
      <c r="J300">
        <v>2665</v>
      </c>
      <c r="K300">
        <f t="shared" si="8"/>
        <v>5.2772453738715166</v>
      </c>
      <c r="L300">
        <v>281760</v>
      </c>
      <c r="M300">
        <v>1205946</v>
      </c>
      <c r="N300">
        <f t="shared" si="9"/>
        <v>328.00468483816013</v>
      </c>
      <c r="O300" s="4">
        <v>45923</v>
      </c>
      <c r="P300" s="4">
        <v>45945</v>
      </c>
      <c r="Q300" t="s">
        <v>25</v>
      </c>
      <c r="R300">
        <f>Table2[[#This Row],[End_Date]]-Table2[[#This Row],[Start_Date]]</f>
        <v>22</v>
      </c>
      <c r="S300" t="str">
        <f>TEXT(Table2[[#This Row],[Start_Date]],"MMM")</f>
        <v>Sep</v>
      </c>
      <c r="T300">
        <f>YEAR(Table2[[#This Row],[Start_Date]])</f>
        <v>2025</v>
      </c>
      <c r="U300">
        <f>Table2[[#This Row],[Campaign_Cost (₹)]]/Table2[[#This Row],[Reach]]</f>
        <v>0.34931206252309033</v>
      </c>
      <c r="V300">
        <f>Table2[[#This Row],[Revenue_Generated (₹)]]/Table2[[#This Row],[Reach]]</f>
        <v>1.4950719923036297</v>
      </c>
    </row>
    <row r="301" spans="1:22" x14ac:dyDescent="0.3">
      <c r="A301" t="s">
        <v>352</v>
      </c>
      <c r="B301" t="s">
        <v>27</v>
      </c>
      <c r="C301" t="s">
        <v>43</v>
      </c>
      <c r="D301" t="s">
        <v>40</v>
      </c>
      <c r="E301">
        <v>662869</v>
      </c>
      <c r="F301">
        <v>183525</v>
      </c>
      <c r="G301">
        <v>529454</v>
      </c>
      <c r="H301">
        <v>18590</v>
      </c>
      <c r="I301">
        <v>1756</v>
      </c>
      <c r="J301">
        <v>585</v>
      </c>
      <c r="K301">
        <f t="shared" si="8"/>
        <v>11.404985696771556</v>
      </c>
      <c r="L301">
        <v>489181</v>
      </c>
      <c r="M301">
        <v>1910238</v>
      </c>
      <c r="N301">
        <f t="shared" si="9"/>
        <v>290.49717793618311</v>
      </c>
      <c r="O301" s="4">
        <v>45839</v>
      </c>
      <c r="P301" s="4">
        <v>45852</v>
      </c>
      <c r="Q301" t="s">
        <v>78</v>
      </c>
      <c r="R301">
        <f>Table2[[#This Row],[End_Date]]-Table2[[#This Row],[Start_Date]]</f>
        <v>13</v>
      </c>
      <c r="S301" t="str">
        <f>TEXT(Table2[[#This Row],[Start_Date]],"MMM")</f>
        <v>Jul</v>
      </c>
      <c r="T301">
        <f>YEAR(Table2[[#This Row],[Start_Date]])</f>
        <v>2025</v>
      </c>
      <c r="U301">
        <f>Table2[[#This Row],[Campaign_Cost (₹)]]/Table2[[#This Row],[Reach]]</f>
        <v>2.6654733687508512</v>
      </c>
      <c r="V301">
        <f>Table2[[#This Row],[Revenue_Generated (₹)]]/Table2[[#This Row],[Reach]]</f>
        <v>10.408598283612587</v>
      </c>
    </row>
    <row r="302" spans="1:22" x14ac:dyDescent="0.3">
      <c r="A302" t="s">
        <v>353</v>
      </c>
      <c r="B302" t="s">
        <v>61</v>
      </c>
      <c r="C302" t="s">
        <v>28</v>
      </c>
      <c r="D302" t="s">
        <v>20</v>
      </c>
      <c r="E302">
        <v>1167847</v>
      </c>
      <c r="F302">
        <v>1017010</v>
      </c>
      <c r="G302">
        <v>2783673</v>
      </c>
      <c r="H302">
        <v>49837</v>
      </c>
      <c r="I302">
        <v>7376</v>
      </c>
      <c r="J302">
        <v>4596</v>
      </c>
      <c r="K302">
        <f t="shared" si="8"/>
        <v>6.0775213616385289</v>
      </c>
      <c r="L302">
        <v>283930</v>
      </c>
      <c r="M302">
        <v>1323111</v>
      </c>
      <c r="N302">
        <f t="shared" si="9"/>
        <v>365.99901384143976</v>
      </c>
      <c r="O302" s="4">
        <v>45690</v>
      </c>
      <c r="P302" s="4">
        <v>45719</v>
      </c>
      <c r="Q302" t="s">
        <v>78</v>
      </c>
      <c r="R302">
        <f>Table2[[#This Row],[End_Date]]-Table2[[#This Row],[Start_Date]]</f>
        <v>29</v>
      </c>
      <c r="S302" t="str">
        <f>TEXT(Table2[[#This Row],[Start_Date]],"MMM")</f>
        <v>Feb</v>
      </c>
      <c r="T302">
        <f>YEAR(Table2[[#This Row],[Start_Date]])</f>
        <v>2025</v>
      </c>
      <c r="U302">
        <f>Table2[[#This Row],[Campaign_Cost (₹)]]/Table2[[#This Row],[Reach]]</f>
        <v>0.27918112899578174</v>
      </c>
      <c r="V302">
        <f>Table2[[#This Row],[Revenue_Generated (₹)]]/Table2[[#This Row],[Reach]]</f>
        <v>1.3009813079517409</v>
      </c>
    </row>
    <row r="303" spans="1:22" x14ac:dyDescent="0.3">
      <c r="A303" t="s">
        <v>354</v>
      </c>
      <c r="B303" t="s">
        <v>39</v>
      </c>
      <c r="C303" t="s">
        <v>37</v>
      </c>
      <c r="D303" t="s">
        <v>40</v>
      </c>
      <c r="E303">
        <v>403175</v>
      </c>
      <c r="F303">
        <v>144241</v>
      </c>
      <c r="G303">
        <v>387089</v>
      </c>
      <c r="H303">
        <v>11885</v>
      </c>
      <c r="I303">
        <v>1763</v>
      </c>
      <c r="J303">
        <v>1154</v>
      </c>
      <c r="K303">
        <f t="shared" si="8"/>
        <v>10.261992082694935</v>
      </c>
      <c r="L303">
        <v>367128</v>
      </c>
      <c r="M303">
        <v>883328</v>
      </c>
      <c r="N303">
        <f t="shared" si="9"/>
        <v>140.60491163844762</v>
      </c>
      <c r="O303" s="4">
        <v>45851</v>
      </c>
      <c r="P303" s="4">
        <v>45878</v>
      </c>
      <c r="Q303" t="s">
        <v>30</v>
      </c>
      <c r="R303">
        <f>Table2[[#This Row],[End_Date]]-Table2[[#This Row],[Start_Date]]</f>
        <v>27</v>
      </c>
      <c r="S303" t="str">
        <f>TEXT(Table2[[#This Row],[Start_Date]],"MMM")</f>
        <v>Jul</v>
      </c>
      <c r="T303">
        <f>YEAR(Table2[[#This Row],[Start_Date]])</f>
        <v>2025</v>
      </c>
      <c r="U303">
        <f>Table2[[#This Row],[Campaign_Cost (₹)]]/Table2[[#This Row],[Reach]]</f>
        <v>2.5452402576243927</v>
      </c>
      <c r="V303">
        <f>Table2[[#This Row],[Revenue_Generated (₹)]]/Table2[[#This Row],[Reach]]</f>
        <v>6.1239730728433663</v>
      </c>
    </row>
    <row r="304" spans="1:22" x14ac:dyDescent="0.3">
      <c r="A304" t="s">
        <v>355</v>
      </c>
      <c r="B304" t="s">
        <v>80</v>
      </c>
      <c r="C304" t="s">
        <v>28</v>
      </c>
      <c r="D304" t="s">
        <v>40</v>
      </c>
      <c r="E304">
        <v>1381461</v>
      </c>
      <c r="F304">
        <v>831085</v>
      </c>
      <c r="G304">
        <v>1702347</v>
      </c>
      <c r="H304">
        <v>59211</v>
      </c>
      <c r="I304">
        <v>7946</v>
      </c>
      <c r="J304">
        <v>1849</v>
      </c>
      <c r="K304">
        <f t="shared" si="8"/>
        <v>8.3031218226775838</v>
      </c>
      <c r="L304">
        <v>179929</v>
      </c>
      <c r="M304">
        <v>264264</v>
      </c>
      <c r="N304">
        <f t="shared" si="9"/>
        <v>46.871265888211461</v>
      </c>
      <c r="O304" s="4">
        <v>45892</v>
      </c>
      <c r="P304" s="4">
        <v>45910</v>
      </c>
      <c r="Q304" t="s">
        <v>34</v>
      </c>
      <c r="R304">
        <f>Table2[[#This Row],[End_Date]]-Table2[[#This Row],[Start_Date]]</f>
        <v>18</v>
      </c>
      <c r="S304" t="str">
        <f>TEXT(Table2[[#This Row],[Start_Date]],"MMM")</f>
        <v>Aug</v>
      </c>
      <c r="T304">
        <f>YEAR(Table2[[#This Row],[Start_Date]])</f>
        <v>2025</v>
      </c>
      <c r="U304">
        <f>Table2[[#This Row],[Campaign_Cost (₹)]]/Table2[[#This Row],[Reach]]</f>
        <v>0.21649891407016131</v>
      </c>
      <c r="V304">
        <f>Table2[[#This Row],[Revenue_Generated (₹)]]/Table2[[#This Row],[Reach]]</f>
        <v>0.31797469572907705</v>
      </c>
    </row>
    <row r="305" spans="1:22" x14ac:dyDescent="0.3">
      <c r="A305" t="s">
        <v>356</v>
      </c>
      <c r="B305" t="s">
        <v>39</v>
      </c>
      <c r="C305" t="s">
        <v>19</v>
      </c>
      <c r="D305" t="s">
        <v>72</v>
      </c>
      <c r="E305">
        <v>1817955</v>
      </c>
      <c r="F305">
        <v>769943</v>
      </c>
      <c r="G305">
        <v>1219653</v>
      </c>
      <c r="H305">
        <v>99147</v>
      </c>
      <c r="I305">
        <v>11065</v>
      </c>
      <c r="J305">
        <v>7709</v>
      </c>
      <c r="K305">
        <f t="shared" si="8"/>
        <v>15.315549332872694</v>
      </c>
      <c r="L305">
        <v>276781</v>
      </c>
      <c r="M305">
        <v>739033</v>
      </c>
      <c r="N305">
        <f t="shared" si="9"/>
        <v>167.01001875128711</v>
      </c>
      <c r="O305" s="4">
        <v>45716</v>
      </c>
      <c r="P305" s="4">
        <v>45724</v>
      </c>
      <c r="Q305" t="s">
        <v>47</v>
      </c>
      <c r="R305">
        <f>Table2[[#This Row],[End_Date]]-Table2[[#This Row],[Start_Date]]</f>
        <v>8</v>
      </c>
      <c r="S305" t="str">
        <f>TEXT(Table2[[#This Row],[Start_Date]],"MMM")</f>
        <v>Feb</v>
      </c>
      <c r="T305">
        <f>YEAR(Table2[[#This Row],[Start_Date]])</f>
        <v>2025</v>
      </c>
      <c r="U305">
        <f>Table2[[#This Row],[Campaign_Cost (₹)]]/Table2[[#This Row],[Reach]]</f>
        <v>0.35948245519473521</v>
      </c>
      <c r="V305">
        <f>Table2[[#This Row],[Revenue_Generated (₹)]]/Table2[[#This Row],[Reach]]</f>
        <v>0.95985417102304971</v>
      </c>
    </row>
    <row r="306" spans="1:22" x14ac:dyDescent="0.3">
      <c r="A306" t="s">
        <v>357</v>
      </c>
      <c r="B306" t="s">
        <v>63</v>
      </c>
      <c r="C306" t="s">
        <v>37</v>
      </c>
      <c r="D306" t="s">
        <v>29</v>
      </c>
      <c r="E306">
        <v>993027</v>
      </c>
      <c r="F306">
        <v>401220</v>
      </c>
      <c r="G306">
        <v>562119</v>
      </c>
      <c r="H306">
        <v>26917</v>
      </c>
      <c r="I306">
        <v>2957</v>
      </c>
      <c r="J306">
        <v>955</v>
      </c>
      <c r="K306">
        <f t="shared" si="8"/>
        <v>7.6838143661831424</v>
      </c>
      <c r="L306">
        <v>426436</v>
      </c>
      <c r="M306">
        <v>1223931</v>
      </c>
      <c r="N306">
        <f t="shared" si="9"/>
        <v>187.0139950660826</v>
      </c>
      <c r="O306" s="4">
        <v>46080</v>
      </c>
      <c r="P306" s="4">
        <v>46103</v>
      </c>
      <c r="Q306" t="s">
        <v>30</v>
      </c>
      <c r="R306">
        <f>Table2[[#This Row],[End_Date]]-Table2[[#This Row],[Start_Date]]</f>
        <v>23</v>
      </c>
      <c r="S306" t="str">
        <f>TEXT(Table2[[#This Row],[Start_Date]],"MMM")</f>
        <v>Feb</v>
      </c>
      <c r="T306">
        <f>YEAR(Table2[[#This Row],[Start_Date]])</f>
        <v>2026</v>
      </c>
      <c r="U306">
        <f>Table2[[#This Row],[Campaign_Cost (₹)]]/Table2[[#This Row],[Reach]]</f>
        <v>1.0628483126464283</v>
      </c>
      <c r="V306">
        <f>Table2[[#This Row],[Revenue_Generated (₹)]]/Table2[[#This Row],[Reach]]</f>
        <v>3.0505234036189623</v>
      </c>
    </row>
    <row r="307" spans="1:22" x14ac:dyDescent="0.3">
      <c r="A307" t="s">
        <v>358</v>
      </c>
      <c r="B307" t="s">
        <v>23</v>
      </c>
      <c r="C307" t="s">
        <v>19</v>
      </c>
      <c r="D307" t="s">
        <v>40</v>
      </c>
      <c r="E307">
        <v>138130</v>
      </c>
      <c r="F307">
        <v>65073</v>
      </c>
      <c r="G307">
        <v>113221</v>
      </c>
      <c r="H307">
        <v>6756</v>
      </c>
      <c r="I307">
        <v>596</v>
      </c>
      <c r="J307">
        <v>584</v>
      </c>
      <c r="K307">
        <f t="shared" si="8"/>
        <v>12.195534246154319</v>
      </c>
      <c r="L307">
        <v>385679</v>
      </c>
      <c r="M307">
        <v>672414</v>
      </c>
      <c r="N307">
        <f t="shared" si="9"/>
        <v>74.34550494063717</v>
      </c>
      <c r="O307" s="4">
        <v>46017</v>
      </c>
      <c r="P307" s="4">
        <v>46034</v>
      </c>
      <c r="Q307" t="s">
        <v>78</v>
      </c>
      <c r="R307">
        <f>Table2[[#This Row],[End_Date]]-Table2[[#This Row],[Start_Date]]</f>
        <v>17</v>
      </c>
      <c r="S307" t="str">
        <f>TEXT(Table2[[#This Row],[Start_Date]],"MMM")</f>
        <v>Dec</v>
      </c>
      <c r="T307">
        <f>YEAR(Table2[[#This Row],[Start_Date]])</f>
        <v>2025</v>
      </c>
      <c r="U307">
        <f>Table2[[#This Row],[Campaign_Cost (₹)]]/Table2[[#This Row],[Reach]]</f>
        <v>5.9268667496503928</v>
      </c>
      <c r="V307">
        <f>Table2[[#This Row],[Revenue_Generated (₹)]]/Table2[[#This Row],[Reach]]</f>
        <v>10.333225761836706</v>
      </c>
    </row>
    <row r="308" spans="1:22" x14ac:dyDescent="0.3">
      <c r="A308" t="s">
        <v>359</v>
      </c>
      <c r="B308" t="s">
        <v>32</v>
      </c>
      <c r="C308" t="s">
        <v>19</v>
      </c>
      <c r="D308" t="s">
        <v>51</v>
      </c>
      <c r="E308">
        <v>681307</v>
      </c>
      <c r="F308">
        <v>539083</v>
      </c>
      <c r="G308">
        <v>1503698</v>
      </c>
      <c r="H308">
        <v>70750</v>
      </c>
      <c r="I308">
        <v>7825</v>
      </c>
      <c r="J308">
        <v>3955</v>
      </c>
      <c r="K308">
        <f t="shared" si="8"/>
        <v>15.309330845157424</v>
      </c>
      <c r="L308">
        <v>253738</v>
      </c>
      <c r="M308">
        <v>481665</v>
      </c>
      <c r="N308">
        <f t="shared" si="9"/>
        <v>89.827696285144526</v>
      </c>
      <c r="O308" s="4">
        <v>46103</v>
      </c>
      <c r="P308" s="4">
        <v>46123</v>
      </c>
      <c r="Q308" t="s">
        <v>30</v>
      </c>
      <c r="R308">
        <f>Table2[[#This Row],[End_Date]]-Table2[[#This Row],[Start_Date]]</f>
        <v>20</v>
      </c>
      <c r="S308" t="str">
        <f>TEXT(Table2[[#This Row],[Start_Date]],"MMM")</f>
        <v>Mar</v>
      </c>
      <c r="T308">
        <f>YEAR(Table2[[#This Row],[Start_Date]])</f>
        <v>2026</v>
      </c>
      <c r="U308">
        <f>Table2[[#This Row],[Campaign_Cost (₹)]]/Table2[[#This Row],[Reach]]</f>
        <v>0.47068447715843387</v>
      </c>
      <c r="V308">
        <f>Table2[[#This Row],[Revenue_Generated (₹)]]/Table2[[#This Row],[Reach]]</f>
        <v>0.89348949976163228</v>
      </c>
    </row>
    <row r="309" spans="1:22" x14ac:dyDescent="0.3">
      <c r="A309" t="s">
        <v>360</v>
      </c>
      <c r="B309" t="s">
        <v>49</v>
      </c>
      <c r="C309" t="s">
        <v>28</v>
      </c>
      <c r="D309" t="s">
        <v>20</v>
      </c>
      <c r="E309">
        <v>864679</v>
      </c>
      <c r="F309">
        <v>244509</v>
      </c>
      <c r="G309">
        <v>435403</v>
      </c>
      <c r="H309">
        <v>6014</v>
      </c>
      <c r="I309">
        <v>843</v>
      </c>
      <c r="J309">
        <v>322</v>
      </c>
      <c r="K309">
        <f t="shared" si="8"/>
        <v>2.9360882421505958</v>
      </c>
      <c r="L309">
        <v>335125</v>
      </c>
      <c r="M309">
        <v>1630475</v>
      </c>
      <c r="N309">
        <f t="shared" si="9"/>
        <v>386.52741514360309</v>
      </c>
      <c r="O309" s="4">
        <v>45723</v>
      </c>
      <c r="P309" s="4">
        <v>45751</v>
      </c>
      <c r="Q309" t="s">
        <v>78</v>
      </c>
      <c r="R309">
        <f>Table2[[#This Row],[End_Date]]-Table2[[#This Row],[Start_Date]]</f>
        <v>28</v>
      </c>
      <c r="S309" t="str">
        <f>TEXT(Table2[[#This Row],[Start_Date]],"MMM")</f>
        <v>Mar</v>
      </c>
      <c r="T309">
        <f>YEAR(Table2[[#This Row],[Start_Date]])</f>
        <v>2025</v>
      </c>
      <c r="U309">
        <f>Table2[[#This Row],[Campaign_Cost (₹)]]/Table2[[#This Row],[Reach]]</f>
        <v>1.3706039450490575</v>
      </c>
      <c r="V309">
        <f>Table2[[#This Row],[Revenue_Generated (₹)]]/Table2[[#This Row],[Reach]]</f>
        <v>6.6683639457034305</v>
      </c>
    </row>
    <row r="310" spans="1:22" x14ac:dyDescent="0.3">
      <c r="A310" t="s">
        <v>361</v>
      </c>
      <c r="B310" t="s">
        <v>80</v>
      </c>
      <c r="C310" t="s">
        <v>43</v>
      </c>
      <c r="D310" t="s">
        <v>20</v>
      </c>
      <c r="E310">
        <v>1912401</v>
      </c>
      <c r="F310">
        <v>1645503</v>
      </c>
      <c r="G310">
        <v>3683317</v>
      </c>
      <c r="H310">
        <v>197100</v>
      </c>
      <c r="I310">
        <v>21364</v>
      </c>
      <c r="J310">
        <v>16715</v>
      </c>
      <c r="K310">
        <f t="shared" si="8"/>
        <v>14.292225538330833</v>
      </c>
      <c r="L310">
        <v>425922</v>
      </c>
      <c r="M310">
        <v>1483433</v>
      </c>
      <c r="N310">
        <f t="shared" si="9"/>
        <v>248.28747986720572</v>
      </c>
      <c r="O310" s="4">
        <v>45801</v>
      </c>
      <c r="P310" s="4">
        <v>45813</v>
      </c>
      <c r="Q310" t="s">
        <v>78</v>
      </c>
      <c r="R310">
        <f>Table2[[#This Row],[End_Date]]-Table2[[#This Row],[Start_Date]]</f>
        <v>12</v>
      </c>
      <c r="S310" t="str">
        <f>TEXT(Table2[[#This Row],[Start_Date]],"MMM")</f>
        <v>May</v>
      </c>
      <c r="T310">
        <f>YEAR(Table2[[#This Row],[Start_Date]])</f>
        <v>2025</v>
      </c>
      <c r="U310">
        <f>Table2[[#This Row],[Campaign_Cost (₹)]]/Table2[[#This Row],[Reach]]</f>
        <v>0.25884000211485486</v>
      </c>
      <c r="V310">
        <f>Table2[[#This Row],[Revenue_Generated (₹)]]/Table2[[#This Row],[Reach]]</f>
        <v>0.90150732025405</v>
      </c>
    </row>
    <row r="311" spans="1:22" x14ac:dyDescent="0.3">
      <c r="A311" t="s">
        <v>362</v>
      </c>
      <c r="B311" t="s">
        <v>23</v>
      </c>
      <c r="C311" t="s">
        <v>28</v>
      </c>
      <c r="D311" t="s">
        <v>51</v>
      </c>
      <c r="E311">
        <v>1192106</v>
      </c>
      <c r="F311">
        <v>999985</v>
      </c>
      <c r="G311">
        <v>2991568</v>
      </c>
      <c r="H311">
        <v>83679</v>
      </c>
      <c r="I311">
        <v>5447</v>
      </c>
      <c r="J311">
        <v>3143</v>
      </c>
      <c r="K311">
        <f t="shared" si="8"/>
        <v>9.2270384055760832</v>
      </c>
      <c r="L311">
        <v>469838</v>
      </c>
      <c r="M311">
        <v>1630922</v>
      </c>
      <c r="N311">
        <f t="shared" si="9"/>
        <v>247.12432795984998</v>
      </c>
      <c r="O311" s="4">
        <v>45954</v>
      </c>
      <c r="P311" s="4">
        <v>45978</v>
      </c>
      <c r="Q311" t="s">
        <v>34</v>
      </c>
      <c r="R311">
        <f>Table2[[#This Row],[End_Date]]-Table2[[#This Row],[Start_Date]]</f>
        <v>24</v>
      </c>
      <c r="S311" t="str">
        <f>TEXT(Table2[[#This Row],[Start_Date]],"MMM")</f>
        <v>Oct</v>
      </c>
      <c r="T311">
        <f>YEAR(Table2[[#This Row],[Start_Date]])</f>
        <v>2025</v>
      </c>
      <c r="U311">
        <f>Table2[[#This Row],[Campaign_Cost (₹)]]/Table2[[#This Row],[Reach]]</f>
        <v>0.46984504767571511</v>
      </c>
      <c r="V311">
        <f>Table2[[#This Row],[Revenue_Generated (₹)]]/Table2[[#This Row],[Reach]]</f>
        <v>1.6309464641969629</v>
      </c>
    </row>
    <row r="312" spans="1:22" x14ac:dyDescent="0.3">
      <c r="A312" t="s">
        <v>363</v>
      </c>
      <c r="B312" t="s">
        <v>32</v>
      </c>
      <c r="C312" t="s">
        <v>37</v>
      </c>
      <c r="D312" t="s">
        <v>51</v>
      </c>
      <c r="E312">
        <v>1849089</v>
      </c>
      <c r="F312">
        <v>990494</v>
      </c>
      <c r="G312">
        <v>2967942</v>
      </c>
      <c r="H312">
        <v>59380</v>
      </c>
      <c r="I312">
        <v>6485</v>
      </c>
      <c r="J312">
        <v>5552</v>
      </c>
      <c r="K312">
        <f t="shared" si="8"/>
        <v>7.2102405466363244</v>
      </c>
      <c r="L312">
        <v>305171</v>
      </c>
      <c r="M312">
        <v>504671</v>
      </c>
      <c r="N312">
        <f t="shared" si="9"/>
        <v>65.373184214751731</v>
      </c>
      <c r="O312" s="4">
        <v>45783</v>
      </c>
      <c r="P312" s="4">
        <v>45807</v>
      </c>
      <c r="Q312" t="s">
        <v>21</v>
      </c>
      <c r="R312">
        <f>Table2[[#This Row],[End_Date]]-Table2[[#This Row],[Start_Date]]</f>
        <v>24</v>
      </c>
      <c r="S312" t="str">
        <f>TEXT(Table2[[#This Row],[Start_Date]],"MMM")</f>
        <v>May</v>
      </c>
      <c r="T312">
        <f>YEAR(Table2[[#This Row],[Start_Date]])</f>
        <v>2025</v>
      </c>
      <c r="U312">
        <f>Table2[[#This Row],[Campaign_Cost (₹)]]/Table2[[#This Row],[Reach]]</f>
        <v>0.30809979666711762</v>
      </c>
      <c r="V312">
        <f>Table2[[#This Row],[Revenue_Generated (₹)]]/Table2[[#This Row],[Reach]]</f>
        <v>0.50951444430758797</v>
      </c>
    </row>
    <row r="313" spans="1:22" x14ac:dyDescent="0.3">
      <c r="A313" t="s">
        <v>364</v>
      </c>
      <c r="B313" t="s">
        <v>80</v>
      </c>
      <c r="C313" t="s">
        <v>28</v>
      </c>
      <c r="D313" t="s">
        <v>46</v>
      </c>
      <c r="E313">
        <v>477438</v>
      </c>
      <c r="F313">
        <v>244137</v>
      </c>
      <c r="G313">
        <v>518217</v>
      </c>
      <c r="H313">
        <v>19040</v>
      </c>
      <c r="I313">
        <v>1527</v>
      </c>
      <c r="J313">
        <v>1333</v>
      </c>
      <c r="K313">
        <f t="shared" si="8"/>
        <v>8.9703731921011567</v>
      </c>
      <c r="L313">
        <v>407405</v>
      </c>
      <c r="M313">
        <v>1741932</v>
      </c>
      <c r="N313">
        <f t="shared" si="9"/>
        <v>327.56765380886344</v>
      </c>
      <c r="O313" s="4">
        <v>45693</v>
      </c>
      <c r="P313" s="4">
        <v>45713</v>
      </c>
      <c r="Q313" t="s">
        <v>25</v>
      </c>
      <c r="R313">
        <f>Table2[[#This Row],[End_Date]]-Table2[[#This Row],[Start_Date]]</f>
        <v>20</v>
      </c>
      <c r="S313" t="str">
        <f>TEXT(Table2[[#This Row],[Start_Date]],"MMM")</f>
        <v>Feb</v>
      </c>
      <c r="T313">
        <f>YEAR(Table2[[#This Row],[Start_Date]])</f>
        <v>2025</v>
      </c>
      <c r="U313">
        <f>Table2[[#This Row],[Campaign_Cost (₹)]]/Table2[[#This Row],[Reach]]</f>
        <v>1.6687556576840052</v>
      </c>
      <c r="V313">
        <f>Table2[[#This Row],[Revenue_Generated (₹)]]/Table2[[#This Row],[Reach]]</f>
        <v>7.1350594133621694</v>
      </c>
    </row>
    <row r="314" spans="1:22" x14ac:dyDescent="0.3">
      <c r="A314" t="s">
        <v>365</v>
      </c>
      <c r="B314" t="s">
        <v>57</v>
      </c>
      <c r="C314" t="s">
        <v>33</v>
      </c>
      <c r="D314" t="s">
        <v>29</v>
      </c>
      <c r="E314">
        <v>1996966</v>
      </c>
      <c r="F314">
        <v>1269064</v>
      </c>
      <c r="G314">
        <v>3341548</v>
      </c>
      <c r="H314">
        <v>97362</v>
      </c>
      <c r="I314">
        <v>12172</v>
      </c>
      <c r="J314">
        <v>5486</v>
      </c>
      <c r="K314">
        <f t="shared" si="8"/>
        <v>9.0633726904238081</v>
      </c>
      <c r="L314">
        <v>488728</v>
      </c>
      <c r="M314">
        <v>692992</v>
      </c>
      <c r="N314">
        <f t="shared" si="9"/>
        <v>41.795027090733491</v>
      </c>
      <c r="O314" s="4">
        <v>46029</v>
      </c>
      <c r="P314" s="4">
        <v>46049</v>
      </c>
      <c r="Q314" t="s">
        <v>34</v>
      </c>
      <c r="R314">
        <f>Table2[[#This Row],[End_Date]]-Table2[[#This Row],[Start_Date]]</f>
        <v>20</v>
      </c>
      <c r="S314" t="str">
        <f>TEXT(Table2[[#This Row],[Start_Date]],"MMM")</f>
        <v>Jan</v>
      </c>
      <c r="T314">
        <f>YEAR(Table2[[#This Row],[Start_Date]])</f>
        <v>2026</v>
      </c>
      <c r="U314">
        <f>Table2[[#This Row],[Campaign_Cost (₹)]]/Table2[[#This Row],[Reach]]</f>
        <v>0.38510902523434593</v>
      </c>
      <c r="V314">
        <f>Table2[[#This Row],[Revenue_Generated (₹)]]/Table2[[#This Row],[Reach]]</f>
        <v>0.54606544665990053</v>
      </c>
    </row>
    <row r="315" spans="1:22" x14ac:dyDescent="0.3">
      <c r="A315" t="s">
        <v>366</v>
      </c>
      <c r="B315" t="s">
        <v>39</v>
      </c>
      <c r="C315" t="s">
        <v>33</v>
      </c>
      <c r="D315" t="s">
        <v>51</v>
      </c>
      <c r="E315">
        <v>507615</v>
      </c>
      <c r="F315">
        <v>308861</v>
      </c>
      <c r="G315">
        <v>467143</v>
      </c>
      <c r="H315">
        <v>15320</v>
      </c>
      <c r="I315">
        <v>1636</v>
      </c>
      <c r="J315">
        <v>426</v>
      </c>
      <c r="K315">
        <f t="shared" si="8"/>
        <v>5.627774306241319</v>
      </c>
      <c r="L315">
        <v>41659</v>
      </c>
      <c r="M315">
        <v>201445</v>
      </c>
      <c r="N315">
        <f t="shared" si="9"/>
        <v>383.55697448330494</v>
      </c>
      <c r="O315" s="4">
        <v>45755</v>
      </c>
      <c r="P315" s="4">
        <v>45782</v>
      </c>
      <c r="Q315" t="s">
        <v>47</v>
      </c>
      <c r="R315">
        <f>Table2[[#This Row],[End_Date]]-Table2[[#This Row],[Start_Date]]</f>
        <v>27</v>
      </c>
      <c r="S315" t="str">
        <f>TEXT(Table2[[#This Row],[Start_Date]],"MMM")</f>
        <v>Apr</v>
      </c>
      <c r="T315">
        <f>YEAR(Table2[[#This Row],[Start_Date]])</f>
        <v>2025</v>
      </c>
      <c r="U315">
        <f>Table2[[#This Row],[Campaign_Cost (₹)]]/Table2[[#This Row],[Reach]]</f>
        <v>0.1348794441512525</v>
      </c>
      <c r="V315">
        <f>Table2[[#This Row],[Revenue_Generated (₹)]]/Table2[[#This Row],[Reach]]</f>
        <v>0.65221895933769558</v>
      </c>
    </row>
    <row r="316" spans="1:22" x14ac:dyDescent="0.3">
      <c r="A316" t="s">
        <v>367</v>
      </c>
      <c r="B316" t="s">
        <v>49</v>
      </c>
      <c r="C316" t="s">
        <v>33</v>
      </c>
      <c r="D316" t="s">
        <v>72</v>
      </c>
      <c r="E316">
        <v>1745540</v>
      </c>
      <c r="F316">
        <v>842812</v>
      </c>
      <c r="G316">
        <v>1799921</v>
      </c>
      <c r="H316">
        <v>35403</v>
      </c>
      <c r="I316">
        <v>5230</v>
      </c>
      <c r="J316">
        <v>2954</v>
      </c>
      <c r="K316">
        <f t="shared" si="8"/>
        <v>5.1716159712960899</v>
      </c>
      <c r="L316">
        <v>154266</v>
      </c>
      <c r="M316">
        <v>312516</v>
      </c>
      <c r="N316">
        <f t="shared" si="9"/>
        <v>102.58255221500525</v>
      </c>
      <c r="O316" s="4">
        <v>45939</v>
      </c>
      <c r="P316" s="4">
        <v>45969</v>
      </c>
      <c r="Q316" t="s">
        <v>54</v>
      </c>
      <c r="R316">
        <f>Table2[[#This Row],[End_Date]]-Table2[[#This Row],[Start_Date]]</f>
        <v>30</v>
      </c>
      <c r="S316" t="str">
        <f>TEXT(Table2[[#This Row],[Start_Date]],"MMM")</f>
        <v>Oct</v>
      </c>
      <c r="T316">
        <f>YEAR(Table2[[#This Row],[Start_Date]])</f>
        <v>2025</v>
      </c>
      <c r="U316">
        <f>Table2[[#This Row],[Campaign_Cost (₹)]]/Table2[[#This Row],[Reach]]</f>
        <v>0.18303726097872361</v>
      </c>
      <c r="V316">
        <f>Table2[[#This Row],[Revenue_Generated (₹)]]/Table2[[#This Row],[Reach]]</f>
        <v>0.37080155479513816</v>
      </c>
    </row>
    <row r="317" spans="1:22" x14ac:dyDescent="0.3">
      <c r="A317" t="s">
        <v>368</v>
      </c>
      <c r="B317" t="s">
        <v>39</v>
      </c>
      <c r="C317" t="s">
        <v>37</v>
      </c>
      <c r="D317" t="s">
        <v>24</v>
      </c>
      <c r="E317">
        <v>100618</v>
      </c>
      <c r="F317">
        <v>35574</v>
      </c>
      <c r="G317">
        <v>98429</v>
      </c>
      <c r="H317">
        <v>1962</v>
      </c>
      <c r="I317">
        <v>271</v>
      </c>
      <c r="J317">
        <v>129</v>
      </c>
      <c r="K317">
        <f t="shared" si="8"/>
        <v>6.6396806656546916</v>
      </c>
      <c r="L317">
        <v>30366</v>
      </c>
      <c r="M317">
        <v>47360</v>
      </c>
      <c r="N317">
        <f t="shared" si="9"/>
        <v>55.9639070012514</v>
      </c>
      <c r="O317" s="4">
        <v>45793</v>
      </c>
      <c r="P317" s="4">
        <v>45818</v>
      </c>
      <c r="Q317" t="s">
        <v>41</v>
      </c>
      <c r="R317">
        <f>Table2[[#This Row],[End_Date]]-Table2[[#This Row],[Start_Date]]</f>
        <v>25</v>
      </c>
      <c r="S317" t="str">
        <f>TEXT(Table2[[#This Row],[Start_Date]],"MMM")</f>
        <v>May</v>
      </c>
      <c r="T317">
        <f>YEAR(Table2[[#This Row],[Start_Date]])</f>
        <v>2025</v>
      </c>
      <c r="U317">
        <f>Table2[[#This Row],[Campaign_Cost (₹)]]/Table2[[#This Row],[Reach]]</f>
        <v>0.85360094451003543</v>
      </c>
      <c r="V317">
        <f>Table2[[#This Row],[Revenue_Generated (₹)]]/Table2[[#This Row],[Reach]]</f>
        <v>1.3313093832574352</v>
      </c>
    </row>
    <row r="318" spans="1:22" x14ac:dyDescent="0.3">
      <c r="A318" t="s">
        <v>369</v>
      </c>
      <c r="B318" t="s">
        <v>36</v>
      </c>
      <c r="C318" t="s">
        <v>19</v>
      </c>
      <c r="D318" t="s">
        <v>24</v>
      </c>
      <c r="E318">
        <v>1939718</v>
      </c>
      <c r="F318">
        <v>571153</v>
      </c>
      <c r="G318">
        <v>653560</v>
      </c>
      <c r="H318">
        <v>80559</v>
      </c>
      <c r="I318">
        <v>9162</v>
      </c>
      <c r="J318">
        <v>2486</v>
      </c>
      <c r="K318">
        <f t="shared" si="8"/>
        <v>16.144010449039047</v>
      </c>
      <c r="L318">
        <v>200256</v>
      </c>
      <c r="M318">
        <v>234411</v>
      </c>
      <c r="N318">
        <f t="shared" si="9"/>
        <v>17.055668744007672</v>
      </c>
      <c r="O318" s="4">
        <v>45687</v>
      </c>
      <c r="P318" s="4">
        <v>45717</v>
      </c>
      <c r="Q318" t="s">
        <v>21</v>
      </c>
      <c r="R318">
        <f>Table2[[#This Row],[End_Date]]-Table2[[#This Row],[Start_Date]]</f>
        <v>30</v>
      </c>
      <c r="S318" t="str">
        <f>TEXT(Table2[[#This Row],[Start_Date]],"MMM")</f>
        <v>Jan</v>
      </c>
      <c r="T318">
        <f>YEAR(Table2[[#This Row],[Start_Date]])</f>
        <v>2025</v>
      </c>
      <c r="U318">
        <f>Table2[[#This Row],[Campaign_Cost (₹)]]/Table2[[#This Row],[Reach]]</f>
        <v>0.3506170850892843</v>
      </c>
      <c r="V318">
        <f>Table2[[#This Row],[Revenue_Generated (₹)]]/Table2[[#This Row],[Reach]]</f>
        <v>0.41041717368200814</v>
      </c>
    </row>
    <row r="319" spans="1:22" x14ac:dyDescent="0.3">
      <c r="A319" t="s">
        <v>370</v>
      </c>
      <c r="B319" t="s">
        <v>61</v>
      </c>
      <c r="C319" t="s">
        <v>28</v>
      </c>
      <c r="D319" t="s">
        <v>40</v>
      </c>
      <c r="E319">
        <v>1961155</v>
      </c>
      <c r="F319">
        <v>724578</v>
      </c>
      <c r="G319">
        <v>1847501</v>
      </c>
      <c r="H319">
        <v>21647</v>
      </c>
      <c r="I319">
        <v>2308</v>
      </c>
      <c r="J319">
        <v>869</v>
      </c>
      <c r="K319">
        <f t="shared" si="8"/>
        <v>3.4259941648794192</v>
      </c>
      <c r="L319">
        <v>317983</v>
      </c>
      <c r="M319">
        <v>931564</v>
      </c>
      <c r="N319">
        <f t="shared" si="9"/>
        <v>192.96031548856385</v>
      </c>
      <c r="O319" s="4">
        <v>45797</v>
      </c>
      <c r="P319" s="4">
        <v>45823</v>
      </c>
      <c r="Q319" t="s">
        <v>78</v>
      </c>
      <c r="R319">
        <f>Table2[[#This Row],[End_Date]]-Table2[[#This Row],[Start_Date]]</f>
        <v>26</v>
      </c>
      <c r="S319" t="str">
        <f>TEXT(Table2[[#This Row],[Start_Date]],"MMM")</f>
        <v>May</v>
      </c>
      <c r="T319">
        <f>YEAR(Table2[[#This Row],[Start_Date]])</f>
        <v>2025</v>
      </c>
      <c r="U319">
        <f>Table2[[#This Row],[Campaign_Cost (₹)]]/Table2[[#This Row],[Reach]]</f>
        <v>0.43885268390704657</v>
      </c>
      <c r="V319">
        <f>Table2[[#This Row],[Revenue_Generated (₹)]]/Table2[[#This Row],[Reach]]</f>
        <v>1.2856642073041136</v>
      </c>
    </row>
    <row r="320" spans="1:22" x14ac:dyDescent="0.3">
      <c r="A320" t="s">
        <v>371</v>
      </c>
      <c r="B320" t="s">
        <v>45</v>
      </c>
      <c r="C320" t="s">
        <v>43</v>
      </c>
      <c r="D320" t="s">
        <v>58</v>
      </c>
      <c r="E320">
        <v>386165</v>
      </c>
      <c r="F320">
        <v>98487</v>
      </c>
      <c r="G320">
        <v>132942</v>
      </c>
      <c r="H320">
        <v>8585</v>
      </c>
      <c r="I320">
        <v>1177</v>
      </c>
      <c r="J320">
        <v>529</v>
      </c>
      <c r="K320">
        <f t="shared" si="8"/>
        <v>10.449094804390427</v>
      </c>
      <c r="L320">
        <v>74478</v>
      </c>
      <c r="M320">
        <v>144864</v>
      </c>
      <c r="N320">
        <f t="shared" si="9"/>
        <v>94.50576009022798</v>
      </c>
      <c r="O320" s="4">
        <v>45673</v>
      </c>
      <c r="P320" s="4">
        <v>45695</v>
      </c>
      <c r="Q320" t="s">
        <v>78</v>
      </c>
      <c r="R320">
        <f>Table2[[#This Row],[End_Date]]-Table2[[#This Row],[Start_Date]]</f>
        <v>22</v>
      </c>
      <c r="S320" t="str">
        <f>TEXT(Table2[[#This Row],[Start_Date]],"MMM")</f>
        <v>Jan</v>
      </c>
      <c r="T320">
        <f>YEAR(Table2[[#This Row],[Start_Date]])</f>
        <v>2025</v>
      </c>
      <c r="U320">
        <f>Table2[[#This Row],[Campaign_Cost (₹)]]/Table2[[#This Row],[Reach]]</f>
        <v>0.75622163331201075</v>
      </c>
      <c r="V320">
        <f>Table2[[#This Row],[Revenue_Generated (₹)]]/Table2[[#This Row],[Reach]]</f>
        <v>1.4708946358402633</v>
      </c>
    </row>
    <row r="321" spans="1:22" x14ac:dyDescent="0.3">
      <c r="A321" t="s">
        <v>372</v>
      </c>
      <c r="B321" t="s">
        <v>49</v>
      </c>
      <c r="C321" t="s">
        <v>43</v>
      </c>
      <c r="D321" t="s">
        <v>58</v>
      </c>
      <c r="E321">
        <v>1011855</v>
      </c>
      <c r="F321">
        <v>585873</v>
      </c>
      <c r="G321">
        <v>1506048</v>
      </c>
      <c r="H321">
        <v>87815</v>
      </c>
      <c r="I321">
        <v>3317</v>
      </c>
      <c r="J321">
        <v>8197</v>
      </c>
      <c r="K321">
        <f t="shared" si="8"/>
        <v>16.954015631374034</v>
      </c>
      <c r="L321">
        <v>362603</v>
      </c>
      <c r="M321">
        <v>1550865</v>
      </c>
      <c r="N321">
        <f t="shared" si="9"/>
        <v>327.70330085520527</v>
      </c>
      <c r="O321" s="4">
        <v>46133</v>
      </c>
      <c r="P321" s="4">
        <v>46154</v>
      </c>
      <c r="Q321" t="s">
        <v>21</v>
      </c>
      <c r="R321">
        <f>Table2[[#This Row],[End_Date]]-Table2[[#This Row],[Start_Date]]</f>
        <v>21</v>
      </c>
      <c r="S321" t="str">
        <f>TEXT(Table2[[#This Row],[Start_Date]],"MMM")</f>
        <v>Apr</v>
      </c>
      <c r="T321">
        <f>YEAR(Table2[[#This Row],[Start_Date]])</f>
        <v>2026</v>
      </c>
      <c r="U321">
        <f>Table2[[#This Row],[Campaign_Cost (₹)]]/Table2[[#This Row],[Reach]]</f>
        <v>0.6189105830103111</v>
      </c>
      <c r="V321">
        <f>Table2[[#This Row],[Revenue_Generated (₹)]]/Table2[[#This Row],[Reach]]</f>
        <v>2.6471009928772959</v>
      </c>
    </row>
    <row r="322" spans="1:22" x14ac:dyDescent="0.3">
      <c r="A322" t="s">
        <v>373</v>
      </c>
      <c r="B322" t="s">
        <v>45</v>
      </c>
      <c r="C322" t="s">
        <v>33</v>
      </c>
      <c r="D322" t="s">
        <v>72</v>
      </c>
      <c r="E322">
        <v>550121</v>
      </c>
      <c r="F322">
        <v>143878</v>
      </c>
      <c r="G322">
        <v>406857</v>
      </c>
      <c r="H322">
        <v>13305</v>
      </c>
      <c r="I322">
        <v>588</v>
      </c>
      <c r="J322">
        <v>471</v>
      </c>
      <c r="K322">
        <f t="shared" ref="K322:K385" si="10">((H322+I322+J322)/F322)*100</f>
        <v>9.9834582076481464</v>
      </c>
      <c r="L322">
        <v>201847</v>
      </c>
      <c r="M322">
        <v>286824</v>
      </c>
      <c r="N322">
        <f t="shared" ref="N322:N385" si="11">((M322-L322)/L322)*100</f>
        <v>42.099709185670335</v>
      </c>
      <c r="O322" s="4">
        <v>45935</v>
      </c>
      <c r="P322" s="4">
        <v>45949</v>
      </c>
      <c r="Q322" t="s">
        <v>25</v>
      </c>
      <c r="R322">
        <f>Table2[[#This Row],[End_Date]]-Table2[[#This Row],[Start_Date]]</f>
        <v>14</v>
      </c>
      <c r="S322" t="str">
        <f>TEXT(Table2[[#This Row],[Start_Date]],"MMM")</f>
        <v>Oct</v>
      </c>
      <c r="T322">
        <f>YEAR(Table2[[#This Row],[Start_Date]])</f>
        <v>2025</v>
      </c>
      <c r="U322">
        <f>Table2[[#This Row],[Campaign_Cost (₹)]]/Table2[[#This Row],[Reach]]</f>
        <v>1.4029038490943717</v>
      </c>
      <c r="V322">
        <f>Table2[[#This Row],[Revenue_Generated (₹)]]/Table2[[#This Row],[Reach]]</f>
        <v>1.9935222897176774</v>
      </c>
    </row>
    <row r="323" spans="1:22" x14ac:dyDescent="0.3">
      <c r="A323" t="s">
        <v>374</v>
      </c>
      <c r="B323" t="s">
        <v>103</v>
      </c>
      <c r="C323" t="s">
        <v>28</v>
      </c>
      <c r="D323" t="s">
        <v>40</v>
      </c>
      <c r="E323">
        <v>1510444</v>
      </c>
      <c r="F323">
        <v>972560</v>
      </c>
      <c r="G323">
        <v>2584817</v>
      </c>
      <c r="H323">
        <v>76970</v>
      </c>
      <c r="I323">
        <v>7835</v>
      </c>
      <c r="J323">
        <v>2047</v>
      </c>
      <c r="K323">
        <f t="shared" si="10"/>
        <v>8.9302459488360615</v>
      </c>
      <c r="L323">
        <v>469228</v>
      </c>
      <c r="M323">
        <v>967717</v>
      </c>
      <c r="N323">
        <f t="shared" si="11"/>
        <v>106.23598762222204</v>
      </c>
      <c r="O323" s="4">
        <v>45688</v>
      </c>
      <c r="P323" s="4">
        <v>45703</v>
      </c>
      <c r="Q323" t="s">
        <v>34</v>
      </c>
      <c r="R323">
        <f>Table2[[#This Row],[End_Date]]-Table2[[#This Row],[Start_Date]]</f>
        <v>15</v>
      </c>
      <c r="S323" t="str">
        <f>TEXT(Table2[[#This Row],[Start_Date]],"MMM")</f>
        <v>Jan</v>
      </c>
      <c r="T323">
        <f>YEAR(Table2[[#This Row],[Start_Date]])</f>
        <v>2025</v>
      </c>
      <c r="U323">
        <f>Table2[[#This Row],[Campaign_Cost (₹)]]/Table2[[#This Row],[Reach]]</f>
        <v>0.48246689150283789</v>
      </c>
      <c r="V323">
        <f>Table2[[#This Row],[Revenue_Generated (₹)]]/Table2[[#This Row],[Reach]]</f>
        <v>0.99502035864111216</v>
      </c>
    </row>
    <row r="324" spans="1:22" x14ac:dyDescent="0.3">
      <c r="A324" t="s">
        <v>375</v>
      </c>
      <c r="B324" t="s">
        <v>61</v>
      </c>
      <c r="C324" t="s">
        <v>37</v>
      </c>
      <c r="D324" t="s">
        <v>29</v>
      </c>
      <c r="E324">
        <v>1141526</v>
      </c>
      <c r="F324">
        <v>734662</v>
      </c>
      <c r="G324">
        <v>1458119</v>
      </c>
      <c r="H324">
        <v>27687</v>
      </c>
      <c r="I324">
        <v>861</v>
      </c>
      <c r="J324">
        <v>1264</v>
      </c>
      <c r="K324">
        <f t="shared" si="10"/>
        <v>4.0579205131067075</v>
      </c>
      <c r="L324">
        <v>88337</v>
      </c>
      <c r="M324">
        <v>152571</v>
      </c>
      <c r="N324">
        <f t="shared" si="11"/>
        <v>72.714717502292359</v>
      </c>
      <c r="O324" s="4">
        <v>45932</v>
      </c>
      <c r="P324" s="4">
        <v>45943</v>
      </c>
      <c r="Q324" t="s">
        <v>78</v>
      </c>
      <c r="R324">
        <f>Table2[[#This Row],[End_Date]]-Table2[[#This Row],[Start_Date]]</f>
        <v>11</v>
      </c>
      <c r="S324" t="str">
        <f>TEXT(Table2[[#This Row],[Start_Date]],"MMM")</f>
        <v>Oct</v>
      </c>
      <c r="T324">
        <f>YEAR(Table2[[#This Row],[Start_Date]])</f>
        <v>2025</v>
      </c>
      <c r="U324">
        <f>Table2[[#This Row],[Campaign_Cost (₹)]]/Table2[[#This Row],[Reach]]</f>
        <v>0.12024168937552235</v>
      </c>
      <c r="V324">
        <f>Table2[[#This Row],[Revenue_Generated (₹)]]/Table2[[#This Row],[Reach]]</f>
        <v>0.2076750941249173</v>
      </c>
    </row>
    <row r="325" spans="1:22" x14ac:dyDescent="0.3">
      <c r="A325" t="s">
        <v>376</v>
      </c>
      <c r="B325" t="s">
        <v>80</v>
      </c>
      <c r="C325" t="s">
        <v>33</v>
      </c>
      <c r="D325" t="s">
        <v>20</v>
      </c>
      <c r="E325">
        <v>1029293</v>
      </c>
      <c r="F325">
        <v>455010</v>
      </c>
      <c r="G325">
        <v>1027381</v>
      </c>
      <c r="H325">
        <v>33843</v>
      </c>
      <c r="I325">
        <v>4743</v>
      </c>
      <c r="J325">
        <v>869</v>
      </c>
      <c r="K325">
        <f t="shared" si="10"/>
        <v>8.6712379947693456</v>
      </c>
      <c r="L325">
        <v>207965</v>
      </c>
      <c r="M325">
        <v>755934</v>
      </c>
      <c r="N325">
        <f t="shared" si="11"/>
        <v>263.49097203856417</v>
      </c>
      <c r="O325" s="4">
        <v>45904</v>
      </c>
      <c r="P325" s="4">
        <v>45927</v>
      </c>
      <c r="Q325" t="s">
        <v>21</v>
      </c>
      <c r="R325">
        <f>Table2[[#This Row],[End_Date]]-Table2[[#This Row],[Start_Date]]</f>
        <v>23</v>
      </c>
      <c r="S325" t="str">
        <f>TEXT(Table2[[#This Row],[Start_Date]],"MMM")</f>
        <v>Sep</v>
      </c>
      <c r="T325">
        <f>YEAR(Table2[[#This Row],[Start_Date]])</f>
        <v>2025</v>
      </c>
      <c r="U325">
        <f>Table2[[#This Row],[Campaign_Cost (₹)]]/Table2[[#This Row],[Reach]]</f>
        <v>0.45705588888156307</v>
      </c>
      <c r="V325">
        <f>Table2[[#This Row],[Revenue_Generated (₹)]]/Table2[[#This Row],[Reach]]</f>
        <v>1.6613568932550933</v>
      </c>
    </row>
    <row r="326" spans="1:22" x14ac:dyDescent="0.3">
      <c r="A326" t="s">
        <v>377</v>
      </c>
      <c r="B326" t="s">
        <v>103</v>
      </c>
      <c r="C326" t="s">
        <v>28</v>
      </c>
      <c r="D326" t="s">
        <v>24</v>
      </c>
      <c r="E326">
        <v>1676533</v>
      </c>
      <c r="F326">
        <v>1066667</v>
      </c>
      <c r="G326">
        <v>3167641</v>
      </c>
      <c r="H326">
        <v>71023</v>
      </c>
      <c r="I326">
        <v>9529</v>
      </c>
      <c r="J326">
        <v>1875</v>
      </c>
      <c r="K326">
        <f t="shared" si="10"/>
        <v>7.7275288351472389</v>
      </c>
      <c r="L326">
        <v>422467</v>
      </c>
      <c r="M326">
        <v>1295513</v>
      </c>
      <c r="N326">
        <f t="shared" si="11"/>
        <v>206.65424755069628</v>
      </c>
      <c r="O326" s="4">
        <v>45920</v>
      </c>
      <c r="P326" s="4">
        <v>45934</v>
      </c>
      <c r="Q326" t="s">
        <v>41</v>
      </c>
      <c r="R326">
        <f>Table2[[#This Row],[End_Date]]-Table2[[#This Row],[Start_Date]]</f>
        <v>14</v>
      </c>
      <c r="S326" t="str">
        <f>TEXT(Table2[[#This Row],[Start_Date]],"MMM")</f>
        <v>Sep</v>
      </c>
      <c r="T326">
        <f>YEAR(Table2[[#This Row],[Start_Date]])</f>
        <v>2025</v>
      </c>
      <c r="U326">
        <f>Table2[[#This Row],[Campaign_Cost (₹)]]/Table2[[#This Row],[Reach]]</f>
        <v>0.39606268873040978</v>
      </c>
      <c r="V326">
        <f>Table2[[#This Row],[Revenue_Generated (₹)]]/Table2[[#This Row],[Reach]]</f>
        <v>1.2145430579552945</v>
      </c>
    </row>
    <row r="327" spans="1:22" x14ac:dyDescent="0.3">
      <c r="A327" t="s">
        <v>378</v>
      </c>
      <c r="B327" t="s">
        <v>32</v>
      </c>
      <c r="C327" t="s">
        <v>28</v>
      </c>
      <c r="D327" t="s">
        <v>40</v>
      </c>
      <c r="E327">
        <v>1655164</v>
      </c>
      <c r="F327">
        <v>920422</v>
      </c>
      <c r="G327">
        <v>1064222</v>
      </c>
      <c r="H327">
        <v>110889</v>
      </c>
      <c r="I327">
        <v>6405</v>
      </c>
      <c r="J327">
        <v>2682</v>
      </c>
      <c r="K327">
        <f t="shared" si="10"/>
        <v>13.034890517610402</v>
      </c>
      <c r="L327">
        <v>193017</v>
      </c>
      <c r="M327">
        <v>652151</v>
      </c>
      <c r="N327">
        <f t="shared" si="11"/>
        <v>237.87231176528491</v>
      </c>
      <c r="O327" s="4">
        <v>46138</v>
      </c>
      <c r="P327" s="4">
        <v>46159</v>
      </c>
      <c r="Q327" t="s">
        <v>41</v>
      </c>
      <c r="R327">
        <f>Table2[[#This Row],[End_Date]]-Table2[[#This Row],[Start_Date]]</f>
        <v>21</v>
      </c>
      <c r="S327" t="str">
        <f>TEXT(Table2[[#This Row],[Start_Date]],"MMM")</f>
        <v>Apr</v>
      </c>
      <c r="T327">
        <f>YEAR(Table2[[#This Row],[Start_Date]])</f>
        <v>2026</v>
      </c>
      <c r="U327">
        <f>Table2[[#This Row],[Campaign_Cost (₹)]]/Table2[[#This Row],[Reach]]</f>
        <v>0.20970489623238037</v>
      </c>
      <c r="V327">
        <f>Table2[[#This Row],[Revenue_Generated (₹)]]/Table2[[#This Row],[Reach]]</f>
        <v>0.70853478078533538</v>
      </c>
    </row>
    <row r="328" spans="1:22" x14ac:dyDescent="0.3">
      <c r="A328" t="s">
        <v>379</v>
      </c>
      <c r="B328" t="s">
        <v>32</v>
      </c>
      <c r="C328" t="s">
        <v>19</v>
      </c>
      <c r="D328" t="s">
        <v>46</v>
      </c>
      <c r="E328">
        <v>1806048</v>
      </c>
      <c r="F328">
        <v>1338940</v>
      </c>
      <c r="G328">
        <v>2947185</v>
      </c>
      <c r="H328">
        <v>50575</v>
      </c>
      <c r="I328">
        <v>3299</v>
      </c>
      <c r="J328">
        <v>4127</v>
      </c>
      <c r="K328">
        <f t="shared" si="10"/>
        <v>4.3318595306735181</v>
      </c>
      <c r="L328">
        <v>128807</v>
      </c>
      <c r="M328">
        <v>620044</v>
      </c>
      <c r="N328">
        <f t="shared" si="11"/>
        <v>381.37445946260686</v>
      </c>
      <c r="O328" s="4">
        <v>45839</v>
      </c>
      <c r="P328" s="4">
        <v>45855</v>
      </c>
      <c r="Q328" t="s">
        <v>54</v>
      </c>
      <c r="R328">
        <f>Table2[[#This Row],[End_Date]]-Table2[[#This Row],[Start_Date]]</f>
        <v>16</v>
      </c>
      <c r="S328" t="str">
        <f>TEXT(Table2[[#This Row],[Start_Date]],"MMM")</f>
        <v>Jul</v>
      </c>
      <c r="T328">
        <f>YEAR(Table2[[#This Row],[Start_Date]])</f>
        <v>2025</v>
      </c>
      <c r="U328">
        <f>Table2[[#This Row],[Campaign_Cost (₹)]]/Table2[[#This Row],[Reach]]</f>
        <v>9.6200725947391222E-2</v>
      </c>
      <c r="V328">
        <f>Table2[[#This Row],[Revenue_Generated (₹)]]/Table2[[#This Row],[Reach]]</f>
        <v>0.46308572452835828</v>
      </c>
    </row>
    <row r="329" spans="1:22" x14ac:dyDescent="0.3">
      <c r="A329" t="s">
        <v>380</v>
      </c>
      <c r="B329" t="s">
        <v>103</v>
      </c>
      <c r="C329" t="s">
        <v>43</v>
      </c>
      <c r="D329" t="s">
        <v>58</v>
      </c>
      <c r="E329">
        <v>1204957</v>
      </c>
      <c r="F329">
        <v>639061</v>
      </c>
      <c r="G329">
        <v>1784304</v>
      </c>
      <c r="H329">
        <v>51455</v>
      </c>
      <c r="I329">
        <v>6638</v>
      </c>
      <c r="J329">
        <v>4567</v>
      </c>
      <c r="K329">
        <f t="shared" si="10"/>
        <v>9.8050107892673779</v>
      </c>
      <c r="L329">
        <v>459603</v>
      </c>
      <c r="M329">
        <v>533087</v>
      </c>
      <c r="N329">
        <f t="shared" si="11"/>
        <v>15.988581449642409</v>
      </c>
      <c r="O329" s="4">
        <v>45856</v>
      </c>
      <c r="P329" s="4">
        <v>45873</v>
      </c>
      <c r="Q329" t="s">
        <v>78</v>
      </c>
      <c r="R329">
        <f>Table2[[#This Row],[End_Date]]-Table2[[#This Row],[Start_Date]]</f>
        <v>17</v>
      </c>
      <c r="S329" t="str">
        <f>TEXT(Table2[[#This Row],[Start_Date]],"MMM")</f>
        <v>Jul</v>
      </c>
      <c r="T329">
        <f>YEAR(Table2[[#This Row],[Start_Date]])</f>
        <v>2025</v>
      </c>
      <c r="U329">
        <f>Table2[[#This Row],[Campaign_Cost (₹)]]/Table2[[#This Row],[Reach]]</f>
        <v>0.71918486654638603</v>
      </c>
      <c r="V329">
        <f>Table2[[#This Row],[Revenue_Generated (₹)]]/Table2[[#This Row],[Reach]]</f>
        <v>0.83417232470765701</v>
      </c>
    </row>
    <row r="330" spans="1:22" x14ac:dyDescent="0.3">
      <c r="A330" t="s">
        <v>381</v>
      </c>
      <c r="B330" t="s">
        <v>36</v>
      </c>
      <c r="C330" t="s">
        <v>43</v>
      </c>
      <c r="D330" t="s">
        <v>51</v>
      </c>
      <c r="E330">
        <v>1123364</v>
      </c>
      <c r="F330">
        <v>724500</v>
      </c>
      <c r="G330">
        <v>921325</v>
      </c>
      <c r="H330">
        <v>32096</v>
      </c>
      <c r="I330">
        <v>2408</v>
      </c>
      <c r="J330">
        <v>1453</v>
      </c>
      <c r="K330">
        <f t="shared" si="10"/>
        <v>4.9630089717046237</v>
      </c>
      <c r="L330">
        <v>483058</v>
      </c>
      <c r="M330">
        <v>2221746</v>
      </c>
      <c r="N330">
        <f t="shared" si="11"/>
        <v>359.93358975526746</v>
      </c>
      <c r="O330" s="4">
        <v>45921</v>
      </c>
      <c r="P330" s="4">
        <v>45932</v>
      </c>
      <c r="Q330" t="s">
        <v>47</v>
      </c>
      <c r="R330">
        <f>Table2[[#This Row],[End_Date]]-Table2[[#This Row],[Start_Date]]</f>
        <v>11</v>
      </c>
      <c r="S330" t="str">
        <f>TEXT(Table2[[#This Row],[Start_Date]],"MMM")</f>
        <v>Sep</v>
      </c>
      <c r="T330">
        <f>YEAR(Table2[[#This Row],[Start_Date]])</f>
        <v>2025</v>
      </c>
      <c r="U330">
        <f>Table2[[#This Row],[Campaign_Cost (₹)]]/Table2[[#This Row],[Reach]]</f>
        <v>0.66674672187715667</v>
      </c>
      <c r="V330">
        <f>Table2[[#This Row],[Revenue_Generated (₹)]]/Table2[[#This Row],[Reach]]</f>
        <v>3.0665921325051761</v>
      </c>
    </row>
    <row r="331" spans="1:22" x14ac:dyDescent="0.3">
      <c r="A331" t="s">
        <v>382</v>
      </c>
      <c r="B331" t="s">
        <v>45</v>
      </c>
      <c r="C331" t="s">
        <v>37</v>
      </c>
      <c r="D331" t="s">
        <v>24</v>
      </c>
      <c r="E331">
        <v>1021687</v>
      </c>
      <c r="F331">
        <v>429854</v>
      </c>
      <c r="G331">
        <v>1108232</v>
      </c>
      <c r="H331">
        <v>44694</v>
      </c>
      <c r="I331">
        <v>3227</v>
      </c>
      <c r="J331">
        <v>3662</v>
      </c>
      <c r="K331">
        <f t="shared" si="10"/>
        <v>12.000120971306536</v>
      </c>
      <c r="L331">
        <v>325123</v>
      </c>
      <c r="M331">
        <v>412585</v>
      </c>
      <c r="N331">
        <f t="shared" si="11"/>
        <v>26.901203544504693</v>
      </c>
      <c r="O331" s="4">
        <v>46021</v>
      </c>
      <c r="P331" s="4">
        <v>46050</v>
      </c>
      <c r="Q331" t="s">
        <v>47</v>
      </c>
      <c r="R331">
        <f>Table2[[#This Row],[End_Date]]-Table2[[#This Row],[Start_Date]]</f>
        <v>29</v>
      </c>
      <c r="S331" t="str">
        <f>TEXT(Table2[[#This Row],[Start_Date]],"MMM")</f>
        <v>Dec</v>
      </c>
      <c r="T331">
        <f>YEAR(Table2[[#This Row],[Start_Date]])</f>
        <v>2025</v>
      </c>
      <c r="U331">
        <f>Table2[[#This Row],[Campaign_Cost (₹)]]/Table2[[#This Row],[Reach]]</f>
        <v>0.75635680952137241</v>
      </c>
      <c r="V331">
        <f>Table2[[#This Row],[Revenue_Generated (₹)]]/Table2[[#This Row],[Reach]]</f>
        <v>0.95982589437343846</v>
      </c>
    </row>
    <row r="332" spans="1:22" x14ac:dyDescent="0.3">
      <c r="A332" t="s">
        <v>383</v>
      </c>
      <c r="B332" t="s">
        <v>27</v>
      </c>
      <c r="C332" t="s">
        <v>33</v>
      </c>
      <c r="D332" t="s">
        <v>29</v>
      </c>
      <c r="E332">
        <v>799729</v>
      </c>
      <c r="F332">
        <v>641047</v>
      </c>
      <c r="G332">
        <v>1410799</v>
      </c>
      <c r="H332">
        <v>30298</v>
      </c>
      <c r="I332">
        <v>1936</v>
      </c>
      <c r="J332">
        <v>2517</v>
      </c>
      <c r="K332">
        <f t="shared" si="10"/>
        <v>5.4209753731005685</v>
      </c>
      <c r="L332">
        <v>31080</v>
      </c>
      <c r="M332">
        <v>86956</v>
      </c>
      <c r="N332">
        <f t="shared" si="11"/>
        <v>179.78120978120978</v>
      </c>
      <c r="O332" s="4">
        <v>45807</v>
      </c>
      <c r="P332" s="4">
        <v>45816</v>
      </c>
      <c r="Q332" t="s">
        <v>54</v>
      </c>
      <c r="R332">
        <f>Table2[[#This Row],[End_Date]]-Table2[[#This Row],[Start_Date]]</f>
        <v>9</v>
      </c>
      <c r="S332" t="str">
        <f>TEXT(Table2[[#This Row],[Start_Date]],"MMM")</f>
        <v>May</v>
      </c>
      <c r="T332">
        <f>YEAR(Table2[[#This Row],[Start_Date]])</f>
        <v>2025</v>
      </c>
      <c r="U332">
        <f>Table2[[#This Row],[Campaign_Cost (₹)]]/Table2[[#This Row],[Reach]]</f>
        <v>4.8483184540291116E-2</v>
      </c>
      <c r="V332">
        <f>Table2[[#This Row],[Revenue_Generated (₹)]]/Table2[[#This Row],[Reach]]</f>
        <v>0.13564684024728296</v>
      </c>
    </row>
    <row r="333" spans="1:22" x14ac:dyDescent="0.3">
      <c r="A333" t="s">
        <v>384</v>
      </c>
      <c r="B333" t="s">
        <v>63</v>
      </c>
      <c r="C333" t="s">
        <v>43</v>
      </c>
      <c r="D333" t="s">
        <v>29</v>
      </c>
      <c r="E333">
        <v>1154091</v>
      </c>
      <c r="F333">
        <v>420650</v>
      </c>
      <c r="G333">
        <v>806312</v>
      </c>
      <c r="H333">
        <v>59563</v>
      </c>
      <c r="I333">
        <v>2362</v>
      </c>
      <c r="J333">
        <v>5271</v>
      </c>
      <c r="K333">
        <f t="shared" si="10"/>
        <v>15.97432544871033</v>
      </c>
      <c r="L333">
        <v>433188</v>
      </c>
      <c r="M333">
        <v>1188162</v>
      </c>
      <c r="N333">
        <f t="shared" si="11"/>
        <v>174.28322114185988</v>
      </c>
      <c r="O333" s="4">
        <v>45799</v>
      </c>
      <c r="P333" s="4">
        <v>45828</v>
      </c>
      <c r="Q333" t="s">
        <v>21</v>
      </c>
      <c r="R333">
        <f>Table2[[#This Row],[End_Date]]-Table2[[#This Row],[Start_Date]]</f>
        <v>29</v>
      </c>
      <c r="S333" t="str">
        <f>TEXT(Table2[[#This Row],[Start_Date]],"MMM")</f>
        <v>May</v>
      </c>
      <c r="T333">
        <f>YEAR(Table2[[#This Row],[Start_Date]])</f>
        <v>2025</v>
      </c>
      <c r="U333">
        <f>Table2[[#This Row],[Campaign_Cost (₹)]]/Table2[[#This Row],[Reach]]</f>
        <v>1.0298062522286937</v>
      </c>
      <c r="V333">
        <f>Table2[[#This Row],[Revenue_Generated (₹)]]/Table2[[#This Row],[Reach]]</f>
        <v>2.8245857601331275</v>
      </c>
    </row>
    <row r="334" spans="1:22" x14ac:dyDescent="0.3">
      <c r="A334" t="s">
        <v>385</v>
      </c>
      <c r="B334" t="s">
        <v>53</v>
      </c>
      <c r="C334" t="s">
        <v>43</v>
      </c>
      <c r="D334" t="s">
        <v>20</v>
      </c>
      <c r="E334">
        <v>812533</v>
      </c>
      <c r="F334">
        <v>381139</v>
      </c>
      <c r="G334">
        <v>1053171</v>
      </c>
      <c r="H334">
        <v>47076</v>
      </c>
      <c r="I334">
        <v>5911</v>
      </c>
      <c r="J334">
        <v>4588</v>
      </c>
      <c r="K334">
        <f t="shared" si="10"/>
        <v>15.106037429914021</v>
      </c>
      <c r="L334">
        <v>18472</v>
      </c>
      <c r="M334">
        <v>63928</v>
      </c>
      <c r="N334">
        <f t="shared" si="11"/>
        <v>246.08055435253357</v>
      </c>
      <c r="O334" s="4">
        <v>45902</v>
      </c>
      <c r="P334" s="4">
        <v>45919</v>
      </c>
      <c r="Q334" t="s">
        <v>34</v>
      </c>
      <c r="R334">
        <f>Table2[[#This Row],[End_Date]]-Table2[[#This Row],[Start_Date]]</f>
        <v>17</v>
      </c>
      <c r="S334" t="str">
        <f>TEXT(Table2[[#This Row],[Start_Date]],"MMM")</f>
        <v>Sep</v>
      </c>
      <c r="T334">
        <f>YEAR(Table2[[#This Row],[Start_Date]])</f>
        <v>2025</v>
      </c>
      <c r="U334">
        <f>Table2[[#This Row],[Campaign_Cost (₹)]]/Table2[[#This Row],[Reach]]</f>
        <v>4.8465258081697229E-2</v>
      </c>
      <c r="V334">
        <f>Table2[[#This Row],[Revenue_Generated (₹)]]/Table2[[#This Row],[Reach]]</f>
        <v>0.16772883383752385</v>
      </c>
    </row>
    <row r="335" spans="1:22" x14ac:dyDescent="0.3">
      <c r="A335" t="s">
        <v>386</v>
      </c>
      <c r="B335" t="s">
        <v>63</v>
      </c>
      <c r="C335" t="s">
        <v>43</v>
      </c>
      <c r="D335" t="s">
        <v>29</v>
      </c>
      <c r="E335">
        <v>1060411</v>
      </c>
      <c r="F335">
        <v>792856</v>
      </c>
      <c r="G335">
        <v>2104764</v>
      </c>
      <c r="H335">
        <v>77292</v>
      </c>
      <c r="I335">
        <v>7301</v>
      </c>
      <c r="J335">
        <v>6884</v>
      </c>
      <c r="K335">
        <f t="shared" si="10"/>
        <v>11.537656270495525</v>
      </c>
      <c r="L335">
        <v>461469</v>
      </c>
      <c r="M335">
        <v>876805</v>
      </c>
      <c r="N335">
        <f t="shared" si="11"/>
        <v>90.003012119990728</v>
      </c>
      <c r="O335" s="4">
        <v>45823</v>
      </c>
      <c r="P335" s="4">
        <v>45839</v>
      </c>
      <c r="Q335" t="s">
        <v>41</v>
      </c>
      <c r="R335">
        <f>Table2[[#This Row],[End_Date]]-Table2[[#This Row],[Start_Date]]</f>
        <v>16</v>
      </c>
      <c r="S335" t="str">
        <f>TEXT(Table2[[#This Row],[Start_Date]],"MMM")</f>
        <v>Jun</v>
      </c>
      <c r="T335">
        <f>YEAR(Table2[[#This Row],[Start_Date]])</f>
        <v>2025</v>
      </c>
      <c r="U335">
        <f>Table2[[#This Row],[Campaign_Cost (₹)]]/Table2[[#This Row],[Reach]]</f>
        <v>0.58203381194062986</v>
      </c>
      <c r="V335">
        <f>Table2[[#This Row],[Revenue_Generated (₹)]]/Table2[[#This Row],[Reach]]</f>
        <v>1.1058817742439988</v>
      </c>
    </row>
    <row r="336" spans="1:22" x14ac:dyDescent="0.3">
      <c r="A336" t="s">
        <v>387</v>
      </c>
      <c r="B336" t="s">
        <v>49</v>
      </c>
      <c r="C336" t="s">
        <v>19</v>
      </c>
      <c r="D336" t="s">
        <v>58</v>
      </c>
      <c r="E336">
        <v>1335309</v>
      </c>
      <c r="F336">
        <v>1097717</v>
      </c>
      <c r="G336">
        <v>1574100</v>
      </c>
      <c r="H336">
        <v>87982</v>
      </c>
      <c r="I336">
        <v>6988</v>
      </c>
      <c r="J336">
        <v>3771</v>
      </c>
      <c r="K336">
        <f t="shared" si="10"/>
        <v>8.9951235154415947</v>
      </c>
      <c r="L336">
        <v>119058</v>
      </c>
      <c r="M336">
        <v>264638</v>
      </c>
      <c r="N336">
        <f t="shared" si="11"/>
        <v>122.27653748593124</v>
      </c>
      <c r="O336" s="4">
        <v>45983</v>
      </c>
      <c r="P336" s="4">
        <v>45995</v>
      </c>
      <c r="Q336" t="s">
        <v>25</v>
      </c>
      <c r="R336">
        <f>Table2[[#This Row],[End_Date]]-Table2[[#This Row],[Start_Date]]</f>
        <v>12</v>
      </c>
      <c r="S336" t="str">
        <f>TEXT(Table2[[#This Row],[Start_Date]],"MMM")</f>
        <v>Nov</v>
      </c>
      <c r="T336">
        <f>YEAR(Table2[[#This Row],[Start_Date]])</f>
        <v>2025</v>
      </c>
      <c r="U336">
        <f>Table2[[#This Row],[Campaign_Cost (₹)]]/Table2[[#This Row],[Reach]]</f>
        <v>0.10845964852507523</v>
      </c>
      <c r="V336">
        <f>Table2[[#This Row],[Revenue_Generated (₹)]]/Table2[[#This Row],[Reach]]</f>
        <v>0.2410803513109481</v>
      </c>
    </row>
    <row r="337" spans="1:22" x14ac:dyDescent="0.3">
      <c r="A337" t="s">
        <v>388</v>
      </c>
      <c r="B337" t="s">
        <v>45</v>
      </c>
      <c r="C337" t="s">
        <v>33</v>
      </c>
      <c r="D337" t="s">
        <v>29</v>
      </c>
      <c r="E337">
        <v>1794710</v>
      </c>
      <c r="F337">
        <v>1063930</v>
      </c>
      <c r="G337">
        <v>1240002</v>
      </c>
      <c r="H337">
        <v>46582</v>
      </c>
      <c r="I337">
        <v>5365</v>
      </c>
      <c r="J337">
        <v>1489</v>
      </c>
      <c r="K337">
        <f t="shared" si="10"/>
        <v>5.0225108794751536</v>
      </c>
      <c r="L337">
        <v>343015</v>
      </c>
      <c r="M337">
        <v>513821</v>
      </c>
      <c r="N337">
        <f t="shared" si="11"/>
        <v>49.79548999314899</v>
      </c>
      <c r="O337" s="4">
        <v>46042</v>
      </c>
      <c r="P337" s="4">
        <v>46052</v>
      </c>
      <c r="Q337" t="s">
        <v>41</v>
      </c>
      <c r="R337">
        <f>Table2[[#This Row],[End_Date]]-Table2[[#This Row],[Start_Date]]</f>
        <v>10</v>
      </c>
      <c r="S337" t="str">
        <f>TEXT(Table2[[#This Row],[Start_Date]],"MMM")</f>
        <v>Jan</v>
      </c>
      <c r="T337">
        <f>YEAR(Table2[[#This Row],[Start_Date]])</f>
        <v>2026</v>
      </c>
      <c r="U337">
        <f>Table2[[#This Row],[Campaign_Cost (₹)]]/Table2[[#This Row],[Reach]]</f>
        <v>0.32240372956867464</v>
      </c>
      <c r="V337">
        <f>Table2[[#This Row],[Revenue_Generated (₹)]]/Table2[[#This Row],[Reach]]</f>
        <v>0.48294624646358314</v>
      </c>
    </row>
    <row r="338" spans="1:22" x14ac:dyDescent="0.3">
      <c r="A338" t="s">
        <v>389</v>
      </c>
      <c r="B338" t="s">
        <v>49</v>
      </c>
      <c r="C338" t="s">
        <v>43</v>
      </c>
      <c r="D338" t="s">
        <v>20</v>
      </c>
      <c r="E338">
        <v>1681698</v>
      </c>
      <c r="F338">
        <v>1211826</v>
      </c>
      <c r="G338">
        <v>2239123</v>
      </c>
      <c r="H338">
        <v>92226</v>
      </c>
      <c r="I338">
        <v>11044</v>
      </c>
      <c r="J338">
        <v>7161</v>
      </c>
      <c r="K338">
        <f t="shared" si="10"/>
        <v>9.1127769168180919</v>
      </c>
      <c r="L338">
        <v>271117</v>
      </c>
      <c r="M338">
        <v>816297</v>
      </c>
      <c r="N338">
        <f t="shared" si="11"/>
        <v>201.08661574154331</v>
      </c>
      <c r="O338" s="4">
        <v>45979</v>
      </c>
      <c r="P338" s="4">
        <v>45996</v>
      </c>
      <c r="Q338" t="s">
        <v>54</v>
      </c>
      <c r="R338">
        <f>Table2[[#This Row],[End_Date]]-Table2[[#This Row],[Start_Date]]</f>
        <v>17</v>
      </c>
      <c r="S338" t="str">
        <f>TEXT(Table2[[#This Row],[Start_Date]],"MMM")</f>
        <v>Nov</v>
      </c>
      <c r="T338">
        <f>YEAR(Table2[[#This Row],[Start_Date]])</f>
        <v>2025</v>
      </c>
      <c r="U338">
        <f>Table2[[#This Row],[Campaign_Cost (₹)]]/Table2[[#This Row],[Reach]]</f>
        <v>0.22372601347058077</v>
      </c>
      <c r="V338">
        <f>Table2[[#This Row],[Revenue_Generated (₹)]]/Table2[[#This Row],[Reach]]</f>
        <v>0.67360908249204099</v>
      </c>
    </row>
    <row r="339" spans="1:22" x14ac:dyDescent="0.3">
      <c r="A339" t="s">
        <v>390</v>
      </c>
      <c r="B339" t="s">
        <v>103</v>
      </c>
      <c r="C339" t="s">
        <v>28</v>
      </c>
      <c r="D339" t="s">
        <v>58</v>
      </c>
      <c r="E339">
        <v>763748</v>
      </c>
      <c r="F339">
        <v>367175</v>
      </c>
      <c r="G339">
        <v>631450</v>
      </c>
      <c r="H339">
        <v>15654</v>
      </c>
      <c r="I339">
        <v>1583</v>
      </c>
      <c r="J339">
        <v>928</v>
      </c>
      <c r="K339">
        <f t="shared" si="10"/>
        <v>4.947232246204126</v>
      </c>
      <c r="L339">
        <v>274625</v>
      </c>
      <c r="M339">
        <v>1240227</v>
      </c>
      <c r="N339">
        <f t="shared" si="11"/>
        <v>351.60746472462449</v>
      </c>
      <c r="O339" s="4">
        <v>45728</v>
      </c>
      <c r="P339" s="4">
        <v>45736</v>
      </c>
      <c r="Q339" t="s">
        <v>21</v>
      </c>
      <c r="R339">
        <f>Table2[[#This Row],[End_Date]]-Table2[[#This Row],[Start_Date]]</f>
        <v>8</v>
      </c>
      <c r="S339" t="str">
        <f>TEXT(Table2[[#This Row],[Start_Date]],"MMM")</f>
        <v>Mar</v>
      </c>
      <c r="T339">
        <f>YEAR(Table2[[#This Row],[Start_Date]])</f>
        <v>2025</v>
      </c>
      <c r="U339">
        <f>Table2[[#This Row],[Campaign_Cost (₹)]]/Table2[[#This Row],[Reach]]</f>
        <v>0.74794035541635462</v>
      </c>
      <c r="V339">
        <f>Table2[[#This Row],[Revenue_Generated (₹)]]/Table2[[#This Row],[Reach]]</f>
        <v>3.3777544767481444</v>
      </c>
    </row>
    <row r="340" spans="1:22" x14ac:dyDescent="0.3">
      <c r="A340" t="s">
        <v>391</v>
      </c>
      <c r="B340" t="s">
        <v>39</v>
      </c>
      <c r="C340" t="s">
        <v>37</v>
      </c>
      <c r="D340" t="s">
        <v>20</v>
      </c>
      <c r="E340">
        <v>1464526</v>
      </c>
      <c r="F340">
        <v>633673</v>
      </c>
      <c r="G340">
        <v>803159</v>
      </c>
      <c r="H340">
        <v>76377</v>
      </c>
      <c r="I340">
        <v>3873</v>
      </c>
      <c r="J340">
        <v>6491</v>
      </c>
      <c r="K340">
        <f t="shared" si="10"/>
        <v>13.688605952912622</v>
      </c>
      <c r="L340">
        <v>437006</v>
      </c>
      <c r="M340">
        <v>1246604</v>
      </c>
      <c r="N340">
        <f t="shared" si="11"/>
        <v>185.26015661112206</v>
      </c>
      <c r="O340" s="4">
        <v>45720</v>
      </c>
      <c r="P340" s="4">
        <v>45731</v>
      </c>
      <c r="Q340" t="s">
        <v>21</v>
      </c>
      <c r="R340">
        <f>Table2[[#This Row],[End_Date]]-Table2[[#This Row],[Start_Date]]</f>
        <v>11</v>
      </c>
      <c r="S340" t="str">
        <f>TEXT(Table2[[#This Row],[Start_Date]],"MMM")</f>
        <v>Mar</v>
      </c>
      <c r="T340">
        <f>YEAR(Table2[[#This Row],[Start_Date]])</f>
        <v>2025</v>
      </c>
      <c r="U340">
        <f>Table2[[#This Row],[Campaign_Cost (₹)]]/Table2[[#This Row],[Reach]]</f>
        <v>0.68963960907281829</v>
      </c>
      <c r="V340">
        <f>Table2[[#This Row],[Revenue_Generated (₹)]]/Table2[[#This Row],[Reach]]</f>
        <v>1.9672670288934513</v>
      </c>
    </row>
    <row r="341" spans="1:22" x14ac:dyDescent="0.3">
      <c r="A341" t="s">
        <v>392</v>
      </c>
      <c r="B341" t="s">
        <v>57</v>
      </c>
      <c r="C341" t="s">
        <v>43</v>
      </c>
      <c r="D341" t="s">
        <v>72</v>
      </c>
      <c r="E341">
        <v>1365161</v>
      </c>
      <c r="F341">
        <v>955239</v>
      </c>
      <c r="G341">
        <v>2545533</v>
      </c>
      <c r="H341">
        <v>121489</v>
      </c>
      <c r="I341">
        <v>11302</v>
      </c>
      <c r="J341">
        <v>9035</v>
      </c>
      <c r="K341">
        <f t="shared" si="10"/>
        <v>14.847174372068142</v>
      </c>
      <c r="L341">
        <v>217593</v>
      </c>
      <c r="M341">
        <v>310401</v>
      </c>
      <c r="N341">
        <f t="shared" si="11"/>
        <v>42.652107374777678</v>
      </c>
      <c r="O341" s="4">
        <v>45992</v>
      </c>
      <c r="P341" s="4">
        <v>46013</v>
      </c>
      <c r="Q341" t="s">
        <v>30</v>
      </c>
      <c r="R341">
        <f>Table2[[#This Row],[End_Date]]-Table2[[#This Row],[Start_Date]]</f>
        <v>21</v>
      </c>
      <c r="S341" t="str">
        <f>TEXT(Table2[[#This Row],[Start_Date]],"MMM")</f>
        <v>Dec</v>
      </c>
      <c r="T341">
        <f>YEAR(Table2[[#This Row],[Start_Date]])</f>
        <v>2025</v>
      </c>
      <c r="U341">
        <f>Table2[[#This Row],[Campaign_Cost (₹)]]/Table2[[#This Row],[Reach]]</f>
        <v>0.22778906640118338</v>
      </c>
      <c r="V341">
        <f>Table2[[#This Row],[Revenue_Generated (₹)]]/Table2[[#This Row],[Reach]]</f>
        <v>0.32494590359061976</v>
      </c>
    </row>
    <row r="342" spans="1:22" x14ac:dyDescent="0.3">
      <c r="A342" t="s">
        <v>393</v>
      </c>
      <c r="B342" t="s">
        <v>18</v>
      </c>
      <c r="C342" t="s">
        <v>19</v>
      </c>
      <c r="D342" t="s">
        <v>24</v>
      </c>
      <c r="E342">
        <v>1228328</v>
      </c>
      <c r="F342">
        <v>581424</v>
      </c>
      <c r="G342">
        <v>1731730</v>
      </c>
      <c r="H342">
        <v>73757</v>
      </c>
      <c r="I342">
        <v>6229</v>
      </c>
      <c r="J342">
        <v>2010</v>
      </c>
      <c r="K342">
        <f t="shared" si="10"/>
        <v>14.102617023033105</v>
      </c>
      <c r="L342">
        <v>483325</v>
      </c>
      <c r="M342">
        <v>1448061</v>
      </c>
      <c r="N342">
        <f t="shared" si="11"/>
        <v>199.60399317229607</v>
      </c>
      <c r="O342" s="4">
        <v>45904</v>
      </c>
      <c r="P342" s="4">
        <v>45916</v>
      </c>
      <c r="Q342" t="s">
        <v>30</v>
      </c>
      <c r="R342">
        <f>Table2[[#This Row],[End_Date]]-Table2[[#This Row],[Start_Date]]</f>
        <v>12</v>
      </c>
      <c r="S342" t="str">
        <f>TEXT(Table2[[#This Row],[Start_Date]],"MMM")</f>
        <v>Sep</v>
      </c>
      <c r="T342">
        <f>YEAR(Table2[[#This Row],[Start_Date]])</f>
        <v>2025</v>
      </c>
      <c r="U342">
        <f>Table2[[#This Row],[Campaign_Cost (₹)]]/Table2[[#This Row],[Reach]]</f>
        <v>0.83127803461845395</v>
      </c>
      <c r="V342">
        <f>Table2[[#This Row],[Revenue_Generated (₹)]]/Table2[[#This Row],[Reach]]</f>
        <v>2.4905421860810701</v>
      </c>
    </row>
    <row r="343" spans="1:22" x14ac:dyDescent="0.3">
      <c r="A343" t="s">
        <v>394</v>
      </c>
      <c r="B343" t="s">
        <v>75</v>
      </c>
      <c r="C343" t="s">
        <v>33</v>
      </c>
      <c r="D343" t="s">
        <v>24</v>
      </c>
      <c r="E343">
        <v>360849</v>
      </c>
      <c r="F343">
        <v>230377</v>
      </c>
      <c r="G343">
        <v>590420</v>
      </c>
      <c r="H343">
        <v>19954</v>
      </c>
      <c r="I343">
        <v>1631</v>
      </c>
      <c r="J343">
        <v>593</v>
      </c>
      <c r="K343">
        <f t="shared" si="10"/>
        <v>9.6268290671377788</v>
      </c>
      <c r="L343">
        <v>374732</v>
      </c>
      <c r="M343">
        <v>982200</v>
      </c>
      <c r="N343">
        <f t="shared" si="11"/>
        <v>162.10731936423898</v>
      </c>
      <c r="O343" s="4">
        <v>45689</v>
      </c>
      <c r="P343" s="4">
        <v>45701</v>
      </c>
      <c r="Q343" t="s">
        <v>47</v>
      </c>
      <c r="R343">
        <f>Table2[[#This Row],[End_Date]]-Table2[[#This Row],[Start_Date]]</f>
        <v>12</v>
      </c>
      <c r="S343" t="str">
        <f>TEXT(Table2[[#This Row],[Start_Date]],"MMM")</f>
        <v>Feb</v>
      </c>
      <c r="T343">
        <f>YEAR(Table2[[#This Row],[Start_Date]])</f>
        <v>2025</v>
      </c>
      <c r="U343">
        <f>Table2[[#This Row],[Campaign_Cost (₹)]]/Table2[[#This Row],[Reach]]</f>
        <v>1.6266033501608232</v>
      </c>
      <c r="V343">
        <f>Table2[[#This Row],[Revenue_Generated (₹)]]/Table2[[#This Row],[Reach]]</f>
        <v>4.26344643779544</v>
      </c>
    </row>
    <row r="344" spans="1:22" x14ac:dyDescent="0.3">
      <c r="A344" t="s">
        <v>395</v>
      </c>
      <c r="B344" t="s">
        <v>61</v>
      </c>
      <c r="C344" t="s">
        <v>33</v>
      </c>
      <c r="D344" t="s">
        <v>51</v>
      </c>
      <c r="E344">
        <v>350447</v>
      </c>
      <c r="F344">
        <v>149360</v>
      </c>
      <c r="G344">
        <v>317534</v>
      </c>
      <c r="H344">
        <v>12603</v>
      </c>
      <c r="I344">
        <v>688</v>
      </c>
      <c r="J344">
        <v>1001</v>
      </c>
      <c r="K344">
        <f t="shared" si="10"/>
        <v>9.5688269951794318</v>
      </c>
      <c r="L344">
        <v>340907</v>
      </c>
      <c r="M344">
        <v>1524490</v>
      </c>
      <c r="N344">
        <f t="shared" si="11"/>
        <v>347.18647607705327</v>
      </c>
      <c r="O344" s="4">
        <v>45746</v>
      </c>
      <c r="P344" s="4">
        <v>45768</v>
      </c>
      <c r="Q344" t="s">
        <v>41</v>
      </c>
      <c r="R344">
        <f>Table2[[#This Row],[End_Date]]-Table2[[#This Row],[Start_Date]]</f>
        <v>22</v>
      </c>
      <c r="S344" t="str">
        <f>TEXT(Table2[[#This Row],[Start_Date]],"MMM")</f>
        <v>Mar</v>
      </c>
      <c r="T344">
        <f>YEAR(Table2[[#This Row],[Start_Date]])</f>
        <v>2025</v>
      </c>
      <c r="U344">
        <f>Table2[[#This Row],[Campaign_Cost (₹)]]/Table2[[#This Row],[Reach]]</f>
        <v>2.2824517943224425</v>
      </c>
      <c r="V344">
        <f>Table2[[#This Row],[Revenue_Generated (₹)]]/Table2[[#This Row],[Reach]]</f>
        <v>10.206815747188003</v>
      </c>
    </row>
    <row r="345" spans="1:22" x14ac:dyDescent="0.3">
      <c r="A345" t="s">
        <v>396</v>
      </c>
      <c r="B345" t="s">
        <v>36</v>
      </c>
      <c r="C345" t="s">
        <v>33</v>
      </c>
      <c r="D345" t="s">
        <v>58</v>
      </c>
      <c r="E345">
        <v>1039887</v>
      </c>
      <c r="F345">
        <v>525301</v>
      </c>
      <c r="G345">
        <v>637232</v>
      </c>
      <c r="H345">
        <v>43921</v>
      </c>
      <c r="I345">
        <v>5407</v>
      </c>
      <c r="J345">
        <v>1566</v>
      </c>
      <c r="K345">
        <f t="shared" si="10"/>
        <v>9.6885404748896349</v>
      </c>
      <c r="L345">
        <v>326743</v>
      </c>
      <c r="M345">
        <v>1020925</v>
      </c>
      <c r="N345">
        <f t="shared" si="11"/>
        <v>212.45504876921621</v>
      </c>
      <c r="O345" s="4">
        <v>45777</v>
      </c>
      <c r="P345" s="4">
        <v>45807</v>
      </c>
      <c r="Q345" t="s">
        <v>25</v>
      </c>
      <c r="R345">
        <f>Table2[[#This Row],[End_Date]]-Table2[[#This Row],[Start_Date]]</f>
        <v>30</v>
      </c>
      <c r="S345" t="str">
        <f>TEXT(Table2[[#This Row],[Start_Date]],"MMM")</f>
        <v>Apr</v>
      </c>
      <c r="T345">
        <f>YEAR(Table2[[#This Row],[Start_Date]])</f>
        <v>2025</v>
      </c>
      <c r="U345">
        <f>Table2[[#This Row],[Campaign_Cost (₹)]]/Table2[[#This Row],[Reach]]</f>
        <v>0.62201099940795845</v>
      </c>
      <c r="V345">
        <f>Table2[[#This Row],[Revenue_Generated (₹)]]/Table2[[#This Row],[Reach]]</f>
        <v>1.9435047715500255</v>
      </c>
    </row>
    <row r="346" spans="1:22" x14ac:dyDescent="0.3">
      <c r="A346" t="s">
        <v>397</v>
      </c>
      <c r="B346" t="s">
        <v>32</v>
      </c>
      <c r="C346" t="s">
        <v>37</v>
      </c>
      <c r="D346" t="s">
        <v>72</v>
      </c>
      <c r="E346">
        <v>550461</v>
      </c>
      <c r="F346">
        <v>388388</v>
      </c>
      <c r="G346">
        <v>1078597</v>
      </c>
      <c r="H346">
        <v>39380</v>
      </c>
      <c r="I346">
        <v>3046</v>
      </c>
      <c r="J346">
        <v>2992</v>
      </c>
      <c r="K346">
        <f t="shared" si="10"/>
        <v>11.693976126965817</v>
      </c>
      <c r="L346">
        <v>479588</v>
      </c>
      <c r="M346">
        <v>1179620</v>
      </c>
      <c r="N346">
        <f t="shared" si="11"/>
        <v>145.96528687123114</v>
      </c>
      <c r="O346" s="4">
        <v>46140</v>
      </c>
      <c r="P346" s="4">
        <v>46148</v>
      </c>
      <c r="Q346" t="s">
        <v>34</v>
      </c>
      <c r="R346">
        <f>Table2[[#This Row],[End_Date]]-Table2[[#This Row],[Start_Date]]</f>
        <v>8</v>
      </c>
      <c r="S346" t="str">
        <f>TEXT(Table2[[#This Row],[Start_Date]],"MMM")</f>
        <v>Apr</v>
      </c>
      <c r="T346">
        <f>YEAR(Table2[[#This Row],[Start_Date]])</f>
        <v>2026</v>
      </c>
      <c r="U346">
        <f>Table2[[#This Row],[Campaign_Cost (₹)]]/Table2[[#This Row],[Reach]]</f>
        <v>1.2348167296620904</v>
      </c>
      <c r="V346">
        <f>Table2[[#This Row],[Revenue_Generated (₹)]]/Table2[[#This Row],[Reach]]</f>
        <v>3.0372205114473156</v>
      </c>
    </row>
    <row r="347" spans="1:22" x14ac:dyDescent="0.3">
      <c r="A347" t="s">
        <v>398</v>
      </c>
      <c r="B347" t="s">
        <v>75</v>
      </c>
      <c r="C347" t="s">
        <v>43</v>
      </c>
      <c r="D347" t="s">
        <v>72</v>
      </c>
      <c r="E347">
        <v>1615219</v>
      </c>
      <c r="F347">
        <v>1077554</v>
      </c>
      <c r="G347">
        <v>2832778</v>
      </c>
      <c r="H347">
        <v>30256</v>
      </c>
      <c r="I347">
        <v>4279</v>
      </c>
      <c r="J347">
        <v>1173</v>
      </c>
      <c r="K347">
        <f t="shared" si="10"/>
        <v>3.3138014428975251</v>
      </c>
      <c r="L347">
        <v>491273</v>
      </c>
      <c r="M347">
        <v>1862306</v>
      </c>
      <c r="N347">
        <f t="shared" si="11"/>
        <v>279.07762079332673</v>
      </c>
      <c r="O347" s="4">
        <v>46127</v>
      </c>
      <c r="P347" s="4">
        <v>46138</v>
      </c>
      <c r="Q347" t="s">
        <v>30</v>
      </c>
      <c r="R347">
        <f>Table2[[#This Row],[End_Date]]-Table2[[#This Row],[Start_Date]]</f>
        <v>11</v>
      </c>
      <c r="S347" t="str">
        <f>TEXT(Table2[[#This Row],[Start_Date]],"MMM")</f>
        <v>Apr</v>
      </c>
      <c r="T347">
        <f>YEAR(Table2[[#This Row],[Start_Date]])</f>
        <v>2026</v>
      </c>
      <c r="U347">
        <f>Table2[[#This Row],[Campaign_Cost (₹)]]/Table2[[#This Row],[Reach]]</f>
        <v>0.45591497038663492</v>
      </c>
      <c r="V347">
        <f>Table2[[#This Row],[Revenue_Generated (₹)]]/Table2[[#This Row],[Reach]]</f>
        <v>1.7282716225822556</v>
      </c>
    </row>
    <row r="348" spans="1:22" x14ac:dyDescent="0.3">
      <c r="A348" t="s">
        <v>399</v>
      </c>
      <c r="B348" t="s">
        <v>36</v>
      </c>
      <c r="C348" t="s">
        <v>37</v>
      </c>
      <c r="D348" t="s">
        <v>20</v>
      </c>
      <c r="E348">
        <v>1749034</v>
      </c>
      <c r="F348">
        <v>686064</v>
      </c>
      <c r="G348">
        <v>1733310</v>
      </c>
      <c r="H348">
        <v>26473</v>
      </c>
      <c r="I348">
        <v>3707</v>
      </c>
      <c r="J348">
        <v>2298</v>
      </c>
      <c r="K348">
        <f t="shared" si="10"/>
        <v>4.7339606800531726</v>
      </c>
      <c r="L348">
        <v>192059</v>
      </c>
      <c r="M348">
        <v>929600</v>
      </c>
      <c r="N348">
        <f t="shared" si="11"/>
        <v>384.01793198964901</v>
      </c>
      <c r="O348" s="4">
        <v>45951</v>
      </c>
      <c r="P348" s="4">
        <v>45970</v>
      </c>
      <c r="Q348" t="s">
        <v>34</v>
      </c>
      <c r="R348">
        <f>Table2[[#This Row],[End_Date]]-Table2[[#This Row],[Start_Date]]</f>
        <v>19</v>
      </c>
      <c r="S348" t="str">
        <f>TEXT(Table2[[#This Row],[Start_Date]],"MMM")</f>
        <v>Oct</v>
      </c>
      <c r="T348">
        <f>YEAR(Table2[[#This Row],[Start_Date]])</f>
        <v>2025</v>
      </c>
      <c r="U348">
        <f>Table2[[#This Row],[Campaign_Cost (₹)]]/Table2[[#This Row],[Reach]]</f>
        <v>0.27994327059866136</v>
      </c>
      <c r="V348">
        <f>Table2[[#This Row],[Revenue_Generated (₹)]]/Table2[[#This Row],[Reach]]</f>
        <v>1.3549756290958277</v>
      </c>
    </row>
    <row r="349" spans="1:22" x14ac:dyDescent="0.3">
      <c r="A349" t="s">
        <v>400</v>
      </c>
      <c r="B349" t="s">
        <v>61</v>
      </c>
      <c r="C349" t="s">
        <v>37</v>
      </c>
      <c r="D349" t="s">
        <v>46</v>
      </c>
      <c r="E349">
        <v>74338</v>
      </c>
      <c r="F349">
        <v>53154</v>
      </c>
      <c r="G349">
        <v>72525</v>
      </c>
      <c r="H349">
        <v>4798</v>
      </c>
      <c r="I349">
        <v>667</v>
      </c>
      <c r="J349">
        <v>164</v>
      </c>
      <c r="K349">
        <f t="shared" si="10"/>
        <v>10.589983820596757</v>
      </c>
      <c r="L349">
        <v>301001</v>
      </c>
      <c r="M349">
        <v>880018</v>
      </c>
      <c r="N349">
        <f t="shared" si="11"/>
        <v>192.36381274480817</v>
      </c>
      <c r="O349" s="4">
        <v>45941</v>
      </c>
      <c r="P349" s="4">
        <v>45964</v>
      </c>
      <c r="Q349" t="s">
        <v>41</v>
      </c>
      <c r="R349">
        <f>Table2[[#This Row],[End_Date]]-Table2[[#This Row],[Start_Date]]</f>
        <v>23</v>
      </c>
      <c r="S349" t="str">
        <f>TEXT(Table2[[#This Row],[Start_Date]],"MMM")</f>
        <v>Oct</v>
      </c>
      <c r="T349">
        <f>YEAR(Table2[[#This Row],[Start_Date]])</f>
        <v>2025</v>
      </c>
      <c r="U349">
        <f>Table2[[#This Row],[Campaign_Cost (₹)]]/Table2[[#This Row],[Reach]]</f>
        <v>5.6628099484516685</v>
      </c>
      <c r="V349">
        <f>Table2[[#This Row],[Revenue_Generated (₹)]]/Table2[[#This Row],[Reach]]</f>
        <v>16.556007073785604</v>
      </c>
    </row>
    <row r="350" spans="1:22" x14ac:dyDescent="0.3">
      <c r="A350" t="s">
        <v>401</v>
      </c>
      <c r="B350" t="s">
        <v>36</v>
      </c>
      <c r="C350" t="s">
        <v>43</v>
      </c>
      <c r="D350" t="s">
        <v>72</v>
      </c>
      <c r="E350">
        <v>988558</v>
      </c>
      <c r="F350">
        <v>846820</v>
      </c>
      <c r="G350">
        <v>1699247</v>
      </c>
      <c r="H350">
        <v>45584</v>
      </c>
      <c r="I350">
        <v>1739</v>
      </c>
      <c r="J350">
        <v>1528</v>
      </c>
      <c r="K350">
        <f t="shared" si="10"/>
        <v>5.7687584138305663</v>
      </c>
      <c r="L350">
        <v>385603</v>
      </c>
      <c r="M350">
        <v>859542</v>
      </c>
      <c r="N350">
        <f t="shared" si="11"/>
        <v>122.90853546263905</v>
      </c>
      <c r="O350" s="4">
        <v>45821</v>
      </c>
      <c r="P350" s="4">
        <v>45830</v>
      </c>
      <c r="Q350" t="s">
        <v>25</v>
      </c>
      <c r="R350">
        <f>Table2[[#This Row],[End_Date]]-Table2[[#This Row],[Start_Date]]</f>
        <v>9</v>
      </c>
      <c r="S350" t="str">
        <f>TEXT(Table2[[#This Row],[Start_Date]],"MMM")</f>
        <v>Jun</v>
      </c>
      <c r="T350">
        <f>YEAR(Table2[[#This Row],[Start_Date]])</f>
        <v>2025</v>
      </c>
      <c r="U350">
        <f>Table2[[#This Row],[Campaign_Cost (₹)]]/Table2[[#This Row],[Reach]]</f>
        <v>0.45535414846130229</v>
      </c>
      <c r="V350">
        <f>Table2[[#This Row],[Revenue_Generated (₹)]]/Table2[[#This Row],[Reach]]</f>
        <v>1.0150232635034599</v>
      </c>
    </row>
    <row r="351" spans="1:22" x14ac:dyDescent="0.3">
      <c r="A351" t="s">
        <v>402</v>
      </c>
      <c r="B351" t="s">
        <v>18</v>
      </c>
      <c r="C351" t="s">
        <v>28</v>
      </c>
      <c r="D351" t="s">
        <v>29</v>
      </c>
      <c r="E351">
        <v>1916524</v>
      </c>
      <c r="F351">
        <v>1073444</v>
      </c>
      <c r="G351">
        <v>1337384</v>
      </c>
      <c r="H351">
        <v>158880</v>
      </c>
      <c r="I351">
        <v>10748</v>
      </c>
      <c r="J351">
        <v>9212</v>
      </c>
      <c r="K351">
        <f t="shared" si="10"/>
        <v>16.660394021485985</v>
      </c>
      <c r="L351">
        <v>73260</v>
      </c>
      <c r="M351">
        <v>335547</v>
      </c>
      <c r="N351">
        <f t="shared" si="11"/>
        <v>358.02211302211305</v>
      </c>
      <c r="O351" s="4">
        <v>46027</v>
      </c>
      <c r="P351" s="4">
        <v>46035</v>
      </c>
      <c r="Q351" t="s">
        <v>30</v>
      </c>
      <c r="R351">
        <f>Table2[[#This Row],[End_Date]]-Table2[[#This Row],[Start_Date]]</f>
        <v>8</v>
      </c>
      <c r="S351" t="str">
        <f>TEXT(Table2[[#This Row],[Start_Date]],"MMM")</f>
        <v>Jan</v>
      </c>
      <c r="T351">
        <f>YEAR(Table2[[#This Row],[Start_Date]])</f>
        <v>2026</v>
      </c>
      <c r="U351">
        <f>Table2[[#This Row],[Campaign_Cost (₹)]]/Table2[[#This Row],[Reach]]</f>
        <v>6.8247621673790157E-2</v>
      </c>
      <c r="V351">
        <f>Table2[[#This Row],[Revenue_Generated (₹)]]/Table2[[#This Row],[Reach]]</f>
        <v>0.31258919887763126</v>
      </c>
    </row>
    <row r="352" spans="1:22" x14ac:dyDescent="0.3">
      <c r="A352" t="s">
        <v>403</v>
      </c>
      <c r="B352" t="s">
        <v>32</v>
      </c>
      <c r="C352" t="s">
        <v>19</v>
      </c>
      <c r="D352" t="s">
        <v>29</v>
      </c>
      <c r="E352">
        <v>567845</v>
      </c>
      <c r="F352">
        <v>399439</v>
      </c>
      <c r="G352">
        <v>513704</v>
      </c>
      <c r="H352">
        <v>27496</v>
      </c>
      <c r="I352">
        <v>1821</v>
      </c>
      <c r="J352">
        <v>1041</v>
      </c>
      <c r="K352">
        <f t="shared" si="10"/>
        <v>7.6001592233106932</v>
      </c>
      <c r="L352">
        <v>411604</v>
      </c>
      <c r="M352">
        <v>693853</v>
      </c>
      <c r="N352">
        <f t="shared" si="11"/>
        <v>68.572948756571847</v>
      </c>
      <c r="O352" s="4">
        <v>45942</v>
      </c>
      <c r="P352" s="4">
        <v>45967</v>
      </c>
      <c r="Q352" t="s">
        <v>78</v>
      </c>
      <c r="R352">
        <f>Table2[[#This Row],[End_Date]]-Table2[[#This Row],[Start_Date]]</f>
        <v>25</v>
      </c>
      <c r="S352" t="str">
        <f>TEXT(Table2[[#This Row],[Start_Date]],"MMM")</f>
        <v>Oct</v>
      </c>
      <c r="T352">
        <f>YEAR(Table2[[#This Row],[Start_Date]])</f>
        <v>2025</v>
      </c>
      <c r="U352">
        <f>Table2[[#This Row],[Campaign_Cost (₹)]]/Table2[[#This Row],[Reach]]</f>
        <v>1.0304552134368452</v>
      </c>
      <c r="V352">
        <f>Table2[[#This Row],[Revenue_Generated (₹)]]/Table2[[#This Row],[Reach]]</f>
        <v>1.7370687389063162</v>
      </c>
    </row>
    <row r="353" spans="1:22" x14ac:dyDescent="0.3">
      <c r="A353" t="s">
        <v>404</v>
      </c>
      <c r="B353" t="s">
        <v>18</v>
      </c>
      <c r="C353" t="s">
        <v>19</v>
      </c>
      <c r="D353" t="s">
        <v>51</v>
      </c>
      <c r="E353">
        <v>1299458</v>
      </c>
      <c r="F353">
        <v>335286</v>
      </c>
      <c r="G353">
        <v>373992</v>
      </c>
      <c r="H353">
        <v>27285</v>
      </c>
      <c r="I353">
        <v>1683</v>
      </c>
      <c r="J353">
        <v>1933</v>
      </c>
      <c r="K353">
        <f t="shared" si="10"/>
        <v>9.2163108510346401</v>
      </c>
      <c r="L353">
        <v>144022</v>
      </c>
      <c r="M353">
        <v>655997</v>
      </c>
      <c r="N353">
        <f t="shared" si="11"/>
        <v>355.48388440654901</v>
      </c>
      <c r="O353" s="4">
        <v>45903</v>
      </c>
      <c r="P353" s="4">
        <v>45913</v>
      </c>
      <c r="Q353" t="s">
        <v>54</v>
      </c>
      <c r="R353">
        <f>Table2[[#This Row],[End_Date]]-Table2[[#This Row],[Start_Date]]</f>
        <v>10</v>
      </c>
      <c r="S353" t="str">
        <f>TEXT(Table2[[#This Row],[Start_Date]],"MMM")</f>
        <v>Sep</v>
      </c>
      <c r="T353">
        <f>YEAR(Table2[[#This Row],[Start_Date]])</f>
        <v>2025</v>
      </c>
      <c r="U353">
        <f>Table2[[#This Row],[Campaign_Cost (₹)]]/Table2[[#This Row],[Reach]]</f>
        <v>0.42954969786987823</v>
      </c>
      <c r="V353">
        <f>Table2[[#This Row],[Revenue_Generated (₹)]]/Table2[[#This Row],[Reach]]</f>
        <v>1.9565296493143167</v>
      </c>
    </row>
    <row r="354" spans="1:22" x14ac:dyDescent="0.3">
      <c r="A354" t="s">
        <v>405</v>
      </c>
      <c r="B354" t="s">
        <v>36</v>
      </c>
      <c r="C354" t="s">
        <v>33</v>
      </c>
      <c r="D354" t="s">
        <v>46</v>
      </c>
      <c r="E354">
        <v>1287983</v>
      </c>
      <c r="F354">
        <v>750186</v>
      </c>
      <c r="G354">
        <v>985462</v>
      </c>
      <c r="H354">
        <v>56284</v>
      </c>
      <c r="I354">
        <v>5776</v>
      </c>
      <c r="J354">
        <v>1182</v>
      </c>
      <c r="K354">
        <f t="shared" si="10"/>
        <v>8.4301759830228757</v>
      </c>
      <c r="L354">
        <v>78138</v>
      </c>
      <c r="M354">
        <v>177997</v>
      </c>
      <c r="N354">
        <f t="shared" si="11"/>
        <v>127.79825437047276</v>
      </c>
      <c r="O354" s="4">
        <v>45750</v>
      </c>
      <c r="P354" s="4">
        <v>45780</v>
      </c>
      <c r="Q354" t="s">
        <v>30</v>
      </c>
      <c r="R354">
        <f>Table2[[#This Row],[End_Date]]-Table2[[#This Row],[Start_Date]]</f>
        <v>30</v>
      </c>
      <c r="S354" t="str">
        <f>TEXT(Table2[[#This Row],[Start_Date]],"MMM")</f>
        <v>Apr</v>
      </c>
      <c r="T354">
        <f>YEAR(Table2[[#This Row],[Start_Date]])</f>
        <v>2025</v>
      </c>
      <c r="U354">
        <f>Table2[[#This Row],[Campaign_Cost (₹)]]/Table2[[#This Row],[Reach]]</f>
        <v>0.10415816877414401</v>
      </c>
      <c r="V354">
        <f>Table2[[#This Row],[Revenue_Generated (₹)]]/Table2[[#This Row],[Reach]]</f>
        <v>0.2372704902517509</v>
      </c>
    </row>
    <row r="355" spans="1:22" x14ac:dyDescent="0.3">
      <c r="A355" t="s">
        <v>406</v>
      </c>
      <c r="B355" t="s">
        <v>63</v>
      </c>
      <c r="C355" t="s">
        <v>19</v>
      </c>
      <c r="D355" t="s">
        <v>24</v>
      </c>
      <c r="E355">
        <v>505724</v>
      </c>
      <c r="F355">
        <v>240077</v>
      </c>
      <c r="G355">
        <v>594168</v>
      </c>
      <c r="H355">
        <v>24293</v>
      </c>
      <c r="I355">
        <v>2966</v>
      </c>
      <c r="J355">
        <v>1499</v>
      </c>
      <c r="K355">
        <f t="shared" si="10"/>
        <v>11.978656847594731</v>
      </c>
      <c r="L355">
        <v>346470</v>
      </c>
      <c r="M355">
        <v>1593190</v>
      </c>
      <c r="N355">
        <f t="shared" si="11"/>
        <v>359.83490634109734</v>
      </c>
      <c r="O355" s="4">
        <v>45831</v>
      </c>
      <c r="P355" s="4">
        <v>45844</v>
      </c>
      <c r="Q355" t="s">
        <v>54</v>
      </c>
      <c r="R355">
        <f>Table2[[#This Row],[End_Date]]-Table2[[#This Row],[Start_Date]]</f>
        <v>13</v>
      </c>
      <c r="S355" t="str">
        <f>TEXT(Table2[[#This Row],[Start_Date]],"MMM")</f>
        <v>Jun</v>
      </c>
      <c r="T355">
        <f>YEAR(Table2[[#This Row],[Start_Date]])</f>
        <v>2025</v>
      </c>
      <c r="U355">
        <f>Table2[[#This Row],[Campaign_Cost (₹)]]/Table2[[#This Row],[Reach]]</f>
        <v>1.4431619855296425</v>
      </c>
      <c r="V355">
        <f>Table2[[#This Row],[Revenue_Generated (₹)]]/Table2[[#This Row],[Reach]]</f>
        <v>6.6361625645105526</v>
      </c>
    </row>
    <row r="356" spans="1:22" x14ac:dyDescent="0.3">
      <c r="A356" t="s">
        <v>407</v>
      </c>
      <c r="B356" t="s">
        <v>63</v>
      </c>
      <c r="C356" t="s">
        <v>43</v>
      </c>
      <c r="D356" t="s">
        <v>72</v>
      </c>
      <c r="E356">
        <v>817246</v>
      </c>
      <c r="F356">
        <v>548913</v>
      </c>
      <c r="G356">
        <v>1350796</v>
      </c>
      <c r="H356">
        <v>29549</v>
      </c>
      <c r="I356">
        <v>2045</v>
      </c>
      <c r="J356">
        <v>1526</v>
      </c>
      <c r="K356">
        <f t="shared" si="10"/>
        <v>6.0337430521776678</v>
      </c>
      <c r="L356">
        <v>476562</v>
      </c>
      <c r="M356">
        <v>1661415</v>
      </c>
      <c r="N356">
        <f t="shared" si="11"/>
        <v>248.62515265589789</v>
      </c>
      <c r="O356" s="4">
        <v>45923</v>
      </c>
      <c r="P356" s="4">
        <v>45934</v>
      </c>
      <c r="Q356" t="s">
        <v>41</v>
      </c>
      <c r="R356">
        <f>Table2[[#This Row],[End_Date]]-Table2[[#This Row],[Start_Date]]</f>
        <v>11</v>
      </c>
      <c r="S356" t="str">
        <f>TEXT(Table2[[#This Row],[Start_Date]],"MMM")</f>
        <v>Sep</v>
      </c>
      <c r="T356">
        <f>YEAR(Table2[[#This Row],[Start_Date]])</f>
        <v>2025</v>
      </c>
      <c r="U356">
        <f>Table2[[#This Row],[Campaign_Cost (₹)]]/Table2[[#This Row],[Reach]]</f>
        <v>0.86819222718354272</v>
      </c>
      <c r="V356">
        <f>Table2[[#This Row],[Revenue_Generated (₹)]]/Table2[[#This Row],[Reach]]</f>
        <v>3.0267364773652656</v>
      </c>
    </row>
    <row r="357" spans="1:22" x14ac:dyDescent="0.3">
      <c r="A357" t="s">
        <v>408</v>
      </c>
      <c r="B357" t="s">
        <v>80</v>
      </c>
      <c r="C357" t="s">
        <v>28</v>
      </c>
      <c r="D357" t="s">
        <v>20</v>
      </c>
      <c r="E357">
        <v>307779</v>
      </c>
      <c r="F357">
        <v>258502</v>
      </c>
      <c r="G357">
        <v>335162</v>
      </c>
      <c r="H357">
        <v>17228</v>
      </c>
      <c r="I357">
        <v>2329</v>
      </c>
      <c r="J357">
        <v>1502</v>
      </c>
      <c r="K357">
        <f t="shared" si="10"/>
        <v>8.1465520576243122</v>
      </c>
      <c r="L357">
        <v>17635</v>
      </c>
      <c r="M357">
        <v>57573</v>
      </c>
      <c r="N357">
        <f t="shared" si="11"/>
        <v>226.47008789339381</v>
      </c>
      <c r="O357" s="4">
        <v>45702</v>
      </c>
      <c r="P357" s="4">
        <v>45711</v>
      </c>
      <c r="Q357" t="s">
        <v>54</v>
      </c>
      <c r="R357">
        <f>Table2[[#This Row],[End_Date]]-Table2[[#This Row],[Start_Date]]</f>
        <v>9</v>
      </c>
      <c r="S357" t="str">
        <f>TEXT(Table2[[#This Row],[Start_Date]],"MMM")</f>
        <v>Feb</v>
      </c>
      <c r="T357">
        <f>YEAR(Table2[[#This Row],[Start_Date]])</f>
        <v>2025</v>
      </c>
      <c r="U357">
        <f>Table2[[#This Row],[Campaign_Cost (₹)]]/Table2[[#This Row],[Reach]]</f>
        <v>6.8219975087233362E-2</v>
      </c>
      <c r="V357">
        <f>Table2[[#This Row],[Revenue_Generated (₹)]]/Table2[[#This Row],[Reach]]</f>
        <v>0.22271781262814214</v>
      </c>
    </row>
    <row r="358" spans="1:22" x14ac:dyDescent="0.3">
      <c r="A358" t="s">
        <v>409</v>
      </c>
      <c r="B358" t="s">
        <v>23</v>
      </c>
      <c r="C358" t="s">
        <v>28</v>
      </c>
      <c r="D358" t="s">
        <v>29</v>
      </c>
      <c r="E358">
        <v>777978</v>
      </c>
      <c r="F358">
        <v>241529</v>
      </c>
      <c r="G358">
        <v>602523</v>
      </c>
      <c r="H358">
        <v>27969</v>
      </c>
      <c r="I358">
        <v>1829</v>
      </c>
      <c r="J358">
        <v>2174</v>
      </c>
      <c r="K358">
        <f t="shared" si="10"/>
        <v>13.23733381912731</v>
      </c>
      <c r="L358">
        <v>106874</v>
      </c>
      <c r="M358">
        <v>431677</v>
      </c>
      <c r="N358">
        <f t="shared" si="11"/>
        <v>303.91208338791478</v>
      </c>
      <c r="O358" s="4">
        <v>46018</v>
      </c>
      <c r="P358" s="4">
        <v>46028</v>
      </c>
      <c r="Q358" t="s">
        <v>25</v>
      </c>
      <c r="R358">
        <f>Table2[[#This Row],[End_Date]]-Table2[[#This Row],[Start_Date]]</f>
        <v>10</v>
      </c>
      <c r="S358" t="str">
        <f>TEXT(Table2[[#This Row],[Start_Date]],"MMM")</f>
        <v>Dec</v>
      </c>
      <c r="T358">
        <f>YEAR(Table2[[#This Row],[Start_Date]])</f>
        <v>2025</v>
      </c>
      <c r="U358">
        <f>Table2[[#This Row],[Campaign_Cost (₹)]]/Table2[[#This Row],[Reach]]</f>
        <v>0.4424893077021807</v>
      </c>
      <c r="V358">
        <f>Table2[[#This Row],[Revenue_Generated (₹)]]/Table2[[#This Row],[Reach]]</f>
        <v>1.7872677815086386</v>
      </c>
    </row>
    <row r="359" spans="1:22" x14ac:dyDescent="0.3">
      <c r="A359" t="s">
        <v>410</v>
      </c>
      <c r="B359" t="s">
        <v>45</v>
      </c>
      <c r="C359" t="s">
        <v>28</v>
      </c>
      <c r="D359" t="s">
        <v>20</v>
      </c>
      <c r="E359">
        <v>518096</v>
      </c>
      <c r="F359">
        <v>308458</v>
      </c>
      <c r="G359">
        <v>747421</v>
      </c>
      <c r="H359">
        <v>17829</v>
      </c>
      <c r="I359">
        <v>1329</v>
      </c>
      <c r="J359">
        <v>1527</v>
      </c>
      <c r="K359">
        <f t="shared" si="10"/>
        <v>6.7059372750909372</v>
      </c>
      <c r="L359">
        <v>55622</v>
      </c>
      <c r="M359">
        <v>104108</v>
      </c>
      <c r="N359">
        <f t="shared" si="11"/>
        <v>87.170544029340917</v>
      </c>
      <c r="O359" s="4">
        <v>45973</v>
      </c>
      <c r="P359" s="4">
        <v>46003</v>
      </c>
      <c r="Q359" t="s">
        <v>21</v>
      </c>
      <c r="R359">
        <f>Table2[[#This Row],[End_Date]]-Table2[[#This Row],[Start_Date]]</f>
        <v>30</v>
      </c>
      <c r="S359" t="str">
        <f>TEXT(Table2[[#This Row],[Start_Date]],"MMM")</f>
        <v>Nov</v>
      </c>
      <c r="T359">
        <f>YEAR(Table2[[#This Row],[Start_Date]])</f>
        <v>2025</v>
      </c>
      <c r="U359">
        <f>Table2[[#This Row],[Campaign_Cost (₹)]]/Table2[[#This Row],[Reach]]</f>
        <v>0.18032276679483106</v>
      </c>
      <c r="V359">
        <f>Table2[[#This Row],[Revenue_Generated (₹)]]/Table2[[#This Row],[Reach]]</f>
        <v>0.337511103618645</v>
      </c>
    </row>
    <row r="360" spans="1:22" x14ac:dyDescent="0.3">
      <c r="A360" t="s">
        <v>411</v>
      </c>
      <c r="B360" t="s">
        <v>39</v>
      </c>
      <c r="C360" t="s">
        <v>37</v>
      </c>
      <c r="D360" t="s">
        <v>20</v>
      </c>
      <c r="E360">
        <v>1981334</v>
      </c>
      <c r="F360">
        <v>1059763</v>
      </c>
      <c r="G360">
        <v>1826442</v>
      </c>
      <c r="H360">
        <v>153442</v>
      </c>
      <c r="I360">
        <v>18276</v>
      </c>
      <c r="J360">
        <v>13156</v>
      </c>
      <c r="K360">
        <f t="shared" si="10"/>
        <v>17.444843799981694</v>
      </c>
      <c r="L360">
        <v>390352</v>
      </c>
      <c r="M360">
        <v>1461621</v>
      </c>
      <c r="N360">
        <f t="shared" si="11"/>
        <v>274.43666229454442</v>
      </c>
      <c r="O360" s="4">
        <v>45899</v>
      </c>
      <c r="P360" s="4">
        <v>45918</v>
      </c>
      <c r="Q360" t="s">
        <v>30</v>
      </c>
      <c r="R360">
        <f>Table2[[#This Row],[End_Date]]-Table2[[#This Row],[Start_Date]]</f>
        <v>19</v>
      </c>
      <c r="S360" t="str">
        <f>TEXT(Table2[[#This Row],[Start_Date]],"MMM")</f>
        <v>Aug</v>
      </c>
      <c r="T360">
        <f>YEAR(Table2[[#This Row],[Start_Date]])</f>
        <v>2025</v>
      </c>
      <c r="U360">
        <f>Table2[[#This Row],[Campaign_Cost (₹)]]/Table2[[#This Row],[Reach]]</f>
        <v>0.36833895880494033</v>
      </c>
      <c r="V360">
        <f>Table2[[#This Row],[Revenue_Generated (₹)]]/Table2[[#This Row],[Reach]]</f>
        <v>1.3791961032796956</v>
      </c>
    </row>
    <row r="361" spans="1:22" x14ac:dyDescent="0.3">
      <c r="A361" t="s">
        <v>412</v>
      </c>
      <c r="B361" t="s">
        <v>36</v>
      </c>
      <c r="C361" t="s">
        <v>19</v>
      </c>
      <c r="D361" t="s">
        <v>46</v>
      </c>
      <c r="E361">
        <v>962198</v>
      </c>
      <c r="F361">
        <v>306743</v>
      </c>
      <c r="G361">
        <v>451991</v>
      </c>
      <c r="H361">
        <v>42318</v>
      </c>
      <c r="I361">
        <v>1809</v>
      </c>
      <c r="J361">
        <v>1679</v>
      </c>
      <c r="K361">
        <f t="shared" si="10"/>
        <v>14.933022106453937</v>
      </c>
      <c r="L361">
        <v>442595</v>
      </c>
      <c r="M361">
        <v>1389710</v>
      </c>
      <c r="N361">
        <f t="shared" si="11"/>
        <v>213.99134649058396</v>
      </c>
      <c r="O361" s="4">
        <v>45695</v>
      </c>
      <c r="P361" s="4">
        <v>45709</v>
      </c>
      <c r="Q361" t="s">
        <v>54</v>
      </c>
      <c r="R361">
        <f>Table2[[#This Row],[End_Date]]-Table2[[#This Row],[Start_Date]]</f>
        <v>14</v>
      </c>
      <c r="S361" t="str">
        <f>TEXT(Table2[[#This Row],[Start_Date]],"MMM")</f>
        <v>Feb</v>
      </c>
      <c r="T361">
        <f>YEAR(Table2[[#This Row],[Start_Date]])</f>
        <v>2025</v>
      </c>
      <c r="U361">
        <f>Table2[[#This Row],[Campaign_Cost (₹)]]/Table2[[#This Row],[Reach]]</f>
        <v>1.4428854122180457</v>
      </c>
      <c r="V361">
        <f>Table2[[#This Row],[Revenue_Generated (₹)]]/Table2[[#This Row],[Reach]]</f>
        <v>4.5305353341396541</v>
      </c>
    </row>
    <row r="362" spans="1:22" x14ac:dyDescent="0.3">
      <c r="A362" t="s">
        <v>413</v>
      </c>
      <c r="B362" t="s">
        <v>49</v>
      </c>
      <c r="C362" t="s">
        <v>37</v>
      </c>
      <c r="D362" t="s">
        <v>58</v>
      </c>
      <c r="E362">
        <v>771754</v>
      </c>
      <c r="F362">
        <v>504968</v>
      </c>
      <c r="G362">
        <v>818858</v>
      </c>
      <c r="H362">
        <v>66425</v>
      </c>
      <c r="I362">
        <v>7108</v>
      </c>
      <c r="J362">
        <v>6305</v>
      </c>
      <c r="K362">
        <f t="shared" si="10"/>
        <v>15.810506804391567</v>
      </c>
      <c r="L362">
        <v>211643</v>
      </c>
      <c r="M362">
        <v>384772</v>
      </c>
      <c r="N362">
        <f t="shared" si="11"/>
        <v>81.802374753712613</v>
      </c>
      <c r="O362" s="4">
        <v>45797</v>
      </c>
      <c r="P362" s="4">
        <v>45825</v>
      </c>
      <c r="Q362" t="s">
        <v>21</v>
      </c>
      <c r="R362">
        <f>Table2[[#This Row],[End_Date]]-Table2[[#This Row],[Start_Date]]</f>
        <v>28</v>
      </c>
      <c r="S362" t="str">
        <f>TEXT(Table2[[#This Row],[Start_Date]],"MMM")</f>
        <v>May</v>
      </c>
      <c r="T362">
        <f>YEAR(Table2[[#This Row],[Start_Date]])</f>
        <v>2025</v>
      </c>
      <c r="U362">
        <f>Table2[[#This Row],[Campaign_Cost (₹)]]/Table2[[#This Row],[Reach]]</f>
        <v>0.41912160770583484</v>
      </c>
      <c r="V362">
        <f>Table2[[#This Row],[Revenue_Generated (₹)]]/Table2[[#This Row],[Reach]]</f>
        <v>0.76197303591514709</v>
      </c>
    </row>
    <row r="363" spans="1:22" x14ac:dyDescent="0.3">
      <c r="A363" t="s">
        <v>414</v>
      </c>
      <c r="B363" t="s">
        <v>23</v>
      </c>
      <c r="C363" t="s">
        <v>33</v>
      </c>
      <c r="D363" t="s">
        <v>72</v>
      </c>
      <c r="E363">
        <v>554830</v>
      </c>
      <c r="F363">
        <v>219423</v>
      </c>
      <c r="G363">
        <v>441855</v>
      </c>
      <c r="H363">
        <v>31532</v>
      </c>
      <c r="I363">
        <v>3730</v>
      </c>
      <c r="J363">
        <v>2283</v>
      </c>
      <c r="K363">
        <f t="shared" si="10"/>
        <v>17.11078601605119</v>
      </c>
      <c r="L363">
        <v>256337</v>
      </c>
      <c r="M363">
        <v>1096399</v>
      </c>
      <c r="N363">
        <f t="shared" si="11"/>
        <v>327.717808978025</v>
      </c>
      <c r="O363" s="4">
        <v>46113</v>
      </c>
      <c r="P363" s="4">
        <v>46126</v>
      </c>
      <c r="Q363" t="s">
        <v>41</v>
      </c>
      <c r="R363">
        <f>Table2[[#This Row],[End_Date]]-Table2[[#This Row],[Start_Date]]</f>
        <v>13</v>
      </c>
      <c r="S363" t="str">
        <f>TEXT(Table2[[#This Row],[Start_Date]],"MMM")</f>
        <v>Apr</v>
      </c>
      <c r="T363">
        <f>YEAR(Table2[[#This Row],[Start_Date]])</f>
        <v>2026</v>
      </c>
      <c r="U363">
        <f>Table2[[#This Row],[Campaign_Cost (₹)]]/Table2[[#This Row],[Reach]]</f>
        <v>1.1682321361024142</v>
      </c>
      <c r="V363">
        <f>Table2[[#This Row],[Revenue_Generated (₹)]]/Table2[[#This Row],[Reach]]</f>
        <v>4.9967368963144247</v>
      </c>
    </row>
    <row r="364" spans="1:22" x14ac:dyDescent="0.3">
      <c r="A364" t="s">
        <v>415</v>
      </c>
      <c r="B364" t="s">
        <v>23</v>
      </c>
      <c r="C364" t="s">
        <v>33</v>
      </c>
      <c r="D364" t="s">
        <v>40</v>
      </c>
      <c r="E364">
        <v>1120619</v>
      </c>
      <c r="F364">
        <v>919847</v>
      </c>
      <c r="G364">
        <v>2055616</v>
      </c>
      <c r="H364">
        <v>49918</v>
      </c>
      <c r="I364">
        <v>2110</v>
      </c>
      <c r="J364">
        <v>1766</v>
      </c>
      <c r="K364">
        <f t="shared" si="10"/>
        <v>5.8481464852306955</v>
      </c>
      <c r="L364">
        <v>392151</v>
      </c>
      <c r="M364">
        <v>1802051</v>
      </c>
      <c r="N364">
        <f t="shared" si="11"/>
        <v>359.52987497163082</v>
      </c>
      <c r="O364" s="4">
        <v>46091</v>
      </c>
      <c r="P364" s="4">
        <v>46099</v>
      </c>
      <c r="Q364" t="s">
        <v>30</v>
      </c>
      <c r="R364">
        <f>Table2[[#This Row],[End_Date]]-Table2[[#This Row],[Start_Date]]</f>
        <v>8</v>
      </c>
      <c r="S364" t="str">
        <f>TEXT(Table2[[#This Row],[Start_Date]],"MMM")</f>
        <v>Mar</v>
      </c>
      <c r="T364">
        <f>YEAR(Table2[[#This Row],[Start_Date]])</f>
        <v>2026</v>
      </c>
      <c r="U364">
        <f>Table2[[#This Row],[Campaign_Cost (₹)]]/Table2[[#This Row],[Reach]]</f>
        <v>0.42632198615639338</v>
      </c>
      <c r="V364">
        <f>Table2[[#This Row],[Revenue_Generated (₹)]]/Table2[[#This Row],[Reach]]</f>
        <v>1.9590768899610478</v>
      </c>
    </row>
    <row r="365" spans="1:22" x14ac:dyDescent="0.3">
      <c r="A365" t="s">
        <v>416</v>
      </c>
      <c r="B365" t="s">
        <v>80</v>
      </c>
      <c r="C365" t="s">
        <v>43</v>
      </c>
      <c r="D365" t="s">
        <v>20</v>
      </c>
      <c r="E365">
        <v>1396868</v>
      </c>
      <c r="F365">
        <v>480807</v>
      </c>
      <c r="G365">
        <v>1100782</v>
      </c>
      <c r="H365">
        <v>11547</v>
      </c>
      <c r="I365">
        <v>591</v>
      </c>
      <c r="J365">
        <v>454</v>
      </c>
      <c r="K365">
        <f t="shared" si="10"/>
        <v>2.6189302568390227</v>
      </c>
      <c r="L365">
        <v>335097</v>
      </c>
      <c r="M365">
        <v>548623</v>
      </c>
      <c r="N365">
        <f t="shared" si="11"/>
        <v>63.720654019582391</v>
      </c>
      <c r="O365" s="4">
        <v>46056</v>
      </c>
      <c r="P365" s="4">
        <v>46074</v>
      </c>
      <c r="Q365" t="s">
        <v>21</v>
      </c>
      <c r="R365">
        <f>Table2[[#This Row],[End_Date]]-Table2[[#This Row],[Start_Date]]</f>
        <v>18</v>
      </c>
      <c r="S365" t="str">
        <f>TEXT(Table2[[#This Row],[Start_Date]],"MMM")</f>
        <v>Feb</v>
      </c>
      <c r="T365">
        <f>YEAR(Table2[[#This Row],[Start_Date]])</f>
        <v>2026</v>
      </c>
      <c r="U365">
        <f>Table2[[#This Row],[Campaign_Cost (₹)]]/Table2[[#This Row],[Reach]]</f>
        <v>0.69694700784306385</v>
      </c>
      <c r="V365">
        <f>Table2[[#This Row],[Revenue_Generated (₹)]]/Table2[[#This Row],[Reach]]</f>
        <v>1.1410461994105743</v>
      </c>
    </row>
    <row r="366" spans="1:22" x14ac:dyDescent="0.3">
      <c r="A366" t="s">
        <v>417</v>
      </c>
      <c r="B366" t="s">
        <v>63</v>
      </c>
      <c r="C366" t="s">
        <v>37</v>
      </c>
      <c r="D366" t="s">
        <v>46</v>
      </c>
      <c r="E366">
        <v>1803518</v>
      </c>
      <c r="F366">
        <v>1177571</v>
      </c>
      <c r="G366">
        <v>2093732</v>
      </c>
      <c r="H366">
        <v>144772</v>
      </c>
      <c r="I366">
        <v>17682</v>
      </c>
      <c r="J366">
        <v>11168</v>
      </c>
      <c r="K366">
        <f t="shared" si="10"/>
        <v>14.744079125589879</v>
      </c>
      <c r="L366">
        <v>41160</v>
      </c>
      <c r="M366">
        <v>106159</v>
      </c>
      <c r="N366">
        <f t="shared" si="11"/>
        <v>157.91788143828961</v>
      </c>
      <c r="O366" s="4">
        <v>45857</v>
      </c>
      <c r="P366" s="4">
        <v>45885</v>
      </c>
      <c r="Q366" t="s">
        <v>78</v>
      </c>
      <c r="R366">
        <f>Table2[[#This Row],[End_Date]]-Table2[[#This Row],[Start_Date]]</f>
        <v>28</v>
      </c>
      <c r="S366" t="str">
        <f>TEXT(Table2[[#This Row],[Start_Date]],"MMM")</f>
        <v>Jul</v>
      </c>
      <c r="T366">
        <f>YEAR(Table2[[#This Row],[Start_Date]])</f>
        <v>2025</v>
      </c>
      <c r="U366">
        <f>Table2[[#This Row],[Campaign_Cost (₹)]]/Table2[[#This Row],[Reach]]</f>
        <v>3.4953306424835531E-2</v>
      </c>
      <c r="V366">
        <f>Table2[[#This Row],[Revenue_Generated (₹)]]/Table2[[#This Row],[Reach]]</f>
        <v>9.0150827423569363E-2</v>
      </c>
    </row>
    <row r="367" spans="1:22" x14ac:dyDescent="0.3">
      <c r="A367" t="s">
        <v>418</v>
      </c>
      <c r="B367" t="s">
        <v>45</v>
      </c>
      <c r="C367" t="s">
        <v>28</v>
      </c>
      <c r="D367" t="s">
        <v>58</v>
      </c>
      <c r="E367">
        <v>217345</v>
      </c>
      <c r="F367">
        <v>132957</v>
      </c>
      <c r="G367">
        <v>394488</v>
      </c>
      <c r="H367">
        <v>10258</v>
      </c>
      <c r="I367">
        <v>469</v>
      </c>
      <c r="J367">
        <v>219</v>
      </c>
      <c r="K367">
        <f t="shared" si="10"/>
        <v>8.232736899899967</v>
      </c>
      <c r="L367">
        <v>227099</v>
      </c>
      <c r="M367">
        <v>942091</v>
      </c>
      <c r="N367">
        <f t="shared" si="11"/>
        <v>314.83714151097098</v>
      </c>
      <c r="O367" s="4">
        <v>46042</v>
      </c>
      <c r="P367" s="4">
        <v>46061</v>
      </c>
      <c r="Q367" t="s">
        <v>41</v>
      </c>
      <c r="R367">
        <f>Table2[[#This Row],[End_Date]]-Table2[[#This Row],[Start_Date]]</f>
        <v>19</v>
      </c>
      <c r="S367" t="str">
        <f>TEXT(Table2[[#This Row],[Start_Date]],"MMM")</f>
        <v>Jan</v>
      </c>
      <c r="T367">
        <f>YEAR(Table2[[#This Row],[Start_Date]])</f>
        <v>2026</v>
      </c>
      <c r="U367">
        <f>Table2[[#This Row],[Campaign_Cost (₹)]]/Table2[[#This Row],[Reach]]</f>
        <v>1.7080635092548719</v>
      </c>
      <c r="V367">
        <f>Table2[[#This Row],[Revenue_Generated (₹)]]/Table2[[#This Row],[Reach]]</f>
        <v>7.0856818369848895</v>
      </c>
    </row>
    <row r="368" spans="1:22" x14ac:dyDescent="0.3">
      <c r="A368" t="s">
        <v>419</v>
      </c>
      <c r="B368" t="s">
        <v>49</v>
      </c>
      <c r="C368" t="s">
        <v>28</v>
      </c>
      <c r="D368" t="s">
        <v>40</v>
      </c>
      <c r="E368">
        <v>814242</v>
      </c>
      <c r="F368">
        <v>687849</v>
      </c>
      <c r="G368">
        <v>1687987</v>
      </c>
      <c r="H368">
        <v>65562</v>
      </c>
      <c r="I368">
        <v>7582</v>
      </c>
      <c r="J368">
        <v>5350</v>
      </c>
      <c r="K368">
        <f t="shared" si="10"/>
        <v>11.411516190326656</v>
      </c>
      <c r="L368">
        <v>451131</v>
      </c>
      <c r="M368">
        <v>1606935</v>
      </c>
      <c r="N368">
        <f t="shared" si="11"/>
        <v>256.20141378003285</v>
      </c>
      <c r="O368" s="4">
        <v>45700</v>
      </c>
      <c r="P368" s="4">
        <v>45710</v>
      </c>
      <c r="Q368" t="s">
        <v>34</v>
      </c>
      <c r="R368">
        <f>Table2[[#This Row],[End_Date]]-Table2[[#This Row],[Start_Date]]</f>
        <v>10</v>
      </c>
      <c r="S368" t="str">
        <f>TEXT(Table2[[#This Row],[Start_Date]],"MMM")</f>
        <v>Feb</v>
      </c>
      <c r="T368">
        <f>YEAR(Table2[[#This Row],[Start_Date]])</f>
        <v>2025</v>
      </c>
      <c r="U368">
        <f>Table2[[#This Row],[Campaign_Cost (₹)]]/Table2[[#This Row],[Reach]]</f>
        <v>0.65585760828321327</v>
      </c>
      <c r="V368">
        <f>Table2[[#This Row],[Revenue_Generated (₹)]]/Table2[[#This Row],[Reach]]</f>
        <v>2.3361740730887157</v>
      </c>
    </row>
    <row r="369" spans="1:22" x14ac:dyDescent="0.3">
      <c r="A369" t="s">
        <v>420</v>
      </c>
      <c r="B369" t="s">
        <v>39</v>
      </c>
      <c r="C369" t="s">
        <v>33</v>
      </c>
      <c r="D369" t="s">
        <v>20</v>
      </c>
      <c r="E369">
        <v>671836</v>
      </c>
      <c r="F369">
        <v>327529</v>
      </c>
      <c r="G369">
        <v>551467</v>
      </c>
      <c r="H369">
        <v>39985</v>
      </c>
      <c r="I369">
        <v>4840</v>
      </c>
      <c r="J369">
        <v>2612</v>
      </c>
      <c r="K369">
        <f t="shared" si="10"/>
        <v>14.483297662191744</v>
      </c>
      <c r="L369">
        <v>128372</v>
      </c>
      <c r="M369">
        <v>244008</v>
      </c>
      <c r="N369">
        <f t="shared" si="11"/>
        <v>90.078833390458982</v>
      </c>
      <c r="O369" s="4">
        <v>45725</v>
      </c>
      <c r="P369" s="4">
        <v>45750</v>
      </c>
      <c r="Q369" t="s">
        <v>21</v>
      </c>
      <c r="R369">
        <f>Table2[[#This Row],[End_Date]]-Table2[[#This Row],[Start_Date]]</f>
        <v>25</v>
      </c>
      <c r="S369" t="str">
        <f>TEXT(Table2[[#This Row],[Start_Date]],"MMM")</f>
        <v>Mar</v>
      </c>
      <c r="T369">
        <f>YEAR(Table2[[#This Row],[Start_Date]])</f>
        <v>2025</v>
      </c>
      <c r="U369">
        <f>Table2[[#This Row],[Campaign_Cost (₹)]]/Table2[[#This Row],[Reach]]</f>
        <v>0.39194086630496844</v>
      </c>
      <c r="V369">
        <f>Table2[[#This Row],[Revenue_Generated (₹)]]/Table2[[#This Row],[Reach]]</f>
        <v>0.7449966262529425</v>
      </c>
    </row>
    <row r="370" spans="1:22" x14ac:dyDescent="0.3">
      <c r="A370" t="s">
        <v>421</v>
      </c>
      <c r="B370" t="s">
        <v>18</v>
      </c>
      <c r="C370" t="s">
        <v>28</v>
      </c>
      <c r="D370" t="s">
        <v>20</v>
      </c>
      <c r="E370">
        <v>950400</v>
      </c>
      <c r="F370">
        <v>322616</v>
      </c>
      <c r="G370">
        <v>718365</v>
      </c>
      <c r="H370">
        <v>20028</v>
      </c>
      <c r="I370">
        <v>631</v>
      </c>
      <c r="J370">
        <v>564</v>
      </c>
      <c r="K370">
        <f t="shared" si="10"/>
        <v>6.578409006372901</v>
      </c>
      <c r="L370">
        <v>128988</v>
      </c>
      <c r="M370">
        <v>574555</v>
      </c>
      <c r="N370">
        <f t="shared" si="11"/>
        <v>345.43290848761126</v>
      </c>
      <c r="O370" s="4">
        <v>46146</v>
      </c>
      <c r="P370" s="4">
        <v>46159</v>
      </c>
      <c r="Q370" t="s">
        <v>25</v>
      </c>
      <c r="R370">
        <f>Table2[[#This Row],[End_Date]]-Table2[[#This Row],[Start_Date]]</f>
        <v>13</v>
      </c>
      <c r="S370" t="str">
        <f>TEXT(Table2[[#This Row],[Start_Date]],"MMM")</f>
        <v>May</v>
      </c>
      <c r="T370">
        <f>YEAR(Table2[[#This Row],[Start_Date]])</f>
        <v>2026</v>
      </c>
      <c r="U370">
        <f>Table2[[#This Row],[Campaign_Cost (₹)]]/Table2[[#This Row],[Reach]]</f>
        <v>0.39981897983980957</v>
      </c>
      <c r="V370">
        <f>Table2[[#This Row],[Revenue_Generated (₹)]]/Table2[[#This Row],[Reach]]</f>
        <v>1.7809253105859597</v>
      </c>
    </row>
    <row r="371" spans="1:22" x14ac:dyDescent="0.3">
      <c r="A371" t="s">
        <v>422</v>
      </c>
      <c r="B371" t="s">
        <v>49</v>
      </c>
      <c r="C371" t="s">
        <v>37</v>
      </c>
      <c r="D371" t="s">
        <v>40</v>
      </c>
      <c r="E371">
        <v>808415</v>
      </c>
      <c r="F371">
        <v>474220</v>
      </c>
      <c r="G371">
        <v>1065416</v>
      </c>
      <c r="H371">
        <v>22296</v>
      </c>
      <c r="I371">
        <v>3034</v>
      </c>
      <c r="J371">
        <v>467</v>
      </c>
      <c r="K371">
        <f t="shared" si="10"/>
        <v>5.4398802243684363</v>
      </c>
      <c r="L371">
        <v>114697</v>
      </c>
      <c r="M371">
        <v>133689</v>
      </c>
      <c r="N371">
        <f t="shared" si="11"/>
        <v>16.558410420499229</v>
      </c>
      <c r="O371" s="4">
        <v>46119</v>
      </c>
      <c r="P371" s="4">
        <v>46143</v>
      </c>
      <c r="Q371" t="s">
        <v>25</v>
      </c>
      <c r="R371">
        <f>Table2[[#This Row],[End_Date]]-Table2[[#This Row],[Start_Date]]</f>
        <v>24</v>
      </c>
      <c r="S371" t="str">
        <f>TEXT(Table2[[#This Row],[Start_Date]],"MMM")</f>
        <v>Apr</v>
      </c>
      <c r="T371">
        <f>YEAR(Table2[[#This Row],[Start_Date]])</f>
        <v>2026</v>
      </c>
      <c r="U371">
        <f>Table2[[#This Row],[Campaign_Cost (₹)]]/Table2[[#This Row],[Reach]]</f>
        <v>0.24186453544768252</v>
      </c>
      <c r="V371">
        <f>Table2[[#This Row],[Revenue_Generated (₹)]]/Table2[[#This Row],[Reach]]</f>
        <v>0.28191345788874361</v>
      </c>
    </row>
    <row r="372" spans="1:22" x14ac:dyDescent="0.3">
      <c r="A372" t="s">
        <v>423</v>
      </c>
      <c r="B372" t="s">
        <v>75</v>
      </c>
      <c r="C372" t="s">
        <v>37</v>
      </c>
      <c r="D372" t="s">
        <v>40</v>
      </c>
      <c r="E372">
        <v>400498</v>
      </c>
      <c r="F372">
        <v>210605</v>
      </c>
      <c r="G372">
        <v>250276</v>
      </c>
      <c r="H372">
        <v>16880</v>
      </c>
      <c r="I372">
        <v>1485</v>
      </c>
      <c r="J372">
        <v>1432</v>
      </c>
      <c r="K372">
        <f t="shared" si="10"/>
        <v>9.4000617269295592</v>
      </c>
      <c r="L372">
        <v>231381</v>
      </c>
      <c r="M372">
        <v>445798</v>
      </c>
      <c r="N372">
        <f t="shared" si="11"/>
        <v>92.668369485826403</v>
      </c>
      <c r="O372" s="4">
        <v>45894</v>
      </c>
      <c r="P372" s="4">
        <v>45908</v>
      </c>
      <c r="Q372" t="s">
        <v>54</v>
      </c>
      <c r="R372">
        <f>Table2[[#This Row],[End_Date]]-Table2[[#This Row],[Start_Date]]</f>
        <v>14</v>
      </c>
      <c r="S372" t="str">
        <f>TEXT(Table2[[#This Row],[Start_Date]],"MMM")</f>
        <v>Aug</v>
      </c>
      <c r="T372">
        <f>YEAR(Table2[[#This Row],[Start_Date]])</f>
        <v>2025</v>
      </c>
      <c r="U372">
        <f>Table2[[#This Row],[Campaign_Cost (₹)]]/Table2[[#This Row],[Reach]]</f>
        <v>1.0986491298877046</v>
      </c>
      <c r="V372">
        <f>Table2[[#This Row],[Revenue_Generated (₹)]]/Table2[[#This Row],[Reach]]</f>
        <v>2.1167493649248592</v>
      </c>
    </row>
    <row r="373" spans="1:22" x14ac:dyDescent="0.3">
      <c r="A373" t="s">
        <v>424</v>
      </c>
      <c r="B373" t="s">
        <v>23</v>
      </c>
      <c r="C373" t="s">
        <v>33</v>
      </c>
      <c r="D373" t="s">
        <v>46</v>
      </c>
      <c r="E373">
        <v>240122</v>
      </c>
      <c r="F373">
        <v>186983</v>
      </c>
      <c r="G373">
        <v>295514</v>
      </c>
      <c r="H373">
        <v>14081</v>
      </c>
      <c r="I373">
        <v>1202</v>
      </c>
      <c r="J373">
        <v>589</v>
      </c>
      <c r="K373">
        <f t="shared" si="10"/>
        <v>8.4884722140515443</v>
      </c>
      <c r="L373">
        <v>36590</v>
      </c>
      <c r="M373">
        <v>124689</v>
      </c>
      <c r="N373">
        <f t="shared" si="11"/>
        <v>240.77343536485381</v>
      </c>
      <c r="O373" s="4">
        <v>45778</v>
      </c>
      <c r="P373" s="4">
        <v>45795</v>
      </c>
      <c r="Q373" t="s">
        <v>34</v>
      </c>
      <c r="R373">
        <f>Table2[[#This Row],[End_Date]]-Table2[[#This Row],[Start_Date]]</f>
        <v>17</v>
      </c>
      <c r="S373" t="str">
        <f>TEXT(Table2[[#This Row],[Start_Date]],"MMM")</f>
        <v>May</v>
      </c>
      <c r="T373">
        <f>YEAR(Table2[[#This Row],[Start_Date]])</f>
        <v>2025</v>
      </c>
      <c r="U373">
        <f>Table2[[#This Row],[Campaign_Cost (₹)]]/Table2[[#This Row],[Reach]]</f>
        <v>0.19568623885593878</v>
      </c>
      <c r="V373">
        <f>Table2[[#This Row],[Revenue_Generated (₹)]]/Table2[[#This Row],[Reach]]</f>
        <v>0.66684671868565593</v>
      </c>
    </row>
    <row r="374" spans="1:22" x14ac:dyDescent="0.3">
      <c r="A374" t="s">
        <v>425</v>
      </c>
      <c r="B374" t="s">
        <v>23</v>
      </c>
      <c r="C374" t="s">
        <v>43</v>
      </c>
      <c r="D374" t="s">
        <v>58</v>
      </c>
      <c r="E374">
        <v>1069360</v>
      </c>
      <c r="F374">
        <v>826277</v>
      </c>
      <c r="G374">
        <v>1787383</v>
      </c>
      <c r="H374">
        <v>103015</v>
      </c>
      <c r="I374">
        <v>4118</v>
      </c>
      <c r="J374">
        <v>4477</v>
      </c>
      <c r="K374">
        <f t="shared" si="10"/>
        <v>13.507576756947126</v>
      </c>
      <c r="L374">
        <v>209048</v>
      </c>
      <c r="M374">
        <v>836249</v>
      </c>
      <c r="N374">
        <f t="shared" si="11"/>
        <v>300.02726646511803</v>
      </c>
      <c r="O374" s="4">
        <v>45900</v>
      </c>
      <c r="P374" s="4">
        <v>45930</v>
      </c>
      <c r="Q374" t="s">
        <v>47</v>
      </c>
      <c r="R374">
        <f>Table2[[#This Row],[End_Date]]-Table2[[#This Row],[Start_Date]]</f>
        <v>30</v>
      </c>
      <c r="S374" t="str">
        <f>TEXT(Table2[[#This Row],[Start_Date]],"MMM")</f>
        <v>Aug</v>
      </c>
      <c r="T374">
        <f>YEAR(Table2[[#This Row],[Start_Date]])</f>
        <v>2025</v>
      </c>
      <c r="U374">
        <f>Table2[[#This Row],[Campaign_Cost (₹)]]/Table2[[#This Row],[Reach]]</f>
        <v>0.2529999019699205</v>
      </c>
      <c r="V374">
        <f>Table2[[#This Row],[Revenue_Generated (₹)]]/Table2[[#This Row],[Reach]]</f>
        <v>1.0120685920097015</v>
      </c>
    </row>
    <row r="375" spans="1:22" x14ac:dyDescent="0.3">
      <c r="A375" t="s">
        <v>426</v>
      </c>
      <c r="B375" t="s">
        <v>39</v>
      </c>
      <c r="C375" t="s">
        <v>19</v>
      </c>
      <c r="D375" t="s">
        <v>40</v>
      </c>
      <c r="E375">
        <v>1291676</v>
      </c>
      <c r="F375">
        <v>621071</v>
      </c>
      <c r="G375">
        <v>1838597</v>
      </c>
      <c r="H375">
        <v>17098</v>
      </c>
      <c r="I375">
        <v>1227</v>
      </c>
      <c r="J375">
        <v>379</v>
      </c>
      <c r="K375">
        <f t="shared" si="10"/>
        <v>3.0115719458805836</v>
      </c>
      <c r="L375">
        <v>249200</v>
      </c>
      <c r="M375">
        <v>736874</v>
      </c>
      <c r="N375">
        <f t="shared" si="11"/>
        <v>195.69582664526484</v>
      </c>
      <c r="O375" s="4">
        <v>46025</v>
      </c>
      <c r="P375" s="4">
        <v>46042</v>
      </c>
      <c r="Q375" t="s">
        <v>30</v>
      </c>
      <c r="R375">
        <f>Table2[[#This Row],[End_Date]]-Table2[[#This Row],[Start_Date]]</f>
        <v>17</v>
      </c>
      <c r="S375" t="str">
        <f>TEXT(Table2[[#This Row],[Start_Date]],"MMM")</f>
        <v>Jan</v>
      </c>
      <c r="T375">
        <f>YEAR(Table2[[#This Row],[Start_Date]])</f>
        <v>2026</v>
      </c>
      <c r="U375">
        <f>Table2[[#This Row],[Campaign_Cost (₹)]]/Table2[[#This Row],[Reach]]</f>
        <v>0.40124237003498797</v>
      </c>
      <c r="V375">
        <f>Table2[[#This Row],[Revenue_Generated (₹)]]/Table2[[#This Row],[Reach]]</f>
        <v>1.1864569429260101</v>
      </c>
    </row>
    <row r="376" spans="1:22" x14ac:dyDescent="0.3">
      <c r="A376" t="s">
        <v>427</v>
      </c>
      <c r="B376" t="s">
        <v>27</v>
      </c>
      <c r="C376" t="s">
        <v>19</v>
      </c>
      <c r="D376" t="s">
        <v>40</v>
      </c>
      <c r="E376">
        <v>1181890</v>
      </c>
      <c r="F376">
        <v>757013</v>
      </c>
      <c r="G376">
        <v>1382824</v>
      </c>
      <c r="H376">
        <v>23438</v>
      </c>
      <c r="I376">
        <v>3326</v>
      </c>
      <c r="J376">
        <v>1189</v>
      </c>
      <c r="K376">
        <f t="shared" si="10"/>
        <v>3.6925389656452401</v>
      </c>
      <c r="L376">
        <v>477083</v>
      </c>
      <c r="M376">
        <v>1074161</v>
      </c>
      <c r="N376">
        <f t="shared" si="11"/>
        <v>125.15180796632872</v>
      </c>
      <c r="O376" s="4">
        <v>45752</v>
      </c>
      <c r="P376" s="4">
        <v>45764</v>
      </c>
      <c r="Q376" t="s">
        <v>25</v>
      </c>
      <c r="R376">
        <f>Table2[[#This Row],[End_Date]]-Table2[[#This Row],[Start_Date]]</f>
        <v>12</v>
      </c>
      <c r="S376" t="str">
        <f>TEXT(Table2[[#This Row],[Start_Date]],"MMM")</f>
        <v>Apr</v>
      </c>
      <c r="T376">
        <f>YEAR(Table2[[#This Row],[Start_Date]])</f>
        <v>2025</v>
      </c>
      <c r="U376">
        <f>Table2[[#This Row],[Campaign_Cost (₹)]]/Table2[[#This Row],[Reach]]</f>
        <v>0.63021771092438306</v>
      </c>
      <c r="V376">
        <f>Table2[[#This Row],[Revenue_Generated (₹)]]/Table2[[#This Row],[Reach]]</f>
        <v>1.4189465702702595</v>
      </c>
    </row>
    <row r="377" spans="1:22" x14ac:dyDescent="0.3">
      <c r="A377" t="s">
        <v>428</v>
      </c>
      <c r="B377" t="s">
        <v>39</v>
      </c>
      <c r="C377" t="s">
        <v>19</v>
      </c>
      <c r="D377" t="s">
        <v>58</v>
      </c>
      <c r="E377">
        <v>1346161</v>
      </c>
      <c r="F377">
        <v>738941</v>
      </c>
      <c r="G377">
        <v>1332350</v>
      </c>
      <c r="H377">
        <v>73515</v>
      </c>
      <c r="I377">
        <v>8503</v>
      </c>
      <c r="J377">
        <v>3599</v>
      </c>
      <c r="K377">
        <f t="shared" si="10"/>
        <v>11.586446008544661</v>
      </c>
      <c r="L377">
        <v>64267</v>
      </c>
      <c r="M377">
        <v>254688</v>
      </c>
      <c r="N377">
        <f t="shared" si="11"/>
        <v>296.29669970591436</v>
      </c>
      <c r="O377" s="4">
        <v>45944</v>
      </c>
      <c r="P377" s="4">
        <v>45951</v>
      </c>
      <c r="Q377" t="s">
        <v>41</v>
      </c>
      <c r="R377">
        <f>Table2[[#This Row],[End_Date]]-Table2[[#This Row],[Start_Date]]</f>
        <v>7</v>
      </c>
      <c r="S377" t="str">
        <f>TEXT(Table2[[#This Row],[Start_Date]],"MMM")</f>
        <v>Oct</v>
      </c>
      <c r="T377">
        <f>YEAR(Table2[[#This Row],[Start_Date]])</f>
        <v>2025</v>
      </c>
      <c r="U377">
        <f>Table2[[#This Row],[Campaign_Cost (₹)]]/Table2[[#This Row],[Reach]]</f>
        <v>8.6971760938965359E-2</v>
      </c>
      <c r="V377">
        <f>Table2[[#This Row],[Revenue_Generated (₹)]]/Table2[[#This Row],[Reach]]</f>
        <v>0.34466621827723731</v>
      </c>
    </row>
    <row r="378" spans="1:22" x14ac:dyDescent="0.3">
      <c r="A378" t="s">
        <v>429</v>
      </c>
      <c r="B378" t="s">
        <v>39</v>
      </c>
      <c r="C378" t="s">
        <v>37</v>
      </c>
      <c r="D378" t="s">
        <v>58</v>
      </c>
      <c r="E378">
        <v>1954523</v>
      </c>
      <c r="F378">
        <v>1263806</v>
      </c>
      <c r="G378">
        <v>3409910</v>
      </c>
      <c r="H378">
        <v>133593</v>
      </c>
      <c r="I378">
        <v>17535</v>
      </c>
      <c r="J378">
        <v>10842</v>
      </c>
      <c r="K378">
        <f t="shared" si="10"/>
        <v>12.816049298705657</v>
      </c>
      <c r="L378">
        <v>33748</v>
      </c>
      <c r="M378">
        <v>146846</v>
      </c>
      <c r="N378">
        <f t="shared" si="11"/>
        <v>335.12504444707838</v>
      </c>
      <c r="O378" s="4">
        <v>45884</v>
      </c>
      <c r="P378" s="4">
        <v>45908</v>
      </c>
      <c r="Q378" t="s">
        <v>30</v>
      </c>
      <c r="R378">
        <f>Table2[[#This Row],[End_Date]]-Table2[[#This Row],[Start_Date]]</f>
        <v>24</v>
      </c>
      <c r="S378" t="str">
        <f>TEXT(Table2[[#This Row],[Start_Date]],"MMM")</f>
        <v>Aug</v>
      </c>
      <c r="T378">
        <f>YEAR(Table2[[#This Row],[Start_Date]])</f>
        <v>2025</v>
      </c>
      <c r="U378">
        <f>Table2[[#This Row],[Campaign_Cost (₹)]]/Table2[[#This Row],[Reach]]</f>
        <v>2.6703465563543773E-2</v>
      </c>
      <c r="V378">
        <f>Table2[[#This Row],[Revenue_Generated (₹)]]/Table2[[#This Row],[Reach]]</f>
        <v>0.11619346640228009</v>
      </c>
    </row>
    <row r="379" spans="1:22" x14ac:dyDescent="0.3">
      <c r="A379" t="s">
        <v>430</v>
      </c>
      <c r="B379" t="s">
        <v>63</v>
      </c>
      <c r="C379" t="s">
        <v>33</v>
      </c>
      <c r="D379" t="s">
        <v>29</v>
      </c>
      <c r="E379">
        <v>601502</v>
      </c>
      <c r="F379">
        <v>166033</v>
      </c>
      <c r="G379">
        <v>420965</v>
      </c>
      <c r="H379">
        <v>19702</v>
      </c>
      <c r="I379">
        <v>1972</v>
      </c>
      <c r="J379">
        <v>1723</v>
      </c>
      <c r="K379">
        <f t="shared" si="10"/>
        <v>14.09177693591033</v>
      </c>
      <c r="L379">
        <v>164662</v>
      </c>
      <c r="M379">
        <v>677322</v>
      </c>
      <c r="N379">
        <f t="shared" si="11"/>
        <v>311.34080722935471</v>
      </c>
      <c r="O379" s="4">
        <v>46081</v>
      </c>
      <c r="P379" s="4">
        <v>46088</v>
      </c>
      <c r="Q379" t="s">
        <v>30</v>
      </c>
      <c r="R379">
        <f>Table2[[#This Row],[End_Date]]-Table2[[#This Row],[Start_Date]]</f>
        <v>7</v>
      </c>
      <c r="S379" t="str">
        <f>TEXT(Table2[[#This Row],[Start_Date]],"MMM")</f>
        <v>Feb</v>
      </c>
      <c r="T379">
        <f>YEAR(Table2[[#This Row],[Start_Date]])</f>
        <v>2026</v>
      </c>
      <c r="U379">
        <f>Table2[[#This Row],[Campaign_Cost (₹)]]/Table2[[#This Row],[Reach]]</f>
        <v>0.99174260538567638</v>
      </c>
      <c r="V379">
        <f>Table2[[#This Row],[Revenue_Generated (₹)]]/Table2[[#This Row],[Reach]]</f>
        <v>4.0794420386308747</v>
      </c>
    </row>
    <row r="380" spans="1:22" x14ac:dyDescent="0.3">
      <c r="A380" t="s">
        <v>431</v>
      </c>
      <c r="B380" t="s">
        <v>39</v>
      </c>
      <c r="C380" t="s">
        <v>19</v>
      </c>
      <c r="D380" t="s">
        <v>72</v>
      </c>
      <c r="E380">
        <v>1641635</v>
      </c>
      <c r="F380">
        <v>861340</v>
      </c>
      <c r="G380">
        <v>1447590</v>
      </c>
      <c r="H380">
        <v>71962</v>
      </c>
      <c r="I380">
        <v>4204</v>
      </c>
      <c r="J380">
        <v>6755</v>
      </c>
      <c r="K380">
        <f t="shared" si="10"/>
        <v>9.6269765713887665</v>
      </c>
      <c r="L380">
        <v>254571</v>
      </c>
      <c r="M380">
        <v>764429</v>
      </c>
      <c r="N380">
        <f t="shared" si="11"/>
        <v>200.28125748808782</v>
      </c>
      <c r="O380" s="4">
        <v>46138</v>
      </c>
      <c r="P380" s="4">
        <v>46151</v>
      </c>
      <c r="Q380" t="s">
        <v>41</v>
      </c>
      <c r="R380">
        <f>Table2[[#This Row],[End_Date]]-Table2[[#This Row],[Start_Date]]</f>
        <v>13</v>
      </c>
      <c r="S380" t="str">
        <f>TEXT(Table2[[#This Row],[Start_Date]],"MMM")</f>
        <v>Apr</v>
      </c>
      <c r="T380">
        <f>YEAR(Table2[[#This Row],[Start_Date]])</f>
        <v>2026</v>
      </c>
      <c r="U380">
        <f>Table2[[#This Row],[Campaign_Cost (₹)]]/Table2[[#This Row],[Reach]]</f>
        <v>0.29555227900712844</v>
      </c>
      <c r="V380">
        <f>Table2[[#This Row],[Revenue_Generated (₹)]]/Table2[[#This Row],[Reach]]</f>
        <v>0.88748809993730704</v>
      </c>
    </row>
    <row r="381" spans="1:22" x14ac:dyDescent="0.3">
      <c r="A381" t="s">
        <v>432</v>
      </c>
      <c r="B381" t="s">
        <v>45</v>
      </c>
      <c r="C381" t="s">
        <v>33</v>
      </c>
      <c r="D381" t="s">
        <v>46</v>
      </c>
      <c r="E381">
        <v>379337</v>
      </c>
      <c r="F381">
        <v>135217</v>
      </c>
      <c r="G381">
        <v>352389</v>
      </c>
      <c r="H381">
        <v>6367</v>
      </c>
      <c r="I381">
        <v>601</v>
      </c>
      <c r="J381">
        <v>231</v>
      </c>
      <c r="K381">
        <f t="shared" si="10"/>
        <v>5.3240346997788741</v>
      </c>
      <c r="L381">
        <v>392650</v>
      </c>
      <c r="M381">
        <v>1299132</v>
      </c>
      <c r="N381">
        <f t="shared" si="11"/>
        <v>230.86260028014772</v>
      </c>
      <c r="O381" s="4">
        <v>45802</v>
      </c>
      <c r="P381" s="4">
        <v>45814</v>
      </c>
      <c r="Q381" t="s">
        <v>47</v>
      </c>
      <c r="R381">
        <f>Table2[[#This Row],[End_Date]]-Table2[[#This Row],[Start_Date]]</f>
        <v>12</v>
      </c>
      <c r="S381" t="str">
        <f>TEXT(Table2[[#This Row],[Start_Date]],"MMM")</f>
        <v>May</v>
      </c>
      <c r="T381">
        <f>YEAR(Table2[[#This Row],[Start_Date]])</f>
        <v>2025</v>
      </c>
      <c r="U381">
        <f>Table2[[#This Row],[Campaign_Cost (₹)]]/Table2[[#This Row],[Reach]]</f>
        <v>2.9038508471567925</v>
      </c>
      <c r="V381">
        <f>Table2[[#This Row],[Revenue_Generated (₹)]]/Table2[[#This Row],[Reach]]</f>
        <v>9.6077564211600617</v>
      </c>
    </row>
    <row r="382" spans="1:22" x14ac:dyDescent="0.3">
      <c r="A382" t="s">
        <v>433</v>
      </c>
      <c r="B382" t="s">
        <v>75</v>
      </c>
      <c r="C382" t="s">
        <v>33</v>
      </c>
      <c r="D382" t="s">
        <v>72</v>
      </c>
      <c r="E382">
        <v>1971393</v>
      </c>
      <c r="F382">
        <v>1490354</v>
      </c>
      <c r="G382">
        <v>2268978</v>
      </c>
      <c r="H382">
        <v>55180</v>
      </c>
      <c r="I382">
        <v>4429</v>
      </c>
      <c r="J382">
        <v>1728</v>
      </c>
      <c r="K382">
        <f t="shared" si="10"/>
        <v>4.1155993810866409</v>
      </c>
      <c r="L382">
        <v>99940</v>
      </c>
      <c r="M382">
        <v>437546</v>
      </c>
      <c r="N382">
        <f t="shared" si="11"/>
        <v>337.80868521112666</v>
      </c>
      <c r="O382" s="4">
        <v>45675</v>
      </c>
      <c r="P382" s="4">
        <v>45696</v>
      </c>
      <c r="Q382" t="s">
        <v>47</v>
      </c>
      <c r="R382">
        <f>Table2[[#This Row],[End_Date]]-Table2[[#This Row],[Start_Date]]</f>
        <v>21</v>
      </c>
      <c r="S382" t="str">
        <f>TEXT(Table2[[#This Row],[Start_Date]],"MMM")</f>
        <v>Jan</v>
      </c>
      <c r="T382">
        <f>YEAR(Table2[[#This Row],[Start_Date]])</f>
        <v>2025</v>
      </c>
      <c r="U382">
        <f>Table2[[#This Row],[Campaign_Cost (₹)]]/Table2[[#This Row],[Reach]]</f>
        <v>6.7057893627956847E-2</v>
      </c>
      <c r="V382">
        <f>Table2[[#This Row],[Revenue_Generated (₹)]]/Table2[[#This Row],[Reach]]</f>
        <v>0.29358528242283377</v>
      </c>
    </row>
    <row r="383" spans="1:22" x14ac:dyDescent="0.3">
      <c r="A383" t="s">
        <v>434</v>
      </c>
      <c r="B383" t="s">
        <v>27</v>
      </c>
      <c r="C383" t="s">
        <v>43</v>
      </c>
      <c r="D383" t="s">
        <v>58</v>
      </c>
      <c r="E383">
        <v>1395567</v>
      </c>
      <c r="F383">
        <v>496405</v>
      </c>
      <c r="G383">
        <v>1026834</v>
      </c>
      <c r="H383">
        <v>26317</v>
      </c>
      <c r="I383">
        <v>2514</v>
      </c>
      <c r="J383">
        <v>1541</v>
      </c>
      <c r="K383">
        <f t="shared" si="10"/>
        <v>6.1183912329650179</v>
      </c>
      <c r="L383">
        <v>275106</v>
      </c>
      <c r="M383">
        <v>1069368</v>
      </c>
      <c r="N383">
        <f t="shared" si="11"/>
        <v>288.71126038690539</v>
      </c>
      <c r="O383" s="4">
        <v>45771</v>
      </c>
      <c r="P383" s="4">
        <v>45782</v>
      </c>
      <c r="Q383" t="s">
        <v>47</v>
      </c>
      <c r="R383">
        <f>Table2[[#This Row],[End_Date]]-Table2[[#This Row],[Start_Date]]</f>
        <v>11</v>
      </c>
      <c r="S383" t="str">
        <f>TEXT(Table2[[#This Row],[Start_Date]],"MMM")</f>
        <v>Apr</v>
      </c>
      <c r="T383">
        <f>YEAR(Table2[[#This Row],[Start_Date]])</f>
        <v>2025</v>
      </c>
      <c r="U383">
        <f>Table2[[#This Row],[Campaign_Cost (₹)]]/Table2[[#This Row],[Reach]]</f>
        <v>0.55419667408668327</v>
      </c>
      <c r="V383">
        <f>Table2[[#This Row],[Revenue_Generated (₹)]]/Table2[[#This Row],[Reach]]</f>
        <v>2.154224876864657</v>
      </c>
    </row>
    <row r="384" spans="1:22" x14ac:dyDescent="0.3">
      <c r="A384" t="s">
        <v>435</v>
      </c>
      <c r="B384" t="s">
        <v>18</v>
      </c>
      <c r="C384" t="s">
        <v>37</v>
      </c>
      <c r="D384" t="s">
        <v>20</v>
      </c>
      <c r="E384">
        <v>1214784</v>
      </c>
      <c r="F384">
        <v>353956</v>
      </c>
      <c r="G384">
        <v>973892</v>
      </c>
      <c r="H384">
        <v>36716</v>
      </c>
      <c r="I384">
        <v>4388</v>
      </c>
      <c r="J384">
        <v>2152</v>
      </c>
      <c r="K384">
        <f t="shared" si="10"/>
        <v>12.220728000090407</v>
      </c>
      <c r="L384">
        <v>129186</v>
      </c>
      <c r="M384">
        <v>307298</v>
      </c>
      <c r="N384">
        <f t="shared" si="11"/>
        <v>137.87252488659763</v>
      </c>
      <c r="O384" s="4">
        <v>46041</v>
      </c>
      <c r="P384" s="4">
        <v>46058</v>
      </c>
      <c r="Q384" t="s">
        <v>47</v>
      </c>
      <c r="R384">
        <f>Table2[[#This Row],[End_Date]]-Table2[[#This Row],[Start_Date]]</f>
        <v>17</v>
      </c>
      <c r="S384" t="str">
        <f>TEXT(Table2[[#This Row],[Start_Date]],"MMM")</f>
        <v>Jan</v>
      </c>
      <c r="T384">
        <f>YEAR(Table2[[#This Row],[Start_Date]])</f>
        <v>2026</v>
      </c>
      <c r="U384">
        <f>Table2[[#This Row],[Campaign_Cost (₹)]]/Table2[[#This Row],[Reach]]</f>
        <v>0.36497756783329</v>
      </c>
      <c r="V384">
        <f>Table2[[#This Row],[Revenue_Generated (₹)]]/Table2[[#This Row],[Reach]]</f>
        <v>0.86818135587474154</v>
      </c>
    </row>
    <row r="385" spans="1:22" x14ac:dyDescent="0.3">
      <c r="A385" t="s">
        <v>436</v>
      </c>
      <c r="B385" t="s">
        <v>23</v>
      </c>
      <c r="C385" t="s">
        <v>19</v>
      </c>
      <c r="D385" t="s">
        <v>40</v>
      </c>
      <c r="E385">
        <v>1306093</v>
      </c>
      <c r="F385">
        <v>653317</v>
      </c>
      <c r="G385">
        <v>1584458</v>
      </c>
      <c r="H385">
        <v>50750</v>
      </c>
      <c r="I385">
        <v>5606</v>
      </c>
      <c r="J385">
        <v>4762</v>
      </c>
      <c r="K385">
        <f t="shared" si="10"/>
        <v>9.3550297941122</v>
      </c>
      <c r="L385">
        <v>54787</v>
      </c>
      <c r="M385">
        <v>237822</v>
      </c>
      <c r="N385">
        <f t="shared" si="11"/>
        <v>334.08472812893569</v>
      </c>
      <c r="O385" s="4">
        <v>45966</v>
      </c>
      <c r="P385" s="4">
        <v>45991</v>
      </c>
      <c r="Q385" t="s">
        <v>34</v>
      </c>
      <c r="R385">
        <f>Table2[[#This Row],[End_Date]]-Table2[[#This Row],[Start_Date]]</f>
        <v>25</v>
      </c>
      <c r="S385" t="str">
        <f>TEXT(Table2[[#This Row],[Start_Date]],"MMM")</f>
        <v>Nov</v>
      </c>
      <c r="T385">
        <f>YEAR(Table2[[#This Row],[Start_Date]])</f>
        <v>2025</v>
      </c>
      <c r="U385">
        <f>Table2[[#This Row],[Campaign_Cost (₹)]]/Table2[[#This Row],[Reach]]</f>
        <v>8.3859749554963364E-2</v>
      </c>
      <c r="V385">
        <f>Table2[[#This Row],[Revenue_Generated (₹)]]/Table2[[#This Row],[Reach]]</f>
        <v>0.36402236586526909</v>
      </c>
    </row>
    <row r="386" spans="1:22" x14ac:dyDescent="0.3">
      <c r="A386" t="s">
        <v>437</v>
      </c>
      <c r="B386" t="s">
        <v>61</v>
      </c>
      <c r="C386" t="s">
        <v>33</v>
      </c>
      <c r="D386" t="s">
        <v>20</v>
      </c>
      <c r="E386">
        <v>1959218</v>
      </c>
      <c r="F386">
        <v>495794</v>
      </c>
      <c r="G386">
        <v>654675</v>
      </c>
      <c r="H386">
        <v>17162</v>
      </c>
      <c r="I386">
        <v>1070</v>
      </c>
      <c r="J386">
        <v>624</v>
      </c>
      <c r="K386">
        <f t="shared" ref="K386:K449" si="12">((H386+I386+J386)/F386)*100</f>
        <v>3.8031924549308789</v>
      </c>
      <c r="L386">
        <v>236474</v>
      </c>
      <c r="M386">
        <v>332558</v>
      </c>
      <c r="N386">
        <f t="shared" ref="N386:N449" si="13">((M386-L386)/L386)*100</f>
        <v>40.631951081302809</v>
      </c>
      <c r="O386" s="4">
        <v>46039</v>
      </c>
      <c r="P386" s="4">
        <v>46058</v>
      </c>
      <c r="Q386" t="s">
        <v>30</v>
      </c>
      <c r="R386">
        <f>Table2[[#This Row],[End_Date]]-Table2[[#This Row],[Start_Date]]</f>
        <v>19</v>
      </c>
      <c r="S386" t="str">
        <f>TEXT(Table2[[#This Row],[Start_Date]],"MMM")</f>
        <v>Jan</v>
      </c>
      <c r="T386">
        <f>YEAR(Table2[[#This Row],[Start_Date]])</f>
        <v>2026</v>
      </c>
      <c r="U386">
        <f>Table2[[#This Row],[Campaign_Cost (₹)]]/Table2[[#This Row],[Reach]]</f>
        <v>0.47696018911080007</v>
      </c>
      <c r="V386">
        <f>Table2[[#This Row],[Revenue_Generated (₹)]]/Table2[[#This Row],[Reach]]</f>
        <v>0.67075841982758966</v>
      </c>
    </row>
    <row r="387" spans="1:22" x14ac:dyDescent="0.3">
      <c r="A387" t="s">
        <v>438</v>
      </c>
      <c r="B387" t="s">
        <v>39</v>
      </c>
      <c r="C387" t="s">
        <v>37</v>
      </c>
      <c r="D387" t="s">
        <v>58</v>
      </c>
      <c r="E387">
        <v>1966387</v>
      </c>
      <c r="F387">
        <v>861997</v>
      </c>
      <c r="G387">
        <v>2040226</v>
      </c>
      <c r="H387">
        <v>50688</v>
      </c>
      <c r="I387">
        <v>3961</v>
      </c>
      <c r="J387">
        <v>3576</v>
      </c>
      <c r="K387">
        <f t="shared" si="12"/>
        <v>6.7546638793406473</v>
      </c>
      <c r="L387">
        <v>73917</v>
      </c>
      <c r="M387">
        <v>177666</v>
      </c>
      <c r="N387">
        <f t="shared" si="13"/>
        <v>140.35878079467508</v>
      </c>
      <c r="O387" s="4">
        <v>46111</v>
      </c>
      <c r="P387" s="4">
        <v>46135</v>
      </c>
      <c r="Q387" t="s">
        <v>41</v>
      </c>
      <c r="R387">
        <f>Table2[[#This Row],[End_Date]]-Table2[[#This Row],[Start_Date]]</f>
        <v>24</v>
      </c>
      <c r="S387" t="str">
        <f>TEXT(Table2[[#This Row],[Start_Date]],"MMM")</f>
        <v>Mar</v>
      </c>
      <c r="T387">
        <f>YEAR(Table2[[#This Row],[Start_Date]])</f>
        <v>2026</v>
      </c>
      <c r="U387">
        <f>Table2[[#This Row],[Campaign_Cost (₹)]]/Table2[[#This Row],[Reach]]</f>
        <v>8.5750878483335791E-2</v>
      </c>
      <c r="V387">
        <f>Table2[[#This Row],[Revenue_Generated (₹)]]/Table2[[#This Row],[Reach]]</f>
        <v>0.2061097660432693</v>
      </c>
    </row>
    <row r="388" spans="1:22" x14ac:dyDescent="0.3">
      <c r="A388" t="s">
        <v>439</v>
      </c>
      <c r="B388" t="s">
        <v>75</v>
      </c>
      <c r="C388" t="s">
        <v>37</v>
      </c>
      <c r="D388" t="s">
        <v>46</v>
      </c>
      <c r="E388">
        <v>1703998</v>
      </c>
      <c r="F388">
        <v>576591</v>
      </c>
      <c r="G388">
        <v>1277314</v>
      </c>
      <c r="H388">
        <v>31340</v>
      </c>
      <c r="I388">
        <v>2196</v>
      </c>
      <c r="J388">
        <v>2094</v>
      </c>
      <c r="K388">
        <f t="shared" si="12"/>
        <v>6.1794235428579354</v>
      </c>
      <c r="L388">
        <v>172444</v>
      </c>
      <c r="M388">
        <v>476710</v>
      </c>
      <c r="N388">
        <f t="shared" si="13"/>
        <v>176.44336712208022</v>
      </c>
      <c r="O388" s="4">
        <v>45790</v>
      </c>
      <c r="P388" s="4">
        <v>45807</v>
      </c>
      <c r="Q388" t="s">
        <v>54</v>
      </c>
      <c r="R388">
        <f>Table2[[#This Row],[End_Date]]-Table2[[#This Row],[Start_Date]]</f>
        <v>17</v>
      </c>
      <c r="S388" t="str">
        <f>TEXT(Table2[[#This Row],[Start_Date]],"MMM")</f>
        <v>May</v>
      </c>
      <c r="T388">
        <f>YEAR(Table2[[#This Row],[Start_Date]])</f>
        <v>2025</v>
      </c>
      <c r="U388">
        <f>Table2[[#This Row],[Campaign_Cost (₹)]]/Table2[[#This Row],[Reach]]</f>
        <v>0.29907508094992813</v>
      </c>
      <c r="V388">
        <f>Table2[[#This Row],[Revenue_Generated (₹)]]/Table2[[#This Row],[Reach]]</f>
        <v>0.82677322400106834</v>
      </c>
    </row>
    <row r="389" spans="1:22" x14ac:dyDescent="0.3">
      <c r="A389" t="s">
        <v>440</v>
      </c>
      <c r="B389" t="s">
        <v>49</v>
      </c>
      <c r="C389" t="s">
        <v>19</v>
      </c>
      <c r="D389" t="s">
        <v>29</v>
      </c>
      <c r="E389">
        <v>1076267</v>
      </c>
      <c r="F389">
        <v>567719</v>
      </c>
      <c r="G389">
        <v>973152</v>
      </c>
      <c r="H389">
        <v>54863</v>
      </c>
      <c r="I389">
        <v>7417</v>
      </c>
      <c r="J389">
        <v>1404</v>
      </c>
      <c r="K389">
        <f t="shared" si="12"/>
        <v>11.217521344186119</v>
      </c>
      <c r="L389">
        <v>332870</v>
      </c>
      <c r="M389">
        <v>558958</v>
      </c>
      <c r="N389">
        <f t="shared" si="13"/>
        <v>67.92080992579686</v>
      </c>
      <c r="O389" s="4">
        <v>46137</v>
      </c>
      <c r="P389" s="4">
        <v>46161</v>
      </c>
      <c r="Q389" t="s">
        <v>47</v>
      </c>
      <c r="R389">
        <f>Table2[[#This Row],[End_Date]]-Table2[[#This Row],[Start_Date]]</f>
        <v>24</v>
      </c>
      <c r="S389" t="str">
        <f>TEXT(Table2[[#This Row],[Start_Date]],"MMM")</f>
        <v>Apr</v>
      </c>
      <c r="T389">
        <f>YEAR(Table2[[#This Row],[Start_Date]])</f>
        <v>2026</v>
      </c>
      <c r="U389">
        <f>Table2[[#This Row],[Campaign_Cost (₹)]]/Table2[[#This Row],[Reach]]</f>
        <v>0.58632879998731768</v>
      </c>
      <c r="V389">
        <f>Table2[[#This Row],[Revenue_Generated (₹)]]/Table2[[#This Row],[Reach]]</f>
        <v>0.98456806976690936</v>
      </c>
    </row>
    <row r="390" spans="1:22" x14ac:dyDescent="0.3">
      <c r="A390" t="s">
        <v>441</v>
      </c>
      <c r="B390" t="s">
        <v>27</v>
      </c>
      <c r="C390" t="s">
        <v>33</v>
      </c>
      <c r="D390" t="s">
        <v>20</v>
      </c>
      <c r="E390">
        <v>1039663</v>
      </c>
      <c r="F390">
        <v>623785</v>
      </c>
      <c r="G390">
        <v>1640687</v>
      </c>
      <c r="H390">
        <v>59616</v>
      </c>
      <c r="I390">
        <v>4946</v>
      </c>
      <c r="J390">
        <v>3353</v>
      </c>
      <c r="K390">
        <f t="shared" si="12"/>
        <v>10.887565427190458</v>
      </c>
      <c r="L390">
        <v>139179</v>
      </c>
      <c r="M390">
        <v>398064</v>
      </c>
      <c r="N390">
        <f t="shared" si="13"/>
        <v>186.00866510033842</v>
      </c>
      <c r="O390" s="4">
        <v>45731</v>
      </c>
      <c r="P390" s="4">
        <v>45744</v>
      </c>
      <c r="Q390" t="s">
        <v>54</v>
      </c>
      <c r="R390">
        <f>Table2[[#This Row],[End_Date]]-Table2[[#This Row],[Start_Date]]</f>
        <v>13</v>
      </c>
      <c r="S390" t="str">
        <f>TEXT(Table2[[#This Row],[Start_Date]],"MMM")</f>
        <v>Mar</v>
      </c>
      <c r="T390">
        <f>YEAR(Table2[[#This Row],[Start_Date]])</f>
        <v>2025</v>
      </c>
      <c r="U390">
        <f>Table2[[#This Row],[Campaign_Cost (₹)]]/Table2[[#This Row],[Reach]]</f>
        <v>0.22312014556297441</v>
      </c>
      <c r="V390">
        <f>Table2[[#This Row],[Revenue_Generated (₹)]]/Table2[[#This Row],[Reach]]</f>
        <v>0.63814294989459508</v>
      </c>
    </row>
    <row r="391" spans="1:22" x14ac:dyDescent="0.3">
      <c r="A391" t="s">
        <v>442</v>
      </c>
      <c r="B391" t="s">
        <v>63</v>
      </c>
      <c r="C391" t="s">
        <v>28</v>
      </c>
      <c r="D391" t="s">
        <v>51</v>
      </c>
      <c r="E391">
        <v>288756</v>
      </c>
      <c r="F391">
        <v>85852</v>
      </c>
      <c r="G391">
        <v>140442</v>
      </c>
      <c r="H391">
        <v>11977</v>
      </c>
      <c r="I391">
        <v>778</v>
      </c>
      <c r="J391">
        <v>751</v>
      </c>
      <c r="K391">
        <f t="shared" si="12"/>
        <v>15.73172436285701</v>
      </c>
      <c r="L391">
        <v>389421</v>
      </c>
      <c r="M391">
        <v>1367944</v>
      </c>
      <c r="N391">
        <f t="shared" si="13"/>
        <v>251.27638211601325</v>
      </c>
      <c r="O391" s="4">
        <v>46157</v>
      </c>
      <c r="P391" s="4">
        <v>46172</v>
      </c>
      <c r="Q391" t="s">
        <v>78</v>
      </c>
      <c r="R391">
        <f>Table2[[#This Row],[End_Date]]-Table2[[#This Row],[Start_Date]]</f>
        <v>15</v>
      </c>
      <c r="S391" t="str">
        <f>TEXT(Table2[[#This Row],[Start_Date]],"MMM")</f>
        <v>May</v>
      </c>
      <c r="T391">
        <f>YEAR(Table2[[#This Row],[Start_Date]])</f>
        <v>2026</v>
      </c>
      <c r="U391">
        <f>Table2[[#This Row],[Campaign_Cost (₹)]]/Table2[[#This Row],[Reach]]</f>
        <v>4.5359572287191909</v>
      </c>
      <c r="V391">
        <f>Table2[[#This Row],[Revenue_Generated (₹)]]/Table2[[#This Row],[Reach]]</f>
        <v>15.933746447374551</v>
      </c>
    </row>
    <row r="392" spans="1:22" x14ac:dyDescent="0.3">
      <c r="A392" t="s">
        <v>443</v>
      </c>
      <c r="B392" t="s">
        <v>39</v>
      </c>
      <c r="C392" t="s">
        <v>37</v>
      </c>
      <c r="D392" t="s">
        <v>29</v>
      </c>
      <c r="E392">
        <v>760841</v>
      </c>
      <c r="F392">
        <v>579769</v>
      </c>
      <c r="G392">
        <v>1538972</v>
      </c>
      <c r="H392">
        <v>76808</v>
      </c>
      <c r="I392">
        <v>6155</v>
      </c>
      <c r="J392">
        <v>2791</v>
      </c>
      <c r="K392">
        <f t="shared" si="12"/>
        <v>14.79106333729468</v>
      </c>
      <c r="L392">
        <v>103850</v>
      </c>
      <c r="M392">
        <v>377677</v>
      </c>
      <c r="N392">
        <f t="shared" si="13"/>
        <v>263.67549350024075</v>
      </c>
      <c r="O392" s="4">
        <v>45994</v>
      </c>
      <c r="P392" s="4">
        <v>46017</v>
      </c>
      <c r="Q392" t="s">
        <v>41</v>
      </c>
      <c r="R392">
        <f>Table2[[#This Row],[End_Date]]-Table2[[#This Row],[Start_Date]]</f>
        <v>23</v>
      </c>
      <c r="S392" t="str">
        <f>TEXT(Table2[[#This Row],[Start_Date]],"MMM")</f>
        <v>Dec</v>
      </c>
      <c r="T392">
        <f>YEAR(Table2[[#This Row],[Start_Date]])</f>
        <v>2025</v>
      </c>
      <c r="U392">
        <f>Table2[[#This Row],[Campaign_Cost (₹)]]/Table2[[#This Row],[Reach]]</f>
        <v>0.17912306453087351</v>
      </c>
      <c r="V392">
        <f>Table2[[#This Row],[Revenue_Generated (₹)]]/Table2[[#This Row],[Reach]]</f>
        <v>0.65142668890540889</v>
      </c>
    </row>
    <row r="393" spans="1:22" x14ac:dyDescent="0.3">
      <c r="A393" t="s">
        <v>444</v>
      </c>
      <c r="B393" t="s">
        <v>32</v>
      </c>
      <c r="C393" t="s">
        <v>37</v>
      </c>
      <c r="D393" t="s">
        <v>40</v>
      </c>
      <c r="E393">
        <v>367876</v>
      </c>
      <c r="F393">
        <v>106214</v>
      </c>
      <c r="G393">
        <v>161644</v>
      </c>
      <c r="H393">
        <v>3171</v>
      </c>
      <c r="I393">
        <v>349</v>
      </c>
      <c r="J393">
        <v>308</v>
      </c>
      <c r="K393">
        <f t="shared" si="12"/>
        <v>3.6040446645451634</v>
      </c>
      <c r="L393">
        <v>204658</v>
      </c>
      <c r="M393">
        <v>375670</v>
      </c>
      <c r="N393">
        <f t="shared" si="13"/>
        <v>83.559890158215168</v>
      </c>
      <c r="O393" s="4">
        <v>45761</v>
      </c>
      <c r="P393" s="4">
        <v>45774</v>
      </c>
      <c r="Q393" t="s">
        <v>47</v>
      </c>
      <c r="R393">
        <f>Table2[[#This Row],[End_Date]]-Table2[[#This Row],[Start_Date]]</f>
        <v>13</v>
      </c>
      <c r="S393" t="str">
        <f>TEXT(Table2[[#This Row],[Start_Date]],"MMM")</f>
        <v>Apr</v>
      </c>
      <c r="T393">
        <f>YEAR(Table2[[#This Row],[Start_Date]])</f>
        <v>2025</v>
      </c>
      <c r="U393">
        <f>Table2[[#This Row],[Campaign_Cost (₹)]]/Table2[[#This Row],[Reach]]</f>
        <v>1.926845801871693</v>
      </c>
      <c r="V393">
        <f>Table2[[#This Row],[Revenue_Generated (₹)]]/Table2[[#This Row],[Reach]]</f>
        <v>3.5369160374338597</v>
      </c>
    </row>
    <row r="394" spans="1:22" x14ac:dyDescent="0.3">
      <c r="A394" t="s">
        <v>445</v>
      </c>
      <c r="B394" t="s">
        <v>80</v>
      </c>
      <c r="C394" t="s">
        <v>19</v>
      </c>
      <c r="D394" t="s">
        <v>29</v>
      </c>
      <c r="E394">
        <v>1310589</v>
      </c>
      <c r="F394">
        <v>381474</v>
      </c>
      <c r="G394">
        <v>686391</v>
      </c>
      <c r="H394">
        <v>14519</v>
      </c>
      <c r="I394">
        <v>1880</v>
      </c>
      <c r="J394">
        <v>352</v>
      </c>
      <c r="K394">
        <f t="shared" si="12"/>
        <v>4.3911249521592559</v>
      </c>
      <c r="L394">
        <v>486446</v>
      </c>
      <c r="M394">
        <v>1540365</v>
      </c>
      <c r="N394">
        <f t="shared" si="13"/>
        <v>216.65693622724825</v>
      </c>
      <c r="O394" s="4">
        <v>46076</v>
      </c>
      <c r="P394" s="4">
        <v>46090</v>
      </c>
      <c r="Q394" t="s">
        <v>30</v>
      </c>
      <c r="R394">
        <f>Table2[[#This Row],[End_Date]]-Table2[[#This Row],[Start_Date]]</f>
        <v>14</v>
      </c>
      <c r="S394" t="str">
        <f>TEXT(Table2[[#This Row],[Start_Date]],"MMM")</f>
        <v>Feb</v>
      </c>
      <c r="T394">
        <f>YEAR(Table2[[#This Row],[Start_Date]])</f>
        <v>2026</v>
      </c>
      <c r="U394">
        <f>Table2[[#This Row],[Campaign_Cost (₹)]]/Table2[[#This Row],[Reach]]</f>
        <v>1.2751747170187222</v>
      </c>
      <c r="V394">
        <f>Table2[[#This Row],[Revenue_Generated (₹)]]/Table2[[#This Row],[Reach]]</f>
        <v>4.0379291904559684</v>
      </c>
    </row>
    <row r="395" spans="1:22" x14ac:dyDescent="0.3">
      <c r="A395" t="s">
        <v>446</v>
      </c>
      <c r="B395" t="s">
        <v>53</v>
      </c>
      <c r="C395" t="s">
        <v>19</v>
      </c>
      <c r="D395" t="s">
        <v>29</v>
      </c>
      <c r="E395">
        <v>150584</v>
      </c>
      <c r="F395">
        <v>62439</v>
      </c>
      <c r="G395">
        <v>179569</v>
      </c>
      <c r="H395">
        <v>8364</v>
      </c>
      <c r="I395">
        <v>712</v>
      </c>
      <c r="J395">
        <v>243</v>
      </c>
      <c r="K395">
        <f t="shared" si="12"/>
        <v>14.924966767565143</v>
      </c>
      <c r="L395">
        <v>386143</v>
      </c>
      <c r="M395">
        <v>615314</v>
      </c>
      <c r="N395">
        <f t="shared" si="13"/>
        <v>59.348738679711921</v>
      </c>
      <c r="O395" s="4">
        <v>45761</v>
      </c>
      <c r="P395" s="4">
        <v>45778</v>
      </c>
      <c r="Q395" t="s">
        <v>25</v>
      </c>
      <c r="R395">
        <f>Table2[[#This Row],[End_Date]]-Table2[[#This Row],[Start_Date]]</f>
        <v>17</v>
      </c>
      <c r="S395" t="str">
        <f>TEXT(Table2[[#This Row],[Start_Date]],"MMM")</f>
        <v>Apr</v>
      </c>
      <c r="T395">
        <f>YEAR(Table2[[#This Row],[Start_Date]])</f>
        <v>2025</v>
      </c>
      <c r="U395">
        <f>Table2[[#This Row],[Campaign_Cost (₹)]]/Table2[[#This Row],[Reach]]</f>
        <v>6.1843239001265236</v>
      </c>
      <c r="V395">
        <f>Table2[[#This Row],[Revenue_Generated (₹)]]/Table2[[#This Row],[Reach]]</f>
        <v>9.8546421307195828</v>
      </c>
    </row>
    <row r="396" spans="1:22" x14ac:dyDescent="0.3">
      <c r="A396" t="s">
        <v>447</v>
      </c>
      <c r="B396" t="s">
        <v>75</v>
      </c>
      <c r="C396" t="s">
        <v>28</v>
      </c>
      <c r="D396" t="s">
        <v>40</v>
      </c>
      <c r="E396">
        <v>1460145</v>
      </c>
      <c r="F396">
        <v>1182339</v>
      </c>
      <c r="G396">
        <v>1898697</v>
      </c>
      <c r="H396">
        <v>71901</v>
      </c>
      <c r="I396">
        <v>6697</v>
      </c>
      <c r="J396">
        <v>2153</v>
      </c>
      <c r="K396">
        <f t="shared" si="12"/>
        <v>6.8297670972538329</v>
      </c>
      <c r="L396">
        <v>275071</v>
      </c>
      <c r="M396">
        <v>904520</v>
      </c>
      <c r="N396">
        <f t="shared" si="13"/>
        <v>228.83146533076916</v>
      </c>
      <c r="O396" s="4">
        <v>45942</v>
      </c>
      <c r="P396" s="4">
        <v>45961</v>
      </c>
      <c r="Q396" t="s">
        <v>21</v>
      </c>
      <c r="R396">
        <f>Table2[[#This Row],[End_Date]]-Table2[[#This Row],[Start_Date]]</f>
        <v>19</v>
      </c>
      <c r="S396" t="str">
        <f>TEXT(Table2[[#This Row],[Start_Date]],"MMM")</f>
        <v>Oct</v>
      </c>
      <c r="T396">
        <f>YEAR(Table2[[#This Row],[Start_Date]])</f>
        <v>2025</v>
      </c>
      <c r="U396">
        <f>Table2[[#This Row],[Campaign_Cost (₹)]]/Table2[[#This Row],[Reach]]</f>
        <v>0.23264985761274898</v>
      </c>
      <c r="V396">
        <f>Table2[[#This Row],[Revenue_Generated (₹)]]/Table2[[#This Row],[Reach]]</f>
        <v>0.76502593587795042</v>
      </c>
    </row>
    <row r="397" spans="1:22" x14ac:dyDescent="0.3">
      <c r="A397" t="s">
        <v>448</v>
      </c>
      <c r="B397" t="s">
        <v>18</v>
      </c>
      <c r="C397" t="s">
        <v>37</v>
      </c>
      <c r="D397" t="s">
        <v>40</v>
      </c>
      <c r="E397">
        <v>1484404</v>
      </c>
      <c r="F397">
        <v>584068</v>
      </c>
      <c r="G397">
        <v>1091007</v>
      </c>
      <c r="H397">
        <v>45626</v>
      </c>
      <c r="I397">
        <v>5222</v>
      </c>
      <c r="J397">
        <v>3801</v>
      </c>
      <c r="K397">
        <f t="shared" si="12"/>
        <v>9.3566160104645348</v>
      </c>
      <c r="L397">
        <v>195275</v>
      </c>
      <c r="M397">
        <v>686448</v>
      </c>
      <c r="N397">
        <f t="shared" si="13"/>
        <v>251.52886954295224</v>
      </c>
      <c r="O397" s="4">
        <v>45848</v>
      </c>
      <c r="P397" s="4">
        <v>45859</v>
      </c>
      <c r="Q397" t="s">
        <v>34</v>
      </c>
      <c r="R397">
        <f>Table2[[#This Row],[End_Date]]-Table2[[#This Row],[Start_Date]]</f>
        <v>11</v>
      </c>
      <c r="S397" t="str">
        <f>TEXT(Table2[[#This Row],[Start_Date]],"MMM")</f>
        <v>Jul</v>
      </c>
      <c r="T397">
        <f>YEAR(Table2[[#This Row],[Start_Date]])</f>
        <v>2025</v>
      </c>
      <c r="U397">
        <f>Table2[[#This Row],[Campaign_Cost (₹)]]/Table2[[#This Row],[Reach]]</f>
        <v>0.33433607045754948</v>
      </c>
      <c r="V397">
        <f>Table2[[#This Row],[Revenue_Generated (₹)]]/Table2[[#This Row],[Reach]]</f>
        <v>1.175287808953752</v>
      </c>
    </row>
    <row r="398" spans="1:22" x14ac:dyDescent="0.3">
      <c r="A398" t="s">
        <v>449</v>
      </c>
      <c r="B398" t="s">
        <v>18</v>
      </c>
      <c r="C398" t="s">
        <v>37</v>
      </c>
      <c r="D398" t="s">
        <v>29</v>
      </c>
      <c r="E398">
        <v>1777781</v>
      </c>
      <c r="F398">
        <v>937064</v>
      </c>
      <c r="G398">
        <v>2122089</v>
      </c>
      <c r="H398">
        <v>114413</v>
      </c>
      <c r="I398">
        <v>12558</v>
      </c>
      <c r="J398">
        <v>4748</v>
      </c>
      <c r="K398">
        <f t="shared" si="12"/>
        <v>14.056563905987209</v>
      </c>
      <c r="L398">
        <v>425701</v>
      </c>
      <c r="M398">
        <v>1058008</v>
      </c>
      <c r="N398">
        <f t="shared" si="13"/>
        <v>148.53312536263715</v>
      </c>
      <c r="O398" s="4">
        <v>45982</v>
      </c>
      <c r="P398" s="4">
        <v>46000</v>
      </c>
      <c r="Q398" t="s">
        <v>47</v>
      </c>
      <c r="R398">
        <f>Table2[[#This Row],[End_Date]]-Table2[[#This Row],[Start_Date]]</f>
        <v>18</v>
      </c>
      <c r="S398" t="str">
        <f>TEXT(Table2[[#This Row],[Start_Date]],"MMM")</f>
        <v>Nov</v>
      </c>
      <c r="T398">
        <f>YEAR(Table2[[#This Row],[Start_Date]])</f>
        <v>2025</v>
      </c>
      <c r="U398">
        <f>Table2[[#This Row],[Campaign_Cost (₹)]]/Table2[[#This Row],[Reach]]</f>
        <v>0.45429234289226778</v>
      </c>
      <c r="V398">
        <f>Table2[[#This Row],[Revenue_Generated (₹)]]/Table2[[#This Row],[Reach]]</f>
        <v>1.1290669580733013</v>
      </c>
    </row>
    <row r="399" spans="1:22" x14ac:dyDescent="0.3">
      <c r="A399" t="s">
        <v>450</v>
      </c>
      <c r="B399" t="s">
        <v>45</v>
      </c>
      <c r="C399" t="s">
        <v>43</v>
      </c>
      <c r="D399" t="s">
        <v>51</v>
      </c>
      <c r="E399">
        <v>1423563</v>
      </c>
      <c r="F399">
        <v>916165</v>
      </c>
      <c r="G399">
        <v>2256872</v>
      </c>
      <c r="H399">
        <v>30863</v>
      </c>
      <c r="I399">
        <v>1712</v>
      </c>
      <c r="J399">
        <v>734</v>
      </c>
      <c r="K399">
        <f t="shared" si="12"/>
        <v>3.635698809712224</v>
      </c>
      <c r="L399">
        <v>223072</v>
      </c>
      <c r="M399">
        <v>734095</v>
      </c>
      <c r="N399">
        <f t="shared" si="13"/>
        <v>229.08433151628174</v>
      </c>
      <c r="O399" s="4">
        <v>46070</v>
      </c>
      <c r="P399" s="4">
        <v>46091</v>
      </c>
      <c r="Q399" t="s">
        <v>30</v>
      </c>
      <c r="R399">
        <f>Table2[[#This Row],[End_Date]]-Table2[[#This Row],[Start_Date]]</f>
        <v>21</v>
      </c>
      <c r="S399" t="str">
        <f>TEXT(Table2[[#This Row],[Start_Date]],"MMM")</f>
        <v>Feb</v>
      </c>
      <c r="T399">
        <f>YEAR(Table2[[#This Row],[Start_Date]])</f>
        <v>2026</v>
      </c>
      <c r="U399">
        <f>Table2[[#This Row],[Campaign_Cost (₹)]]/Table2[[#This Row],[Reach]]</f>
        <v>0.24348452516740979</v>
      </c>
      <c r="V399">
        <f>Table2[[#This Row],[Revenue_Generated (₹)]]/Table2[[#This Row],[Reach]]</f>
        <v>0.8012694219927633</v>
      </c>
    </row>
    <row r="400" spans="1:22" x14ac:dyDescent="0.3">
      <c r="A400" t="s">
        <v>451</v>
      </c>
      <c r="B400" t="s">
        <v>80</v>
      </c>
      <c r="C400" t="s">
        <v>33</v>
      </c>
      <c r="D400" t="s">
        <v>29</v>
      </c>
      <c r="E400">
        <v>497368</v>
      </c>
      <c r="F400">
        <v>396875</v>
      </c>
      <c r="G400">
        <v>584724</v>
      </c>
      <c r="H400">
        <v>37026</v>
      </c>
      <c r="I400">
        <v>1809</v>
      </c>
      <c r="J400">
        <v>2480</v>
      </c>
      <c r="K400">
        <f t="shared" si="12"/>
        <v>10.410078740157481</v>
      </c>
      <c r="L400">
        <v>317043</v>
      </c>
      <c r="M400">
        <v>1454864</v>
      </c>
      <c r="N400">
        <f t="shared" si="13"/>
        <v>358.88538778651474</v>
      </c>
      <c r="O400" s="4">
        <v>45758</v>
      </c>
      <c r="P400" s="4">
        <v>45782</v>
      </c>
      <c r="Q400" t="s">
        <v>47</v>
      </c>
      <c r="R400">
        <f>Table2[[#This Row],[End_Date]]-Table2[[#This Row],[Start_Date]]</f>
        <v>24</v>
      </c>
      <c r="S400" t="str">
        <f>TEXT(Table2[[#This Row],[Start_Date]],"MMM")</f>
        <v>Apr</v>
      </c>
      <c r="T400">
        <f>YEAR(Table2[[#This Row],[Start_Date]])</f>
        <v>2025</v>
      </c>
      <c r="U400">
        <f>Table2[[#This Row],[Campaign_Cost (₹)]]/Table2[[#This Row],[Reach]]</f>
        <v>0.7988485039370079</v>
      </c>
      <c r="V400">
        <f>Table2[[#This Row],[Revenue_Generated (₹)]]/Table2[[#This Row],[Reach]]</f>
        <v>3.6657990551181103</v>
      </c>
    </row>
    <row r="401" spans="1:22" x14ac:dyDescent="0.3">
      <c r="A401" t="s">
        <v>452</v>
      </c>
      <c r="B401" t="s">
        <v>49</v>
      </c>
      <c r="C401" t="s">
        <v>33</v>
      </c>
      <c r="D401" t="s">
        <v>20</v>
      </c>
      <c r="E401">
        <v>720137</v>
      </c>
      <c r="F401">
        <v>527168</v>
      </c>
      <c r="G401">
        <v>695203</v>
      </c>
      <c r="H401">
        <v>50078</v>
      </c>
      <c r="I401">
        <v>3946</v>
      </c>
      <c r="J401">
        <v>4095</v>
      </c>
      <c r="K401">
        <f t="shared" si="12"/>
        <v>11.024758710695641</v>
      </c>
      <c r="L401">
        <v>16605</v>
      </c>
      <c r="M401">
        <v>27963</v>
      </c>
      <c r="N401">
        <f t="shared" si="13"/>
        <v>68.401084010840108</v>
      </c>
      <c r="O401" s="4">
        <v>45673</v>
      </c>
      <c r="P401" s="4">
        <v>45699</v>
      </c>
      <c r="Q401" t="s">
        <v>78</v>
      </c>
      <c r="R401">
        <f>Table2[[#This Row],[End_Date]]-Table2[[#This Row],[Start_Date]]</f>
        <v>26</v>
      </c>
      <c r="S401" t="str">
        <f>TEXT(Table2[[#This Row],[Start_Date]],"MMM")</f>
        <v>Jan</v>
      </c>
      <c r="T401">
        <f>YEAR(Table2[[#This Row],[Start_Date]])</f>
        <v>2025</v>
      </c>
      <c r="U401">
        <f>Table2[[#This Row],[Campaign_Cost (₹)]]/Table2[[#This Row],[Reach]]</f>
        <v>3.1498497632633238E-2</v>
      </c>
      <c r="V401">
        <f>Table2[[#This Row],[Revenue_Generated (₹)]]/Table2[[#This Row],[Reach]]</f>
        <v>5.3043811460483183E-2</v>
      </c>
    </row>
    <row r="402" spans="1:22" x14ac:dyDescent="0.3">
      <c r="A402" t="s">
        <v>453</v>
      </c>
      <c r="B402" t="s">
        <v>80</v>
      </c>
      <c r="C402" t="s">
        <v>43</v>
      </c>
      <c r="D402" t="s">
        <v>72</v>
      </c>
      <c r="E402">
        <v>141923</v>
      </c>
      <c r="F402">
        <v>89673</v>
      </c>
      <c r="G402">
        <v>262373</v>
      </c>
      <c r="H402">
        <v>12175</v>
      </c>
      <c r="I402">
        <v>1585</v>
      </c>
      <c r="J402">
        <v>902</v>
      </c>
      <c r="K402">
        <f t="shared" si="12"/>
        <v>16.350517993152899</v>
      </c>
      <c r="L402">
        <v>492394</v>
      </c>
      <c r="M402">
        <v>605387</v>
      </c>
      <c r="N402">
        <f t="shared" si="13"/>
        <v>22.947680109830745</v>
      </c>
      <c r="O402" s="4">
        <v>45968</v>
      </c>
      <c r="P402" s="4">
        <v>45980</v>
      </c>
      <c r="Q402" t="s">
        <v>54</v>
      </c>
      <c r="R402">
        <f>Table2[[#This Row],[End_Date]]-Table2[[#This Row],[Start_Date]]</f>
        <v>12</v>
      </c>
      <c r="S402" t="str">
        <f>TEXT(Table2[[#This Row],[Start_Date]],"MMM")</f>
        <v>Nov</v>
      </c>
      <c r="T402">
        <f>YEAR(Table2[[#This Row],[Start_Date]])</f>
        <v>2025</v>
      </c>
      <c r="U402">
        <f>Table2[[#This Row],[Campaign_Cost (₹)]]/Table2[[#This Row],[Reach]]</f>
        <v>5.4909950598284878</v>
      </c>
      <c r="V402">
        <f>Table2[[#This Row],[Revenue_Generated (₹)]]/Table2[[#This Row],[Reach]]</f>
        <v>6.7510510410045388</v>
      </c>
    </row>
    <row r="403" spans="1:22" x14ac:dyDescent="0.3">
      <c r="A403" t="s">
        <v>454</v>
      </c>
      <c r="B403" t="s">
        <v>27</v>
      </c>
      <c r="C403" t="s">
        <v>43</v>
      </c>
      <c r="D403" t="s">
        <v>72</v>
      </c>
      <c r="E403">
        <v>112623</v>
      </c>
      <c r="F403">
        <v>69986</v>
      </c>
      <c r="G403">
        <v>138529</v>
      </c>
      <c r="H403">
        <v>8274</v>
      </c>
      <c r="I403">
        <v>1222</v>
      </c>
      <c r="J403">
        <v>242</v>
      </c>
      <c r="K403">
        <f t="shared" si="12"/>
        <v>13.914211413711314</v>
      </c>
      <c r="L403">
        <v>81597</v>
      </c>
      <c r="M403">
        <v>151199</v>
      </c>
      <c r="N403">
        <f t="shared" si="13"/>
        <v>85.29970464600413</v>
      </c>
      <c r="O403" s="4">
        <v>45741</v>
      </c>
      <c r="P403" s="4">
        <v>45748</v>
      </c>
      <c r="Q403" t="s">
        <v>34</v>
      </c>
      <c r="R403">
        <f>Table2[[#This Row],[End_Date]]-Table2[[#This Row],[Start_Date]]</f>
        <v>7</v>
      </c>
      <c r="S403" t="str">
        <f>TEXT(Table2[[#This Row],[Start_Date]],"MMM")</f>
        <v>Mar</v>
      </c>
      <c r="T403">
        <f>YEAR(Table2[[#This Row],[Start_Date]])</f>
        <v>2025</v>
      </c>
      <c r="U403">
        <f>Table2[[#This Row],[Campaign_Cost (₹)]]/Table2[[#This Row],[Reach]]</f>
        <v>1.1659046094933272</v>
      </c>
      <c r="V403">
        <f>Table2[[#This Row],[Revenue_Generated (₹)]]/Table2[[#This Row],[Reach]]</f>
        <v>2.1604177978452834</v>
      </c>
    </row>
    <row r="404" spans="1:22" x14ac:dyDescent="0.3">
      <c r="A404" t="s">
        <v>455</v>
      </c>
      <c r="B404" t="s">
        <v>27</v>
      </c>
      <c r="C404" t="s">
        <v>28</v>
      </c>
      <c r="D404" t="s">
        <v>24</v>
      </c>
      <c r="E404">
        <v>1186981</v>
      </c>
      <c r="F404">
        <v>768660</v>
      </c>
      <c r="G404">
        <v>850739</v>
      </c>
      <c r="H404">
        <v>79578</v>
      </c>
      <c r="I404">
        <v>11343</v>
      </c>
      <c r="J404">
        <v>4012</v>
      </c>
      <c r="K404">
        <f t="shared" si="12"/>
        <v>12.350454036895377</v>
      </c>
      <c r="L404">
        <v>250802</v>
      </c>
      <c r="M404">
        <v>358737</v>
      </c>
      <c r="N404">
        <f t="shared" si="13"/>
        <v>43.035940702227258</v>
      </c>
      <c r="O404" s="4">
        <v>45922</v>
      </c>
      <c r="P404" s="4">
        <v>45950</v>
      </c>
      <c r="Q404" t="s">
        <v>47</v>
      </c>
      <c r="R404">
        <f>Table2[[#This Row],[End_Date]]-Table2[[#This Row],[Start_Date]]</f>
        <v>28</v>
      </c>
      <c r="S404" t="str">
        <f>TEXT(Table2[[#This Row],[Start_Date]],"MMM")</f>
        <v>Sep</v>
      </c>
      <c r="T404">
        <f>YEAR(Table2[[#This Row],[Start_Date]])</f>
        <v>2025</v>
      </c>
      <c r="U404">
        <f>Table2[[#This Row],[Campaign_Cost (₹)]]/Table2[[#This Row],[Reach]]</f>
        <v>0.32628470324981135</v>
      </c>
      <c r="V404">
        <f>Table2[[#This Row],[Revenue_Generated (₹)]]/Table2[[#This Row],[Reach]]</f>
        <v>0.46670439466083835</v>
      </c>
    </row>
    <row r="405" spans="1:22" x14ac:dyDescent="0.3">
      <c r="A405" t="s">
        <v>456</v>
      </c>
      <c r="B405" t="s">
        <v>36</v>
      </c>
      <c r="C405" t="s">
        <v>43</v>
      </c>
      <c r="D405" t="s">
        <v>20</v>
      </c>
      <c r="E405">
        <v>978473</v>
      </c>
      <c r="F405">
        <v>386010</v>
      </c>
      <c r="G405">
        <v>702641</v>
      </c>
      <c r="H405">
        <v>27992</v>
      </c>
      <c r="I405">
        <v>3703</v>
      </c>
      <c r="J405">
        <v>1439</v>
      </c>
      <c r="K405">
        <f t="shared" si="12"/>
        <v>8.5837154477863269</v>
      </c>
      <c r="L405">
        <v>73791</v>
      </c>
      <c r="M405">
        <v>148967</v>
      </c>
      <c r="N405">
        <f t="shared" si="13"/>
        <v>101.876922659945</v>
      </c>
      <c r="O405" s="4">
        <v>45713</v>
      </c>
      <c r="P405" s="4">
        <v>45723</v>
      </c>
      <c r="Q405" t="s">
        <v>41</v>
      </c>
      <c r="R405">
        <f>Table2[[#This Row],[End_Date]]-Table2[[#This Row],[Start_Date]]</f>
        <v>10</v>
      </c>
      <c r="S405" t="str">
        <f>TEXT(Table2[[#This Row],[Start_Date]],"MMM")</f>
        <v>Feb</v>
      </c>
      <c r="T405">
        <f>YEAR(Table2[[#This Row],[Start_Date]])</f>
        <v>2025</v>
      </c>
      <c r="U405">
        <f>Table2[[#This Row],[Campaign_Cost (₹)]]/Table2[[#This Row],[Reach]]</f>
        <v>0.19116344136162275</v>
      </c>
      <c r="V405">
        <f>Table2[[#This Row],[Revenue_Generated (₹)]]/Table2[[#This Row],[Reach]]</f>
        <v>0.38591487267169244</v>
      </c>
    </row>
    <row r="406" spans="1:22" x14ac:dyDescent="0.3">
      <c r="A406" t="s">
        <v>457</v>
      </c>
      <c r="B406" t="s">
        <v>80</v>
      </c>
      <c r="C406" t="s">
        <v>37</v>
      </c>
      <c r="D406" t="s">
        <v>46</v>
      </c>
      <c r="E406">
        <v>564772</v>
      </c>
      <c r="F406">
        <v>176089</v>
      </c>
      <c r="G406">
        <v>503433</v>
      </c>
      <c r="H406">
        <v>22798</v>
      </c>
      <c r="I406">
        <v>2967</v>
      </c>
      <c r="J406">
        <v>622</v>
      </c>
      <c r="K406">
        <f t="shared" si="12"/>
        <v>14.98503597612571</v>
      </c>
      <c r="L406">
        <v>71616</v>
      </c>
      <c r="M406">
        <v>154829</v>
      </c>
      <c r="N406">
        <f t="shared" si="13"/>
        <v>116.19330875781948</v>
      </c>
      <c r="O406" s="4">
        <v>45809</v>
      </c>
      <c r="P406" s="4">
        <v>45825</v>
      </c>
      <c r="Q406" t="s">
        <v>25</v>
      </c>
      <c r="R406">
        <f>Table2[[#This Row],[End_Date]]-Table2[[#This Row],[Start_Date]]</f>
        <v>16</v>
      </c>
      <c r="S406" t="str">
        <f>TEXT(Table2[[#This Row],[Start_Date]],"MMM")</f>
        <v>Jun</v>
      </c>
      <c r="T406">
        <f>YEAR(Table2[[#This Row],[Start_Date]])</f>
        <v>2025</v>
      </c>
      <c r="U406">
        <f>Table2[[#This Row],[Campaign_Cost (₹)]]/Table2[[#This Row],[Reach]]</f>
        <v>0.40670342837996692</v>
      </c>
      <c r="V406">
        <f>Table2[[#This Row],[Revenue_Generated (₹)]]/Table2[[#This Row],[Reach]]</f>
        <v>0.87926559864613918</v>
      </c>
    </row>
    <row r="407" spans="1:22" x14ac:dyDescent="0.3">
      <c r="A407" t="s">
        <v>458</v>
      </c>
      <c r="B407" t="s">
        <v>23</v>
      </c>
      <c r="C407" t="s">
        <v>33</v>
      </c>
      <c r="D407" t="s">
        <v>40</v>
      </c>
      <c r="E407">
        <v>1705626</v>
      </c>
      <c r="F407">
        <v>1332270</v>
      </c>
      <c r="G407">
        <v>2542144</v>
      </c>
      <c r="H407">
        <v>87282</v>
      </c>
      <c r="I407">
        <v>6197</v>
      </c>
      <c r="J407">
        <v>6248</v>
      </c>
      <c r="K407">
        <f t="shared" si="12"/>
        <v>7.4854946820089019</v>
      </c>
      <c r="L407">
        <v>58621</v>
      </c>
      <c r="M407">
        <v>246895</v>
      </c>
      <c r="N407">
        <f t="shared" si="13"/>
        <v>321.17159379744459</v>
      </c>
      <c r="O407" s="4">
        <v>45814</v>
      </c>
      <c r="P407" s="4">
        <v>45830</v>
      </c>
      <c r="Q407" t="s">
        <v>41</v>
      </c>
      <c r="R407">
        <f>Table2[[#This Row],[End_Date]]-Table2[[#This Row],[Start_Date]]</f>
        <v>16</v>
      </c>
      <c r="S407" t="str">
        <f>TEXT(Table2[[#This Row],[Start_Date]],"MMM")</f>
        <v>Jun</v>
      </c>
      <c r="T407">
        <f>YEAR(Table2[[#This Row],[Start_Date]])</f>
        <v>2025</v>
      </c>
      <c r="U407">
        <f>Table2[[#This Row],[Campaign_Cost (₹)]]/Table2[[#This Row],[Reach]]</f>
        <v>4.4000840670434672E-2</v>
      </c>
      <c r="V407">
        <f>Table2[[#This Row],[Revenue_Generated (₹)]]/Table2[[#This Row],[Reach]]</f>
        <v>0.18531904193594392</v>
      </c>
    </row>
    <row r="408" spans="1:22" x14ac:dyDescent="0.3">
      <c r="A408" t="s">
        <v>459</v>
      </c>
      <c r="B408" t="s">
        <v>61</v>
      </c>
      <c r="C408" t="s">
        <v>19</v>
      </c>
      <c r="D408" t="s">
        <v>72</v>
      </c>
      <c r="E408">
        <v>1184396</v>
      </c>
      <c r="F408">
        <v>576753</v>
      </c>
      <c r="G408">
        <v>1303827</v>
      </c>
      <c r="H408">
        <v>48671</v>
      </c>
      <c r="I408">
        <v>5184</v>
      </c>
      <c r="J408">
        <v>2729</v>
      </c>
      <c r="K408">
        <f t="shared" si="12"/>
        <v>9.8107855529143322</v>
      </c>
      <c r="L408">
        <v>203622</v>
      </c>
      <c r="M408">
        <v>737897</v>
      </c>
      <c r="N408">
        <f t="shared" si="13"/>
        <v>262.38569506241959</v>
      </c>
      <c r="O408" s="4">
        <v>45825</v>
      </c>
      <c r="P408" s="4">
        <v>45839</v>
      </c>
      <c r="Q408" t="s">
        <v>78</v>
      </c>
      <c r="R408">
        <f>Table2[[#This Row],[End_Date]]-Table2[[#This Row],[Start_Date]]</f>
        <v>14</v>
      </c>
      <c r="S408" t="str">
        <f>TEXT(Table2[[#This Row],[Start_Date]],"MMM")</f>
        <v>Jun</v>
      </c>
      <c r="T408">
        <f>YEAR(Table2[[#This Row],[Start_Date]])</f>
        <v>2025</v>
      </c>
      <c r="U408">
        <f>Table2[[#This Row],[Campaign_Cost (₹)]]/Table2[[#This Row],[Reach]]</f>
        <v>0.35304887880947305</v>
      </c>
      <c r="V408">
        <f>Table2[[#This Row],[Revenue_Generated (₹)]]/Table2[[#This Row],[Reach]]</f>
        <v>1.2793986333837881</v>
      </c>
    </row>
    <row r="409" spans="1:22" x14ac:dyDescent="0.3">
      <c r="A409" t="s">
        <v>460</v>
      </c>
      <c r="B409" t="s">
        <v>53</v>
      </c>
      <c r="C409" t="s">
        <v>19</v>
      </c>
      <c r="D409" t="s">
        <v>40</v>
      </c>
      <c r="E409">
        <v>1361016</v>
      </c>
      <c r="F409">
        <v>1048242</v>
      </c>
      <c r="G409">
        <v>1852535</v>
      </c>
      <c r="H409">
        <v>53599</v>
      </c>
      <c r="I409">
        <v>2754</v>
      </c>
      <c r="J409">
        <v>3687</v>
      </c>
      <c r="K409">
        <f t="shared" si="12"/>
        <v>5.7276850192989786</v>
      </c>
      <c r="L409">
        <v>257186</v>
      </c>
      <c r="M409">
        <v>294803</v>
      </c>
      <c r="N409">
        <f t="shared" si="13"/>
        <v>14.626379351908735</v>
      </c>
      <c r="O409" s="4">
        <v>45742</v>
      </c>
      <c r="P409" s="4">
        <v>45770</v>
      </c>
      <c r="Q409" t="s">
        <v>78</v>
      </c>
      <c r="R409">
        <f>Table2[[#This Row],[End_Date]]-Table2[[#This Row],[Start_Date]]</f>
        <v>28</v>
      </c>
      <c r="S409" t="str">
        <f>TEXT(Table2[[#This Row],[Start_Date]],"MMM")</f>
        <v>Mar</v>
      </c>
      <c r="T409">
        <f>YEAR(Table2[[#This Row],[Start_Date]])</f>
        <v>2025</v>
      </c>
      <c r="U409">
        <f>Table2[[#This Row],[Campaign_Cost (₹)]]/Table2[[#This Row],[Reach]]</f>
        <v>0.24534983334001118</v>
      </c>
      <c r="V409">
        <f>Table2[[#This Row],[Revenue_Generated (₹)]]/Table2[[#This Row],[Reach]]</f>
        <v>0.28123563070359708</v>
      </c>
    </row>
    <row r="410" spans="1:22" x14ac:dyDescent="0.3">
      <c r="A410" t="s">
        <v>461</v>
      </c>
      <c r="B410" t="s">
        <v>103</v>
      </c>
      <c r="C410" t="s">
        <v>28</v>
      </c>
      <c r="D410" t="s">
        <v>40</v>
      </c>
      <c r="E410">
        <v>594537</v>
      </c>
      <c r="F410">
        <v>172018</v>
      </c>
      <c r="G410">
        <v>440548</v>
      </c>
      <c r="H410">
        <v>7492</v>
      </c>
      <c r="I410">
        <v>711</v>
      </c>
      <c r="J410">
        <v>390</v>
      </c>
      <c r="K410">
        <f t="shared" si="12"/>
        <v>4.9954074573591134</v>
      </c>
      <c r="L410">
        <v>497461</v>
      </c>
      <c r="M410">
        <v>938712</v>
      </c>
      <c r="N410">
        <f t="shared" si="13"/>
        <v>88.700621757283486</v>
      </c>
      <c r="O410" s="4">
        <v>46143</v>
      </c>
      <c r="P410" s="4">
        <v>46160</v>
      </c>
      <c r="Q410" t="s">
        <v>30</v>
      </c>
      <c r="R410">
        <f>Table2[[#This Row],[End_Date]]-Table2[[#This Row],[Start_Date]]</f>
        <v>17</v>
      </c>
      <c r="S410" t="str">
        <f>TEXT(Table2[[#This Row],[Start_Date]],"MMM")</f>
        <v>May</v>
      </c>
      <c r="T410">
        <f>YEAR(Table2[[#This Row],[Start_Date]])</f>
        <v>2026</v>
      </c>
      <c r="U410">
        <f>Table2[[#This Row],[Campaign_Cost (₹)]]/Table2[[#This Row],[Reach]]</f>
        <v>2.8919124742759479</v>
      </c>
      <c r="V410">
        <f>Table2[[#This Row],[Revenue_Generated (₹)]]/Table2[[#This Row],[Reach]]</f>
        <v>5.4570568196351541</v>
      </c>
    </row>
    <row r="411" spans="1:22" x14ac:dyDescent="0.3">
      <c r="A411" t="s">
        <v>462</v>
      </c>
      <c r="B411" t="s">
        <v>39</v>
      </c>
      <c r="C411" t="s">
        <v>37</v>
      </c>
      <c r="D411" t="s">
        <v>20</v>
      </c>
      <c r="E411">
        <v>1708957</v>
      </c>
      <c r="F411">
        <v>982379</v>
      </c>
      <c r="G411">
        <v>1895548</v>
      </c>
      <c r="H411">
        <v>125633</v>
      </c>
      <c r="I411">
        <v>9815</v>
      </c>
      <c r="J411">
        <v>2764</v>
      </c>
      <c r="K411">
        <f t="shared" si="12"/>
        <v>14.069111819369104</v>
      </c>
      <c r="L411">
        <v>258761</v>
      </c>
      <c r="M411">
        <v>856948</v>
      </c>
      <c r="N411">
        <f t="shared" si="13"/>
        <v>231.17355397451703</v>
      </c>
      <c r="O411" s="4">
        <v>45784</v>
      </c>
      <c r="P411" s="4">
        <v>45798</v>
      </c>
      <c r="Q411" t="s">
        <v>41</v>
      </c>
      <c r="R411">
        <f>Table2[[#This Row],[End_Date]]-Table2[[#This Row],[Start_Date]]</f>
        <v>14</v>
      </c>
      <c r="S411" t="str">
        <f>TEXT(Table2[[#This Row],[Start_Date]],"MMM")</f>
        <v>May</v>
      </c>
      <c r="T411">
        <f>YEAR(Table2[[#This Row],[Start_Date]])</f>
        <v>2025</v>
      </c>
      <c r="U411">
        <f>Table2[[#This Row],[Campaign_Cost (₹)]]/Table2[[#This Row],[Reach]]</f>
        <v>0.26340241393596564</v>
      </c>
      <c r="V411">
        <f>Table2[[#This Row],[Revenue_Generated (₹)]]/Table2[[#This Row],[Reach]]</f>
        <v>0.87231913548640594</v>
      </c>
    </row>
    <row r="412" spans="1:22" x14ac:dyDescent="0.3">
      <c r="A412" t="s">
        <v>463</v>
      </c>
      <c r="B412" t="s">
        <v>80</v>
      </c>
      <c r="C412" t="s">
        <v>19</v>
      </c>
      <c r="D412" t="s">
        <v>72</v>
      </c>
      <c r="E412">
        <v>382334</v>
      </c>
      <c r="F412">
        <v>343499</v>
      </c>
      <c r="G412">
        <v>426024</v>
      </c>
      <c r="H412">
        <v>26665</v>
      </c>
      <c r="I412">
        <v>3772</v>
      </c>
      <c r="J412">
        <v>694</v>
      </c>
      <c r="K412">
        <f t="shared" si="12"/>
        <v>9.0629084800829105</v>
      </c>
      <c r="L412">
        <v>340564</v>
      </c>
      <c r="M412">
        <v>1112173</v>
      </c>
      <c r="N412">
        <f t="shared" si="13"/>
        <v>226.56798722119777</v>
      </c>
      <c r="O412" s="4">
        <v>45709</v>
      </c>
      <c r="P412" s="4">
        <v>45721</v>
      </c>
      <c r="Q412" t="s">
        <v>78</v>
      </c>
      <c r="R412">
        <f>Table2[[#This Row],[End_Date]]-Table2[[#This Row],[Start_Date]]</f>
        <v>12</v>
      </c>
      <c r="S412" t="str">
        <f>TEXT(Table2[[#This Row],[Start_Date]],"MMM")</f>
        <v>Feb</v>
      </c>
      <c r="T412">
        <f>YEAR(Table2[[#This Row],[Start_Date]])</f>
        <v>2025</v>
      </c>
      <c r="U412">
        <f>Table2[[#This Row],[Campaign_Cost (₹)]]/Table2[[#This Row],[Reach]]</f>
        <v>0.99145557920110394</v>
      </c>
      <c r="V412">
        <f>Table2[[#This Row],[Revenue_Generated (₹)]]/Table2[[#This Row],[Reach]]</f>
        <v>3.2377765291893135</v>
      </c>
    </row>
    <row r="413" spans="1:22" x14ac:dyDescent="0.3">
      <c r="A413" t="s">
        <v>464</v>
      </c>
      <c r="B413" t="s">
        <v>18</v>
      </c>
      <c r="C413" t="s">
        <v>28</v>
      </c>
      <c r="D413" t="s">
        <v>20</v>
      </c>
      <c r="E413">
        <v>1846635</v>
      </c>
      <c r="F413">
        <v>864397</v>
      </c>
      <c r="G413">
        <v>2339311</v>
      </c>
      <c r="H413">
        <v>39749</v>
      </c>
      <c r="I413">
        <v>3466</v>
      </c>
      <c r="J413">
        <v>1587</v>
      </c>
      <c r="K413">
        <f t="shared" si="12"/>
        <v>5.1830351100246759</v>
      </c>
      <c r="L413">
        <v>277669</v>
      </c>
      <c r="M413">
        <v>770537</v>
      </c>
      <c r="N413">
        <f t="shared" si="13"/>
        <v>177.50198977919754</v>
      </c>
      <c r="O413" s="4">
        <v>45999</v>
      </c>
      <c r="P413" s="4">
        <v>46021</v>
      </c>
      <c r="Q413" t="s">
        <v>34</v>
      </c>
      <c r="R413">
        <f>Table2[[#This Row],[End_Date]]-Table2[[#This Row],[Start_Date]]</f>
        <v>22</v>
      </c>
      <c r="S413" t="str">
        <f>TEXT(Table2[[#This Row],[Start_Date]],"MMM")</f>
        <v>Dec</v>
      </c>
      <c r="T413">
        <f>YEAR(Table2[[#This Row],[Start_Date]])</f>
        <v>2025</v>
      </c>
      <c r="U413">
        <f>Table2[[#This Row],[Campaign_Cost (₹)]]/Table2[[#This Row],[Reach]]</f>
        <v>0.32122855586032806</v>
      </c>
      <c r="V413">
        <f>Table2[[#This Row],[Revenue_Generated (₹)]]/Table2[[#This Row],[Reach]]</f>
        <v>0.89141563425139148</v>
      </c>
    </row>
    <row r="414" spans="1:22" x14ac:dyDescent="0.3">
      <c r="A414" t="s">
        <v>465</v>
      </c>
      <c r="B414" t="s">
        <v>53</v>
      </c>
      <c r="C414" t="s">
        <v>37</v>
      </c>
      <c r="D414" t="s">
        <v>46</v>
      </c>
      <c r="E414">
        <v>1353088</v>
      </c>
      <c r="F414">
        <v>516820</v>
      </c>
      <c r="G414">
        <v>1346853</v>
      </c>
      <c r="H414">
        <v>48250</v>
      </c>
      <c r="I414">
        <v>1714</v>
      </c>
      <c r="J414">
        <v>3504</v>
      </c>
      <c r="K414">
        <f t="shared" si="12"/>
        <v>10.345574861653962</v>
      </c>
      <c r="L414">
        <v>360883</v>
      </c>
      <c r="M414">
        <v>453007</v>
      </c>
      <c r="N414">
        <f t="shared" si="13"/>
        <v>25.527386992460162</v>
      </c>
      <c r="O414" s="4">
        <v>45792</v>
      </c>
      <c r="P414" s="4">
        <v>45799</v>
      </c>
      <c r="Q414" t="s">
        <v>41</v>
      </c>
      <c r="R414">
        <f>Table2[[#This Row],[End_Date]]-Table2[[#This Row],[Start_Date]]</f>
        <v>7</v>
      </c>
      <c r="S414" t="str">
        <f>TEXT(Table2[[#This Row],[Start_Date]],"MMM")</f>
        <v>May</v>
      </c>
      <c r="T414">
        <f>YEAR(Table2[[#This Row],[Start_Date]])</f>
        <v>2025</v>
      </c>
      <c r="U414">
        <f>Table2[[#This Row],[Campaign_Cost (₹)]]/Table2[[#This Row],[Reach]]</f>
        <v>0.69827599551100961</v>
      </c>
      <c r="V414">
        <f>Table2[[#This Row],[Revenue_Generated (₹)]]/Table2[[#This Row],[Reach]]</f>
        <v>0.87652761116055877</v>
      </c>
    </row>
    <row r="415" spans="1:22" x14ac:dyDescent="0.3">
      <c r="A415" t="s">
        <v>466</v>
      </c>
      <c r="B415" t="s">
        <v>57</v>
      </c>
      <c r="C415" t="s">
        <v>28</v>
      </c>
      <c r="D415" t="s">
        <v>40</v>
      </c>
      <c r="E415">
        <v>1417387</v>
      </c>
      <c r="F415">
        <v>443046</v>
      </c>
      <c r="G415">
        <v>963970</v>
      </c>
      <c r="H415">
        <v>15735</v>
      </c>
      <c r="I415">
        <v>1861</v>
      </c>
      <c r="J415">
        <v>789</v>
      </c>
      <c r="K415">
        <f t="shared" si="12"/>
        <v>4.1496819743322364</v>
      </c>
      <c r="L415">
        <v>374507</v>
      </c>
      <c r="M415">
        <v>1593250</v>
      </c>
      <c r="N415">
        <f t="shared" si="13"/>
        <v>325.42595999540731</v>
      </c>
      <c r="O415" s="4">
        <v>45848</v>
      </c>
      <c r="P415" s="4">
        <v>45874</v>
      </c>
      <c r="Q415" t="s">
        <v>30</v>
      </c>
      <c r="R415">
        <f>Table2[[#This Row],[End_Date]]-Table2[[#This Row],[Start_Date]]</f>
        <v>26</v>
      </c>
      <c r="S415" t="str">
        <f>TEXT(Table2[[#This Row],[Start_Date]],"MMM")</f>
        <v>Jul</v>
      </c>
      <c r="T415">
        <f>YEAR(Table2[[#This Row],[Start_Date]])</f>
        <v>2025</v>
      </c>
      <c r="U415">
        <f>Table2[[#This Row],[Campaign_Cost (₹)]]/Table2[[#This Row],[Reach]]</f>
        <v>0.84530048798544621</v>
      </c>
      <c r="V415">
        <f>Table2[[#This Row],[Revenue_Generated (₹)]]/Table2[[#This Row],[Reach]]</f>
        <v>3.5961277158579472</v>
      </c>
    </row>
    <row r="416" spans="1:22" x14ac:dyDescent="0.3">
      <c r="A416" t="s">
        <v>467</v>
      </c>
      <c r="B416" t="s">
        <v>63</v>
      </c>
      <c r="C416" t="s">
        <v>37</v>
      </c>
      <c r="D416" t="s">
        <v>46</v>
      </c>
      <c r="E416">
        <v>99258</v>
      </c>
      <c r="F416">
        <v>54611</v>
      </c>
      <c r="G416">
        <v>151078</v>
      </c>
      <c r="H416">
        <v>6767</v>
      </c>
      <c r="I416">
        <v>572</v>
      </c>
      <c r="J416">
        <v>400</v>
      </c>
      <c r="K416">
        <f t="shared" si="12"/>
        <v>14.1711376828844</v>
      </c>
      <c r="L416">
        <v>366246</v>
      </c>
      <c r="M416">
        <v>1727792</v>
      </c>
      <c r="N416">
        <f t="shared" si="13"/>
        <v>371.75723420870128</v>
      </c>
      <c r="O416" s="4">
        <v>46010</v>
      </c>
      <c r="P416" s="4">
        <v>46030</v>
      </c>
      <c r="Q416" t="s">
        <v>78</v>
      </c>
      <c r="R416">
        <f>Table2[[#This Row],[End_Date]]-Table2[[#This Row],[Start_Date]]</f>
        <v>20</v>
      </c>
      <c r="S416" t="str">
        <f>TEXT(Table2[[#This Row],[Start_Date]],"MMM")</f>
        <v>Dec</v>
      </c>
      <c r="T416">
        <f>YEAR(Table2[[#This Row],[Start_Date]])</f>
        <v>2025</v>
      </c>
      <c r="U416">
        <f>Table2[[#This Row],[Campaign_Cost (₹)]]/Table2[[#This Row],[Reach]]</f>
        <v>6.7064510812839906</v>
      </c>
      <c r="V416">
        <f>Table2[[#This Row],[Revenue_Generated (₹)]]/Table2[[#This Row],[Reach]]</f>
        <v>31.638168134624891</v>
      </c>
    </row>
    <row r="417" spans="1:22" x14ac:dyDescent="0.3">
      <c r="A417" t="s">
        <v>468</v>
      </c>
      <c r="B417" t="s">
        <v>45</v>
      </c>
      <c r="C417" t="s">
        <v>28</v>
      </c>
      <c r="D417" t="s">
        <v>24</v>
      </c>
      <c r="E417">
        <v>1587892</v>
      </c>
      <c r="F417">
        <v>1353560</v>
      </c>
      <c r="G417">
        <v>2853372</v>
      </c>
      <c r="H417">
        <v>33549</v>
      </c>
      <c r="I417">
        <v>2733</v>
      </c>
      <c r="J417">
        <v>2416</v>
      </c>
      <c r="K417">
        <f t="shared" si="12"/>
        <v>2.858979284257809</v>
      </c>
      <c r="L417">
        <v>285656</v>
      </c>
      <c r="M417">
        <v>1116431</v>
      </c>
      <c r="N417">
        <f t="shared" si="13"/>
        <v>290.8305794382054</v>
      </c>
      <c r="O417" s="4">
        <v>45829</v>
      </c>
      <c r="P417" s="4">
        <v>45840</v>
      </c>
      <c r="Q417" t="s">
        <v>30</v>
      </c>
      <c r="R417">
        <f>Table2[[#This Row],[End_Date]]-Table2[[#This Row],[Start_Date]]</f>
        <v>11</v>
      </c>
      <c r="S417" t="str">
        <f>TEXT(Table2[[#This Row],[Start_Date]],"MMM")</f>
        <v>Jun</v>
      </c>
      <c r="T417">
        <f>YEAR(Table2[[#This Row],[Start_Date]])</f>
        <v>2025</v>
      </c>
      <c r="U417">
        <f>Table2[[#This Row],[Campaign_Cost (₹)]]/Table2[[#This Row],[Reach]]</f>
        <v>0.21104051538166022</v>
      </c>
      <c r="V417">
        <f>Table2[[#This Row],[Revenue_Generated (₹)]]/Table2[[#This Row],[Reach]]</f>
        <v>0.8248108691155176</v>
      </c>
    </row>
    <row r="418" spans="1:22" x14ac:dyDescent="0.3">
      <c r="A418" t="s">
        <v>469</v>
      </c>
      <c r="B418" t="s">
        <v>75</v>
      </c>
      <c r="C418" t="s">
        <v>19</v>
      </c>
      <c r="D418" t="s">
        <v>46</v>
      </c>
      <c r="E418">
        <v>1051604</v>
      </c>
      <c r="F418">
        <v>774119</v>
      </c>
      <c r="G418">
        <v>1762554</v>
      </c>
      <c r="H418">
        <v>34103</v>
      </c>
      <c r="I418">
        <v>1671</v>
      </c>
      <c r="J418">
        <v>2851</v>
      </c>
      <c r="K418">
        <f t="shared" si="12"/>
        <v>4.9895429514066958</v>
      </c>
      <c r="L418">
        <v>399974</v>
      </c>
      <c r="M418">
        <v>835606</v>
      </c>
      <c r="N418">
        <f t="shared" si="13"/>
        <v>108.91507948016621</v>
      </c>
      <c r="O418" s="4">
        <v>46154</v>
      </c>
      <c r="P418" s="4">
        <v>46181</v>
      </c>
      <c r="Q418" t="s">
        <v>21</v>
      </c>
      <c r="R418">
        <f>Table2[[#This Row],[End_Date]]-Table2[[#This Row],[Start_Date]]</f>
        <v>27</v>
      </c>
      <c r="S418" t="str">
        <f>TEXT(Table2[[#This Row],[Start_Date]],"MMM")</f>
        <v>May</v>
      </c>
      <c r="T418">
        <f>YEAR(Table2[[#This Row],[Start_Date]])</f>
        <v>2026</v>
      </c>
      <c r="U418">
        <f>Table2[[#This Row],[Campaign_Cost (₹)]]/Table2[[#This Row],[Reach]]</f>
        <v>0.51668283558470984</v>
      </c>
      <c r="V418">
        <f>Table2[[#This Row],[Revenue_Generated (₹)]]/Table2[[#This Row],[Reach]]</f>
        <v>1.0794283566221732</v>
      </c>
    </row>
    <row r="419" spans="1:22" x14ac:dyDescent="0.3">
      <c r="A419" t="s">
        <v>470</v>
      </c>
      <c r="B419" t="s">
        <v>75</v>
      </c>
      <c r="C419" t="s">
        <v>19</v>
      </c>
      <c r="D419" t="s">
        <v>20</v>
      </c>
      <c r="E419">
        <v>1108221</v>
      </c>
      <c r="F419">
        <v>611006</v>
      </c>
      <c r="G419">
        <v>1076741</v>
      </c>
      <c r="H419">
        <v>72551</v>
      </c>
      <c r="I419">
        <v>5746</v>
      </c>
      <c r="J419">
        <v>2627</v>
      </c>
      <c r="K419">
        <f t="shared" si="12"/>
        <v>13.244387125494676</v>
      </c>
      <c r="L419">
        <v>115967</v>
      </c>
      <c r="M419">
        <v>432183</v>
      </c>
      <c r="N419">
        <f t="shared" si="13"/>
        <v>272.67757206791583</v>
      </c>
      <c r="O419" s="4">
        <v>45870</v>
      </c>
      <c r="P419" s="4">
        <v>45882</v>
      </c>
      <c r="Q419" t="s">
        <v>78</v>
      </c>
      <c r="R419">
        <f>Table2[[#This Row],[End_Date]]-Table2[[#This Row],[Start_Date]]</f>
        <v>12</v>
      </c>
      <c r="S419" t="str">
        <f>TEXT(Table2[[#This Row],[Start_Date]],"MMM")</f>
        <v>Aug</v>
      </c>
      <c r="T419">
        <f>YEAR(Table2[[#This Row],[Start_Date]])</f>
        <v>2025</v>
      </c>
      <c r="U419">
        <f>Table2[[#This Row],[Campaign_Cost (₹)]]/Table2[[#This Row],[Reach]]</f>
        <v>0.18979682687240387</v>
      </c>
      <c r="V419">
        <f>Table2[[#This Row],[Revenue_Generated (₹)]]/Table2[[#This Row],[Reach]]</f>
        <v>0.70733020625002041</v>
      </c>
    </row>
    <row r="420" spans="1:22" x14ac:dyDescent="0.3">
      <c r="A420" t="s">
        <v>471</v>
      </c>
      <c r="B420" t="s">
        <v>103</v>
      </c>
      <c r="C420" t="s">
        <v>19</v>
      </c>
      <c r="D420" t="s">
        <v>20</v>
      </c>
      <c r="E420">
        <v>541827</v>
      </c>
      <c r="F420">
        <v>310256</v>
      </c>
      <c r="G420">
        <v>421826</v>
      </c>
      <c r="H420">
        <v>27544</v>
      </c>
      <c r="I420">
        <v>3520</v>
      </c>
      <c r="J420">
        <v>2044</v>
      </c>
      <c r="K420">
        <f t="shared" si="12"/>
        <v>10.671187664380383</v>
      </c>
      <c r="L420">
        <v>85822</v>
      </c>
      <c r="M420">
        <v>302370</v>
      </c>
      <c r="N420">
        <f t="shared" si="13"/>
        <v>252.32224837454265</v>
      </c>
      <c r="O420" s="4">
        <v>46013</v>
      </c>
      <c r="P420" s="4">
        <v>46024</v>
      </c>
      <c r="Q420" t="s">
        <v>25</v>
      </c>
      <c r="R420">
        <f>Table2[[#This Row],[End_Date]]-Table2[[#This Row],[Start_Date]]</f>
        <v>11</v>
      </c>
      <c r="S420" t="str">
        <f>TEXT(Table2[[#This Row],[Start_Date]],"MMM")</f>
        <v>Dec</v>
      </c>
      <c r="T420">
        <f>YEAR(Table2[[#This Row],[Start_Date]])</f>
        <v>2025</v>
      </c>
      <c r="U420">
        <f>Table2[[#This Row],[Campaign_Cost (₹)]]/Table2[[#This Row],[Reach]]</f>
        <v>0.27661672941055127</v>
      </c>
      <c r="V420">
        <f>Table2[[#This Row],[Revenue_Generated (₹)]]/Table2[[#This Row],[Reach]]</f>
        <v>0.97458228043937911</v>
      </c>
    </row>
    <row r="421" spans="1:22" x14ac:dyDescent="0.3">
      <c r="A421" t="s">
        <v>472</v>
      </c>
      <c r="B421" t="s">
        <v>57</v>
      </c>
      <c r="C421" t="s">
        <v>19</v>
      </c>
      <c r="D421" t="s">
        <v>24</v>
      </c>
      <c r="E421">
        <v>1243499</v>
      </c>
      <c r="F421">
        <v>1099796</v>
      </c>
      <c r="G421">
        <v>1484819</v>
      </c>
      <c r="H421">
        <v>96334</v>
      </c>
      <c r="I421">
        <v>13408</v>
      </c>
      <c r="J421">
        <v>5652</v>
      </c>
      <c r="K421">
        <f t="shared" si="12"/>
        <v>10.492309482849546</v>
      </c>
      <c r="L421">
        <v>139517</v>
      </c>
      <c r="M421">
        <v>276001</v>
      </c>
      <c r="N421">
        <f t="shared" si="13"/>
        <v>97.826071374814532</v>
      </c>
      <c r="O421" s="4">
        <v>46123</v>
      </c>
      <c r="P421" s="4">
        <v>46130</v>
      </c>
      <c r="Q421" t="s">
        <v>54</v>
      </c>
      <c r="R421">
        <f>Table2[[#This Row],[End_Date]]-Table2[[#This Row],[Start_Date]]</f>
        <v>7</v>
      </c>
      <c r="S421" t="str">
        <f>TEXT(Table2[[#This Row],[Start_Date]],"MMM")</f>
        <v>Apr</v>
      </c>
      <c r="T421">
        <f>YEAR(Table2[[#This Row],[Start_Date]])</f>
        <v>2026</v>
      </c>
      <c r="U421">
        <f>Table2[[#This Row],[Campaign_Cost (₹)]]/Table2[[#This Row],[Reach]]</f>
        <v>0.12685716260106419</v>
      </c>
      <c r="V421">
        <f>Table2[[#This Row],[Revenue_Generated (₹)]]/Table2[[#This Row],[Reach]]</f>
        <v>0.25095654103124582</v>
      </c>
    </row>
    <row r="422" spans="1:22" x14ac:dyDescent="0.3">
      <c r="A422" t="s">
        <v>473</v>
      </c>
      <c r="B422" t="s">
        <v>53</v>
      </c>
      <c r="C422" t="s">
        <v>43</v>
      </c>
      <c r="D422" t="s">
        <v>51</v>
      </c>
      <c r="E422">
        <v>1739240</v>
      </c>
      <c r="F422">
        <v>1398797</v>
      </c>
      <c r="G422">
        <v>2316039</v>
      </c>
      <c r="H422">
        <v>208353</v>
      </c>
      <c r="I422">
        <v>13769</v>
      </c>
      <c r="J422">
        <v>16498</v>
      </c>
      <c r="K422">
        <f t="shared" si="12"/>
        <v>17.058944221355922</v>
      </c>
      <c r="L422">
        <v>423940</v>
      </c>
      <c r="M422">
        <v>1616158</v>
      </c>
      <c r="N422">
        <f t="shared" si="13"/>
        <v>281.22328631410107</v>
      </c>
      <c r="O422" s="4">
        <v>45791</v>
      </c>
      <c r="P422" s="4">
        <v>45814</v>
      </c>
      <c r="Q422" t="s">
        <v>78</v>
      </c>
      <c r="R422">
        <f>Table2[[#This Row],[End_Date]]-Table2[[#This Row],[Start_Date]]</f>
        <v>23</v>
      </c>
      <c r="S422" t="str">
        <f>TEXT(Table2[[#This Row],[Start_Date]],"MMM")</f>
        <v>May</v>
      </c>
      <c r="T422">
        <f>YEAR(Table2[[#This Row],[Start_Date]])</f>
        <v>2025</v>
      </c>
      <c r="U422">
        <f>Table2[[#This Row],[Campaign_Cost (₹)]]/Table2[[#This Row],[Reach]]</f>
        <v>0.30307471348594545</v>
      </c>
      <c r="V422">
        <f>Table2[[#This Row],[Revenue_Generated (₹)]]/Table2[[#This Row],[Reach]]</f>
        <v>1.1553913827381672</v>
      </c>
    </row>
    <row r="423" spans="1:22" x14ac:dyDescent="0.3">
      <c r="A423" t="s">
        <v>474</v>
      </c>
      <c r="B423" t="s">
        <v>49</v>
      </c>
      <c r="C423" t="s">
        <v>43</v>
      </c>
      <c r="D423" t="s">
        <v>46</v>
      </c>
      <c r="E423">
        <v>798981</v>
      </c>
      <c r="F423">
        <v>445281</v>
      </c>
      <c r="G423">
        <v>750507</v>
      </c>
      <c r="H423">
        <v>55609</v>
      </c>
      <c r="I423">
        <v>3023</v>
      </c>
      <c r="J423">
        <v>3183</v>
      </c>
      <c r="K423">
        <f t="shared" si="12"/>
        <v>13.88224514407756</v>
      </c>
      <c r="L423">
        <v>104904</v>
      </c>
      <c r="M423">
        <v>184551</v>
      </c>
      <c r="N423">
        <f t="shared" si="13"/>
        <v>75.923701670098382</v>
      </c>
      <c r="O423" s="4">
        <v>45935</v>
      </c>
      <c r="P423" s="4">
        <v>45956</v>
      </c>
      <c r="Q423" t="s">
        <v>47</v>
      </c>
      <c r="R423">
        <f>Table2[[#This Row],[End_Date]]-Table2[[#This Row],[Start_Date]]</f>
        <v>21</v>
      </c>
      <c r="S423" t="str">
        <f>TEXT(Table2[[#This Row],[Start_Date]],"MMM")</f>
        <v>Oct</v>
      </c>
      <c r="T423">
        <f>YEAR(Table2[[#This Row],[Start_Date]])</f>
        <v>2025</v>
      </c>
      <c r="U423">
        <f>Table2[[#This Row],[Campaign_Cost (₹)]]/Table2[[#This Row],[Reach]]</f>
        <v>0.23559055966906289</v>
      </c>
      <c r="V423">
        <f>Table2[[#This Row],[Revenue_Generated (₹)]]/Table2[[#This Row],[Reach]]</f>
        <v>0.41445963335511732</v>
      </c>
    </row>
    <row r="424" spans="1:22" x14ac:dyDescent="0.3">
      <c r="A424" t="s">
        <v>475</v>
      </c>
      <c r="B424" t="s">
        <v>63</v>
      </c>
      <c r="C424" t="s">
        <v>33</v>
      </c>
      <c r="D424" t="s">
        <v>20</v>
      </c>
      <c r="E424">
        <v>345750</v>
      </c>
      <c r="F424">
        <v>170887</v>
      </c>
      <c r="G424">
        <v>432909</v>
      </c>
      <c r="H424">
        <v>25409</v>
      </c>
      <c r="I424">
        <v>3062</v>
      </c>
      <c r="J424">
        <v>2133</v>
      </c>
      <c r="K424">
        <f t="shared" si="12"/>
        <v>17.90891056663175</v>
      </c>
      <c r="L424">
        <v>464562</v>
      </c>
      <c r="M424">
        <v>589210</v>
      </c>
      <c r="N424">
        <f t="shared" si="13"/>
        <v>26.831294854077605</v>
      </c>
      <c r="O424" s="4">
        <v>45977</v>
      </c>
      <c r="P424" s="4">
        <v>46000</v>
      </c>
      <c r="Q424" t="s">
        <v>34</v>
      </c>
      <c r="R424">
        <f>Table2[[#This Row],[End_Date]]-Table2[[#This Row],[Start_Date]]</f>
        <v>23</v>
      </c>
      <c r="S424" t="str">
        <f>TEXT(Table2[[#This Row],[Start_Date]],"MMM")</f>
        <v>Nov</v>
      </c>
      <c r="T424">
        <f>YEAR(Table2[[#This Row],[Start_Date]])</f>
        <v>2025</v>
      </c>
      <c r="U424">
        <f>Table2[[#This Row],[Campaign_Cost (₹)]]/Table2[[#This Row],[Reach]]</f>
        <v>2.7185332997828975</v>
      </c>
      <c r="V424">
        <f>Table2[[#This Row],[Revenue_Generated (₹)]]/Table2[[#This Row],[Reach]]</f>
        <v>3.4479509851539323</v>
      </c>
    </row>
    <row r="425" spans="1:22" x14ac:dyDescent="0.3">
      <c r="A425" t="s">
        <v>476</v>
      </c>
      <c r="B425" t="s">
        <v>32</v>
      </c>
      <c r="C425" t="s">
        <v>33</v>
      </c>
      <c r="D425" t="s">
        <v>20</v>
      </c>
      <c r="E425">
        <v>1283620</v>
      </c>
      <c r="F425">
        <v>420747</v>
      </c>
      <c r="G425">
        <v>747748</v>
      </c>
      <c r="H425">
        <v>20261</v>
      </c>
      <c r="I425">
        <v>1576</v>
      </c>
      <c r="J425">
        <v>854</v>
      </c>
      <c r="K425">
        <f t="shared" si="12"/>
        <v>5.3930271635923726</v>
      </c>
      <c r="L425">
        <v>473204</v>
      </c>
      <c r="M425">
        <v>1994586</v>
      </c>
      <c r="N425">
        <f t="shared" si="13"/>
        <v>321.50658067133838</v>
      </c>
      <c r="O425" s="4">
        <v>46129</v>
      </c>
      <c r="P425" s="4">
        <v>46142</v>
      </c>
      <c r="Q425" t="s">
        <v>78</v>
      </c>
      <c r="R425">
        <f>Table2[[#This Row],[End_Date]]-Table2[[#This Row],[Start_Date]]</f>
        <v>13</v>
      </c>
      <c r="S425" t="str">
        <f>TEXT(Table2[[#This Row],[Start_Date]],"MMM")</f>
        <v>Apr</v>
      </c>
      <c r="T425">
        <f>YEAR(Table2[[#This Row],[Start_Date]])</f>
        <v>2026</v>
      </c>
      <c r="U425">
        <f>Table2[[#This Row],[Campaign_Cost (₹)]]/Table2[[#This Row],[Reach]]</f>
        <v>1.1246758741001124</v>
      </c>
      <c r="V425">
        <f>Table2[[#This Row],[Revenue_Generated (₹)]]/Table2[[#This Row],[Reach]]</f>
        <v>4.7405828205548701</v>
      </c>
    </row>
    <row r="426" spans="1:22" x14ac:dyDescent="0.3">
      <c r="A426" t="s">
        <v>477</v>
      </c>
      <c r="B426" t="s">
        <v>75</v>
      </c>
      <c r="C426" t="s">
        <v>33</v>
      </c>
      <c r="D426" t="s">
        <v>29</v>
      </c>
      <c r="E426">
        <v>1545687</v>
      </c>
      <c r="F426">
        <v>424736</v>
      </c>
      <c r="G426">
        <v>818210</v>
      </c>
      <c r="H426">
        <v>27701</v>
      </c>
      <c r="I426">
        <v>1275</v>
      </c>
      <c r="J426">
        <v>805</v>
      </c>
      <c r="K426">
        <f t="shared" si="12"/>
        <v>7.0116495893919994</v>
      </c>
      <c r="L426">
        <v>71258</v>
      </c>
      <c r="M426">
        <v>284137</v>
      </c>
      <c r="N426">
        <f t="shared" si="13"/>
        <v>298.74400067360858</v>
      </c>
      <c r="O426" s="4">
        <v>45756</v>
      </c>
      <c r="P426" s="4">
        <v>45768</v>
      </c>
      <c r="Q426" t="s">
        <v>47</v>
      </c>
      <c r="R426">
        <f>Table2[[#This Row],[End_Date]]-Table2[[#This Row],[Start_Date]]</f>
        <v>12</v>
      </c>
      <c r="S426" t="str">
        <f>TEXT(Table2[[#This Row],[Start_Date]],"MMM")</f>
        <v>Apr</v>
      </c>
      <c r="T426">
        <f>YEAR(Table2[[#This Row],[Start_Date]])</f>
        <v>2025</v>
      </c>
      <c r="U426">
        <f>Table2[[#This Row],[Campaign_Cost (₹)]]/Table2[[#This Row],[Reach]]</f>
        <v>0.16777009718978378</v>
      </c>
      <c r="V426">
        <f>Table2[[#This Row],[Revenue_Generated (₹)]]/Table2[[#This Row],[Reach]]</f>
        <v>0.66897319746854522</v>
      </c>
    </row>
    <row r="427" spans="1:22" x14ac:dyDescent="0.3">
      <c r="A427" t="s">
        <v>478</v>
      </c>
      <c r="B427" t="s">
        <v>103</v>
      </c>
      <c r="C427" t="s">
        <v>33</v>
      </c>
      <c r="D427" t="s">
        <v>72</v>
      </c>
      <c r="E427">
        <v>921789</v>
      </c>
      <c r="F427">
        <v>793319</v>
      </c>
      <c r="G427">
        <v>1818664</v>
      </c>
      <c r="H427">
        <v>66213</v>
      </c>
      <c r="I427">
        <v>5371</v>
      </c>
      <c r="J427">
        <v>2107</v>
      </c>
      <c r="K427">
        <f t="shared" si="12"/>
        <v>9.288949338160311</v>
      </c>
      <c r="L427">
        <v>395093</v>
      </c>
      <c r="M427">
        <v>634990</v>
      </c>
      <c r="N427">
        <f t="shared" si="13"/>
        <v>60.719121827012877</v>
      </c>
      <c r="O427" s="4">
        <v>45748</v>
      </c>
      <c r="P427" s="4">
        <v>45765</v>
      </c>
      <c r="Q427" t="s">
        <v>30</v>
      </c>
      <c r="R427">
        <f>Table2[[#This Row],[End_Date]]-Table2[[#This Row],[Start_Date]]</f>
        <v>17</v>
      </c>
      <c r="S427" t="str">
        <f>TEXT(Table2[[#This Row],[Start_Date]],"MMM")</f>
        <v>Apr</v>
      </c>
      <c r="T427">
        <f>YEAR(Table2[[#This Row],[Start_Date]])</f>
        <v>2025</v>
      </c>
      <c r="U427">
        <f>Table2[[#This Row],[Campaign_Cost (₹)]]/Table2[[#This Row],[Reach]]</f>
        <v>0.49802538449224082</v>
      </c>
      <c r="V427">
        <f>Table2[[#This Row],[Revenue_Generated (₹)]]/Table2[[#This Row],[Reach]]</f>
        <v>0.80042202443153387</v>
      </c>
    </row>
    <row r="428" spans="1:22" x14ac:dyDescent="0.3">
      <c r="A428" t="s">
        <v>479</v>
      </c>
      <c r="B428" t="s">
        <v>61</v>
      </c>
      <c r="C428" t="s">
        <v>33</v>
      </c>
      <c r="D428" t="s">
        <v>58</v>
      </c>
      <c r="E428">
        <v>502721</v>
      </c>
      <c r="F428">
        <v>335033</v>
      </c>
      <c r="G428">
        <v>744934</v>
      </c>
      <c r="H428">
        <v>40719</v>
      </c>
      <c r="I428">
        <v>4537</v>
      </c>
      <c r="J428">
        <v>3541</v>
      </c>
      <c r="K428">
        <f t="shared" si="12"/>
        <v>14.564833911883307</v>
      </c>
      <c r="L428">
        <v>50373</v>
      </c>
      <c r="M428">
        <v>148703</v>
      </c>
      <c r="N428">
        <f t="shared" si="13"/>
        <v>195.20377980267207</v>
      </c>
      <c r="O428" s="4">
        <v>45984</v>
      </c>
      <c r="P428" s="4">
        <v>46011</v>
      </c>
      <c r="Q428" t="s">
        <v>78</v>
      </c>
      <c r="R428">
        <f>Table2[[#This Row],[End_Date]]-Table2[[#This Row],[Start_Date]]</f>
        <v>27</v>
      </c>
      <c r="S428" t="str">
        <f>TEXT(Table2[[#This Row],[Start_Date]],"MMM")</f>
        <v>Nov</v>
      </c>
      <c r="T428">
        <f>YEAR(Table2[[#This Row],[Start_Date]])</f>
        <v>2025</v>
      </c>
      <c r="U428">
        <f>Table2[[#This Row],[Campaign_Cost (₹)]]/Table2[[#This Row],[Reach]]</f>
        <v>0.15035235335026698</v>
      </c>
      <c r="V428">
        <f>Table2[[#This Row],[Revenue_Generated (₹)]]/Table2[[#This Row],[Reach]]</f>
        <v>0.44384583011225759</v>
      </c>
    </row>
    <row r="429" spans="1:22" x14ac:dyDescent="0.3">
      <c r="A429" t="s">
        <v>480</v>
      </c>
      <c r="B429" t="s">
        <v>57</v>
      </c>
      <c r="C429" t="s">
        <v>28</v>
      </c>
      <c r="D429" t="s">
        <v>40</v>
      </c>
      <c r="E429">
        <v>1096725</v>
      </c>
      <c r="F429">
        <v>883110</v>
      </c>
      <c r="G429">
        <v>2368175</v>
      </c>
      <c r="H429">
        <v>32791</v>
      </c>
      <c r="I429">
        <v>3285</v>
      </c>
      <c r="J429">
        <v>1643</v>
      </c>
      <c r="K429">
        <f t="shared" si="12"/>
        <v>4.2711553487108063</v>
      </c>
      <c r="L429">
        <v>149496</v>
      </c>
      <c r="M429">
        <v>631801</v>
      </c>
      <c r="N429">
        <f t="shared" si="13"/>
        <v>322.62067212500665</v>
      </c>
      <c r="O429" s="4">
        <v>45672</v>
      </c>
      <c r="P429" s="4">
        <v>45684</v>
      </c>
      <c r="Q429" t="s">
        <v>41</v>
      </c>
      <c r="R429">
        <f>Table2[[#This Row],[End_Date]]-Table2[[#This Row],[Start_Date]]</f>
        <v>12</v>
      </c>
      <c r="S429" t="str">
        <f>TEXT(Table2[[#This Row],[Start_Date]],"MMM")</f>
        <v>Jan</v>
      </c>
      <c r="T429">
        <f>YEAR(Table2[[#This Row],[Start_Date]])</f>
        <v>2025</v>
      </c>
      <c r="U429">
        <f>Table2[[#This Row],[Campaign_Cost (₹)]]/Table2[[#This Row],[Reach]]</f>
        <v>0.16928355471005876</v>
      </c>
      <c r="V429">
        <f>Table2[[#This Row],[Revenue_Generated (₹)]]/Table2[[#This Row],[Reach]]</f>
        <v>0.71542729671275374</v>
      </c>
    </row>
    <row r="430" spans="1:22" x14ac:dyDescent="0.3">
      <c r="A430" t="s">
        <v>481</v>
      </c>
      <c r="B430" t="s">
        <v>27</v>
      </c>
      <c r="C430" t="s">
        <v>33</v>
      </c>
      <c r="D430" t="s">
        <v>24</v>
      </c>
      <c r="E430">
        <v>1549180</v>
      </c>
      <c r="F430">
        <v>503088</v>
      </c>
      <c r="G430">
        <v>609542</v>
      </c>
      <c r="H430">
        <v>56149</v>
      </c>
      <c r="I430">
        <v>2537</v>
      </c>
      <c r="J430">
        <v>1790</v>
      </c>
      <c r="K430">
        <f t="shared" si="12"/>
        <v>12.020958559933849</v>
      </c>
      <c r="L430">
        <v>109733</v>
      </c>
      <c r="M430">
        <v>256751</v>
      </c>
      <c r="N430">
        <f t="shared" si="13"/>
        <v>133.97792824401046</v>
      </c>
      <c r="O430" s="4">
        <v>45876</v>
      </c>
      <c r="P430" s="4">
        <v>45895</v>
      </c>
      <c r="Q430" t="s">
        <v>47</v>
      </c>
      <c r="R430">
        <f>Table2[[#This Row],[End_Date]]-Table2[[#This Row],[Start_Date]]</f>
        <v>19</v>
      </c>
      <c r="S430" t="str">
        <f>TEXT(Table2[[#This Row],[Start_Date]],"MMM")</f>
        <v>Aug</v>
      </c>
      <c r="T430">
        <f>YEAR(Table2[[#This Row],[Start_Date]])</f>
        <v>2025</v>
      </c>
      <c r="U430">
        <f>Table2[[#This Row],[Campaign_Cost (₹)]]/Table2[[#This Row],[Reach]]</f>
        <v>0.21811889768787965</v>
      </c>
      <c r="V430">
        <f>Table2[[#This Row],[Revenue_Generated (₹)]]/Table2[[#This Row],[Reach]]</f>
        <v>0.51035007791877363</v>
      </c>
    </row>
    <row r="431" spans="1:22" x14ac:dyDescent="0.3">
      <c r="A431" t="s">
        <v>482</v>
      </c>
      <c r="B431" t="s">
        <v>23</v>
      </c>
      <c r="C431" t="s">
        <v>19</v>
      </c>
      <c r="D431" t="s">
        <v>29</v>
      </c>
      <c r="E431">
        <v>1054369</v>
      </c>
      <c r="F431">
        <v>481474</v>
      </c>
      <c r="G431">
        <v>715949</v>
      </c>
      <c r="H431">
        <v>50101</v>
      </c>
      <c r="I431">
        <v>3856</v>
      </c>
      <c r="J431">
        <v>2887</v>
      </c>
      <c r="K431">
        <f t="shared" si="12"/>
        <v>11.806244989345219</v>
      </c>
      <c r="L431">
        <v>304285</v>
      </c>
      <c r="M431">
        <v>1021226</v>
      </c>
      <c r="N431">
        <f t="shared" si="13"/>
        <v>235.61496623231508</v>
      </c>
      <c r="O431" s="4">
        <v>45699</v>
      </c>
      <c r="P431" s="4">
        <v>45729</v>
      </c>
      <c r="Q431" t="s">
        <v>47</v>
      </c>
      <c r="R431">
        <f>Table2[[#This Row],[End_Date]]-Table2[[#This Row],[Start_Date]]</f>
        <v>30</v>
      </c>
      <c r="S431" t="str">
        <f>TEXT(Table2[[#This Row],[Start_Date]],"MMM")</f>
        <v>Feb</v>
      </c>
      <c r="T431">
        <f>YEAR(Table2[[#This Row],[Start_Date]])</f>
        <v>2025</v>
      </c>
      <c r="U431">
        <f>Table2[[#This Row],[Campaign_Cost (₹)]]/Table2[[#This Row],[Reach]]</f>
        <v>0.63198635855726371</v>
      </c>
      <c r="V431">
        <f>Table2[[#This Row],[Revenue_Generated (₹)]]/Table2[[#This Row],[Reach]]</f>
        <v>2.1210408038647985</v>
      </c>
    </row>
    <row r="432" spans="1:22" x14ac:dyDescent="0.3">
      <c r="A432" t="s">
        <v>483</v>
      </c>
      <c r="B432" t="s">
        <v>49</v>
      </c>
      <c r="C432" t="s">
        <v>28</v>
      </c>
      <c r="D432" t="s">
        <v>72</v>
      </c>
      <c r="E432">
        <v>773883</v>
      </c>
      <c r="F432">
        <v>582297</v>
      </c>
      <c r="G432">
        <v>991148</v>
      </c>
      <c r="H432">
        <v>85382</v>
      </c>
      <c r="I432">
        <v>10636</v>
      </c>
      <c r="J432">
        <v>4123</v>
      </c>
      <c r="K432">
        <f t="shared" si="12"/>
        <v>17.197581303012036</v>
      </c>
      <c r="L432">
        <v>153282</v>
      </c>
      <c r="M432">
        <v>325781</v>
      </c>
      <c r="N432">
        <f t="shared" si="13"/>
        <v>112.53702326431024</v>
      </c>
      <c r="O432" s="4">
        <v>45923</v>
      </c>
      <c r="P432" s="4">
        <v>45949</v>
      </c>
      <c r="Q432" t="s">
        <v>34</v>
      </c>
      <c r="R432">
        <f>Table2[[#This Row],[End_Date]]-Table2[[#This Row],[Start_Date]]</f>
        <v>26</v>
      </c>
      <c r="S432" t="str">
        <f>TEXT(Table2[[#This Row],[Start_Date]],"MMM")</f>
        <v>Sep</v>
      </c>
      <c r="T432">
        <f>YEAR(Table2[[#This Row],[Start_Date]])</f>
        <v>2025</v>
      </c>
      <c r="U432">
        <f>Table2[[#This Row],[Campaign_Cost (₹)]]/Table2[[#This Row],[Reach]]</f>
        <v>0.26323680183823717</v>
      </c>
      <c r="V432">
        <f>Table2[[#This Row],[Revenue_Generated (₹)]]/Table2[[#This Row],[Reach]]</f>
        <v>0.55947566276316041</v>
      </c>
    </row>
    <row r="433" spans="1:22" x14ac:dyDescent="0.3">
      <c r="A433" t="s">
        <v>484</v>
      </c>
      <c r="B433" t="s">
        <v>53</v>
      </c>
      <c r="C433" t="s">
        <v>37</v>
      </c>
      <c r="D433" t="s">
        <v>40</v>
      </c>
      <c r="E433">
        <v>1360172</v>
      </c>
      <c r="F433">
        <v>851223</v>
      </c>
      <c r="G433">
        <v>1609563</v>
      </c>
      <c r="H433">
        <v>39016</v>
      </c>
      <c r="I433">
        <v>2996</v>
      </c>
      <c r="J433">
        <v>1562</v>
      </c>
      <c r="K433">
        <f t="shared" si="12"/>
        <v>5.1189876213401186</v>
      </c>
      <c r="L433">
        <v>417197</v>
      </c>
      <c r="M433">
        <v>1158289</v>
      </c>
      <c r="N433">
        <f t="shared" si="13"/>
        <v>177.63598491839588</v>
      </c>
      <c r="O433" s="4">
        <v>45892</v>
      </c>
      <c r="P433" s="4">
        <v>45919</v>
      </c>
      <c r="Q433" t="s">
        <v>25</v>
      </c>
      <c r="R433">
        <f>Table2[[#This Row],[End_Date]]-Table2[[#This Row],[Start_Date]]</f>
        <v>27</v>
      </c>
      <c r="S433" t="str">
        <f>TEXT(Table2[[#This Row],[Start_Date]],"MMM")</f>
        <v>Aug</v>
      </c>
      <c r="T433">
        <f>YEAR(Table2[[#This Row],[Start_Date]])</f>
        <v>2025</v>
      </c>
      <c r="U433">
        <f>Table2[[#This Row],[Campaign_Cost (₹)]]/Table2[[#This Row],[Reach]]</f>
        <v>0.49011481127742085</v>
      </c>
      <c r="V433">
        <f>Table2[[#This Row],[Revenue_Generated (₹)]]/Table2[[#This Row],[Reach]]</f>
        <v>1.3607350835210046</v>
      </c>
    </row>
    <row r="434" spans="1:22" x14ac:dyDescent="0.3">
      <c r="A434" t="s">
        <v>485</v>
      </c>
      <c r="B434" t="s">
        <v>80</v>
      </c>
      <c r="C434" t="s">
        <v>37</v>
      </c>
      <c r="D434" t="s">
        <v>20</v>
      </c>
      <c r="E434">
        <v>955040</v>
      </c>
      <c r="F434">
        <v>675167</v>
      </c>
      <c r="G434">
        <v>1508335</v>
      </c>
      <c r="H434">
        <v>99966</v>
      </c>
      <c r="I434">
        <v>9148</v>
      </c>
      <c r="J434">
        <v>7073</v>
      </c>
      <c r="K434">
        <f t="shared" si="12"/>
        <v>17.208631346022539</v>
      </c>
      <c r="L434">
        <v>321278</v>
      </c>
      <c r="M434">
        <v>937492</v>
      </c>
      <c r="N434">
        <f t="shared" si="13"/>
        <v>191.80087027434186</v>
      </c>
      <c r="O434" s="4">
        <v>45795</v>
      </c>
      <c r="P434" s="4">
        <v>45813</v>
      </c>
      <c r="Q434" t="s">
        <v>78</v>
      </c>
      <c r="R434">
        <f>Table2[[#This Row],[End_Date]]-Table2[[#This Row],[Start_Date]]</f>
        <v>18</v>
      </c>
      <c r="S434" t="str">
        <f>TEXT(Table2[[#This Row],[Start_Date]],"MMM")</f>
        <v>May</v>
      </c>
      <c r="T434">
        <f>YEAR(Table2[[#This Row],[Start_Date]])</f>
        <v>2025</v>
      </c>
      <c r="U434">
        <f>Table2[[#This Row],[Campaign_Cost (₹)]]/Table2[[#This Row],[Reach]]</f>
        <v>0.47584967867209149</v>
      </c>
      <c r="V434">
        <f>Table2[[#This Row],[Revenue_Generated (₹)]]/Table2[[#This Row],[Reach]]</f>
        <v>1.3885335035628221</v>
      </c>
    </row>
    <row r="435" spans="1:22" x14ac:dyDescent="0.3">
      <c r="A435" t="s">
        <v>486</v>
      </c>
      <c r="B435" t="s">
        <v>75</v>
      </c>
      <c r="C435" t="s">
        <v>28</v>
      </c>
      <c r="D435" t="s">
        <v>51</v>
      </c>
      <c r="E435">
        <v>85339</v>
      </c>
      <c r="F435">
        <v>33737</v>
      </c>
      <c r="G435">
        <v>95938</v>
      </c>
      <c r="H435">
        <v>3374</v>
      </c>
      <c r="I435">
        <v>247</v>
      </c>
      <c r="J435">
        <v>185</v>
      </c>
      <c r="K435">
        <f t="shared" si="12"/>
        <v>11.281382458428432</v>
      </c>
      <c r="L435">
        <v>272718</v>
      </c>
      <c r="M435">
        <v>418723</v>
      </c>
      <c r="N435">
        <f t="shared" si="13"/>
        <v>53.536986924222084</v>
      </c>
      <c r="O435" s="4">
        <v>45942</v>
      </c>
      <c r="P435" s="4">
        <v>45953</v>
      </c>
      <c r="Q435" t="s">
        <v>47</v>
      </c>
      <c r="R435">
        <f>Table2[[#This Row],[End_Date]]-Table2[[#This Row],[Start_Date]]</f>
        <v>11</v>
      </c>
      <c r="S435" t="str">
        <f>TEXT(Table2[[#This Row],[Start_Date]],"MMM")</f>
        <v>Oct</v>
      </c>
      <c r="T435">
        <f>YEAR(Table2[[#This Row],[Start_Date]])</f>
        <v>2025</v>
      </c>
      <c r="U435">
        <f>Table2[[#This Row],[Campaign_Cost (₹)]]/Table2[[#This Row],[Reach]]</f>
        <v>8.0836470344132554</v>
      </c>
      <c r="V435">
        <f>Table2[[#This Row],[Revenue_Generated (₹)]]/Table2[[#This Row],[Reach]]</f>
        <v>12.411388090227346</v>
      </c>
    </row>
    <row r="436" spans="1:22" x14ac:dyDescent="0.3">
      <c r="A436" t="s">
        <v>487</v>
      </c>
      <c r="B436" t="s">
        <v>32</v>
      </c>
      <c r="C436" t="s">
        <v>37</v>
      </c>
      <c r="D436" t="s">
        <v>51</v>
      </c>
      <c r="E436">
        <v>1177672</v>
      </c>
      <c r="F436">
        <v>567441</v>
      </c>
      <c r="G436">
        <v>1667647</v>
      </c>
      <c r="H436">
        <v>32051</v>
      </c>
      <c r="I436">
        <v>1990</v>
      </c>
      <c r="J436">
        <v>820</v>
      </c>
      <c r="K436">
        <f t="shared" si="12"/>
        <v>6.1435462012790758</v>
      </c>
      <c r="L436">
        <v>260657</v>
      </c>
      <c r="M436">
        <v>1211347</v>
      </c>
      <c r="N436">
        <f t="shared" si="13"/>
        <v>364.72835949159241</v>
      </c>
      <c r="O436" s="4">
        <v>46077</v>
      </c>
      <c r="P436" s="4">
        <v>46103</v>
      </c>
      <c r="Q436" t="s">
        <v>30</v>
      </c>
      <c r="R436">
        <f>Table2[[#This Row],[End_Date]]-Table2[[#This Row],[Start_Date]]</f>
        <v>26</v>
      </c>
      <c r="S436" t="str">
        <f>TEXT(Table2[[#This Row],[Start_Date]],"MMM")</f>
        <v>Feb</v>
      </c>
      <c r="T436">
        <f>YEAR(Table2[[#This Row],[Start_Date]])</f>
        <v>2026</v>
      </c>
      <c r="U436">
        <f>Table2[[#This Row],[Campaign_Cost (₹)]]/Table2[[#This Row],[Reach]]</f>
        <v>0.45935524574361036</v>
      </c>
      <c r="V436">
        <f>Table2[[#This Row],[Revenue_Generated (₹)]]/Table2[[#This Row],[Reach]]</f>
        <v>2.1347540977828534</v>
      </c>
    </row>
    <row r="437" spans="1:22" x14ac:dyDescent="0.3">
      <c r="A437" t="s">
        <v>488</v>
      </c>
      <c r="B437" t="s">
        <v>27</v>
      </c>
      <c r="C437" t="s">
        <v>43</v>
      </c>
      <c r="D437" t="s">
        <v>51</v>
      </c>
      <c r="E437">
        <v>1294529</v>
      </c>
      <c r="F437">
        <v>968521</v>
      </c>
      <c r="G437">
        <v>1940089</v>
      </c>
      <c r="H437">
        <v>125207</v>
      </c>
      <c r="I437">
        <v>11379</v>
      </c>
      <c r="J437">
        <v>11492</v>
      </c>
      <c r="K437">
        <f t="shared" si="12"/>
        <v>15.289085110183464</v>
      </c>
      <c r="L437">
        <v>121053</v>
      </c>
      <c r="M437">
        <v>520406</v>
      </c>
      <c r="N437">
        <f t="shared" si="13"/>
        <v>329.8993003064773</v>
      </c>
      <c r="O437" s="4">
        <v>46012</v>
      </c>
      <c r="P437" s="4">
        <v>46020</v>
      </c>
      <c r="Q437" t="s">
        <v>34</v>
      </c>
      <c r="R437">
        <f>Table2[[#This Row],[End_Date]]-Table2[[#This Row],[Start_Date]]</f>
        <v>8</v>
      </c>
      <c r="S437" t="str">
        <f>TEXT(Table2[[#This Row],[Start_Date]],"MMM")</f>
        <v>Dec</v>
      </c>
      <c r="T437">
        <f>YEAR(Table2[[#This Row],[Start_Date]])</f>
        <v>2025</v>
      </c>
      <c r="U437">
        <f>Table2[[#This Row],[Campaign_Cost (₹)]]/Table2[[#This Row],[Reach]]</f>
        <v>0.12498748091161678</v>
      </c>
      <c r="V437">
        <f>Table2[[#This Row],[Revenue_Generated (₹)]]/Table2[[#This Row],[Reach]]</f>
        <v>0.53732030590973245</v>
      </c>
    </row>
    <row r="438" spans="1:22" x14ac:dyDescent="0.3">
      <c r="A438" t="s">
        <v>489</v>
      </c>
      <c r="B438" t="s">
        <v>53</v>
      </c>
      <c r="C438" t="s">
        <v>37</v>
      </c>
      <c r="D438" t="s">
        <v>24</v>
      </c>
      <c r="E438">
        <v>1039049</v>
      </c>
      <c r="F438">
        <v>271643</v>
      </c>
      <c r="G438">
        <v>709057</v>
      </c>
      <c r="H438">
        <v>8647</v>
      </c>
      <c r="I438">
        <v>814</v>
      </c>
      <c r="J438">
        <v>724</v>
      </c>
      <c r="K438">
        <f t="shared" si="12"/>
        <v>3.7494063900045282</v>
      </c>
      <c r="L438">
        <v>146792</v>
      </c>
      <c r="M438">
        <v>509866</v>
      </c>
      <c r="N438">
        <f t="shared" si="13"/>
        <v>247.33909204861303</v>
      </c>
      <c r="O438" s="4">
        <v>45854</v>
      </c>
      <c r="P438" s="4">
        <v>45882</v>
      </c>
      <c r="Q438" t="s">
        <v>54</v>
      </c>
      <c r="R438">
        <f>Table2[[#This Row],[End_Date]]-Table2[[#This Row],[Start_Date]]</f>
        <v>28</v>
      </c>
      <c r="S438" t="str">
        <f>TEXT(Table2[[#This Row],[Start_Date]],"MMM")</f>
        <v>Jul</v>
      </c>
      <c r="T438">
        <f>YEAR(Table2[[#This Row],[Start_Date]])</f>
        <v>2025</v>
      </c>
      <c r="U438">
        <f>Table2[[#This Row],[Campaign_Cost (₹)]]/Table2[[#This Row],[Reach]]</f>
        <v>0.54038572685473218</v>
      </c>
      <c r="V438">
        <f>Table2[[#This Row],[Revenue_Generated (₹)]]/Table2[[#This Row],[Reach]]</f>
        <v>1.8769708772175244</v>
      </c>
    </row>
    <row r="439" spans="1:22" x14ac:dyDescent="0.3">
      <c r="A439" t="s">
        <v>490</v>
      </c>
      <c r="B439" t="s">
        <v>32</v>
      </c>
      <c r="C439" t="s">
        <v>33</v>
      </c>
      <c r="D439" t="s">
        <v>29</v>
      </c>
      <c r="E439">
        <v>1828680</v>
      </c>
      <c r="F439">
        <v>510142</v>
      </c>
      <c r="G439">
        <v>1481535</v>
      </c>
      <c r="H439">
        <v>67224</v>
      </c>
      <c r="I439">
        <v>5826</v>
      </c>
      <c r="J439">
        <v>5366</v>
      </c>
      <c r="K439">
        <f t="shared" si="12"/>
        <v>15.371406392729867</v>
      </c>
      <c r="L439">
        <v>190510</v>
      </c>
      <c r="M439">
        <v>479815</v>
      </c>
      <c r="N439">
        <f t="shared" si="13"/>
        <v>151.85817017479397</v>
      </c>
      <c r="O439" s="4">
        <v>45715</v>
      </c>
      <c r="P439" s="4">
        <v>45741</v>
      </c>
      <c r="Q439" t="s">
        <v>21</v>
      </c>
      <c r="R439">
        <f>Table2[[#This Row],[End_Date]]-Table2[[#This Row],[Start_Date]]</f>
        <v>26</v>
      </c>
      <c r="S439" t="str">
        <f>TEXT(Table2[[#This Row],[Start_Date]],"MMM")</f>
        <v>Feb</v>
      </c>
      <c r="T439">
        <f>YEAR(Table2[[#This Row],[Start_Date]])</f>
        <v>2025</v>
      </c>
      <c r="U439">
        <f>Table2[[#This Row],[Campaign_Cost (₹)]]/Table2[[#This Row],[Reach]]</f>
        <v>0.37344504079256363</v>
      </c>
      <c r="V439">
        <f>Table2[[#This Row],[Revenue_Generated (₹)]]/Table2[[#This Row],[Reach]]</f>
        <v>0.94055184634866373</v>
      </c>
    </row>
    <row r="440" spans="1:22" x14ac:dyDescent="0.3">
      <c r="A440" t="s">
        <v>491</v>
      </c>
      <c r="B440" t="s">
        <v>45</v>
      </c>
      <c r="C440" t="s">
        <v>43</v>
      </c>
      <c r="D440" t="s">
        <v>24</v>
      </c>
      <c r="E440">
        <v>650472</v>
      </c>
      <c r="F440">
        <v>581230</v>
      </c>
      <c r="G440">
        <v>959348</v>
      </c>
      <c r="H440">
        <v>32630</v>
      </c>
      <c r="I440">
        <v>1937</v>
      </c>
      <c r="J440">
        <v>3255</v>
      </c>
      <c r="K440">
        <f t="shared" si="12"/>
        <v>6.5072346575366034</v>
      </c>
      <c r="L440">
        <v>410348</v>
      </c>
      <c r="M440">
        <v>1878456</v>
      </c>
      <c r="N440">
        <f t="shared" si="13"/>
        <v>357.77145252322418</v>
      </c>
      <c r="O440" s="4">
        <v>45719</v>
      </c>
      <c r="P440" s="4">
        <v>45746</v>
      </c>
      <c r="Q440" t="s">
        <v>25</v>
      </c>
      <c r="R440">
        <f>Table2[[#This Row],[End_Date]]-Table2[[#This Row],[Start_Date]]</f>
        <v>27</v>
      </c>
      <c r="S440" t="str">
        <f>TEXT(Table2[[#This Row],[Start_Date]],"MMM")</f>
        <v>Mar</v>
      </c>
      <c r="T440">
        <f>YEAR(Table2[[#This Row],[Start_Date]])</f>
        <v>2025</v>
      </c>
      <c r="U440">
        <f>Table2[[#This Row],[Campaign_Cost (₹)]]/Table2[[#This Row],[Reach]]</f>
        <v>0.70599934621406324</v>
      </c>
      <c r="V440">
        <f>Table2[[#This Row],[Revenue_Generated (₹)]]/Table2[[#This Row],[Reach]]</f>
        <v>3.231863461968584</v>
      </c>
    </row>
    <row r="441" spans="1:22" x14ac:dyDescent="0.3">
      <c r="A441" t="s">
        <v>492</v>
      </c>
      <c r="B441" t="s">
        <v>61</v>
      </c>
      <c r="C441" t="s">
        <v>28</v>
      </c>
      <c r="D441" t="s">
        <v>46</v>
      </c>
      <c r="E441">
        <v>1370638</v>
      </c>
      <c r="F441">
        <v>1092667</v>
      </c>
      <c r="G441">
        <v>2958415</v>
      </c>
      <c r="H441">
        <v>136389</v>
      </c>
      <c r="I441">
        <v>7169</v>
      </c>
      <c r="J441">
        <v>10623</v>
      </c>
      <c r="K441">
        <f t="shared" si="12"/>
        <v>14.110520405576446</v>
      </c>
      <c r="L441">
        <v>412126</v>
      </c>
      <c r="M441">
        <v>713952</v>
      </c>
      <c r="N441">
        <f t="shared" si="13"/>
        <v>73.236340342516598</v>
      </c>
      <c r="O441" s="4">
        <v>45711</v>
      </c>
      <c r="P441" s="4">
        <v>45725</v>
      </c>
      <c r="Q441" t="s">
        <v>25</v>
      </c>
      <c r="R441">
        <f>Table2[[#This Row],[End_Date]]-Table2[[#This Row],[Start_Date]]</f>
        <v>14</v>
      </c>
      <c r="S441" t="str">
        <f>TEXT(Table2[[#This Row],[Start_Date]],"MMM")</f>
        <v>Feb</v>
      </c>
      <c r="T441">
        <f>YEAR(Table2[[#This Row],[Start_Date]])</f>
        <v>2025</v>
      </c>
      <c r="U441">
        <f>Table2[[#This Row],[Campaign_Cost (₹)]]/Table2[[#This Row],[Reach]]</f>
        <v>0.37717438158194583</v>
      </c>
      <c r="V441">
        <f>Table2[[#This Row],[Revenue_Generated (₹)]]/Table2[[#This Row],[Reach]]</f>
        <v>0.65340309536208196</v>
      </c>
    </row>
    <row r="442" spans="1:22" x14ac:dyDescent="0.3">
      <c r="A442" t="s">
        <v>493</v>
      </c>
      <c r="B442" t="s">
        <v>32</v>
      </c>
      <c r="C442" t="s">
        <v>43</v>
      </c>
      <c r="D442" t="s">
        <v>58</v>
      </c>
      <c r="E442">
        <v>864675</v>
      </c>
      <c r="F442">
        <v>513178</v>
      </c>
      <c r="G442">
        <v>1224412</v>
      </c>
      <c r="H442">
        <v>37940</v>
      </c>
      <c r="I442">
        <v>5152</v>
      </c>
      <c r="J442">
        <v>1814</v>
      </c>
      <c r="K442">
        <f t="shared" si="12"/>
        <v>8.750569977668567</v>
      </c>
      <c r="L442">
        <v>56378</v>
      </c>
      <c r="M442">
        <v>269035</v>
      </c>
      <c r="N442">
        <f t="shared" si="13"/>
        <v>377.19855262691124</v>
      </c>
      <c r="O442" s="4">
        <v>45711</v>
      </c>
      <c r="P442" s="4">
        <v>45732</v>
      </c>
      <c r="Q442" t="s">
        <v>54</v>
      </c>
      <c r="R442">
        <f>Table2[[#This Row],[End_Date]]-Table2[[#This Row],[Start_Date]]</f>
        <v>21</v>
      </c>
      <c r="S442" t="str">
        <f>TEXT(Table2[[#This Row],[Start_Date]],"MMM")</f>
        <v>Feb</v>
      </c>
      <c r="T442">
        <f>YEAR(Table2[[#This Row],[Start_Date]])</f>
        <v>2025</v>
      </c>
      <c r="U442">
        <f>Table2[[#This Row],[Campaign_Cost (₹)]]/Table2[[#This Row],[Reach]]</f>
        <v>0.10986051623413319</v>
      </c>
      <c r="V442">
        <f>Table2[[#This Row],[Revenue_Generated (₹)]]/Table2[[#This Row],[Reach]]</f>
        <v>0.52425279337773634</v>
      </c>
    </row>
    <row r="443" spans="1:22" x14ac:dyDescent="0.3">
      <c r="A443" t="s">
        <v>494</v>
      </c>
      <c r="B443" t="s">
        <v>57</v>
      </c>
      <c r="C443" t="s">
        <v>28</v>
      </c>
      <c r="D443" t="s">
        <v>29</v>
      </c>
      <c r="E443">
        <v>416438</v>
      </c>
      <c r="F443">
        <v>188407</v>
      </c>
      <c r="G443">
        <v>417606</v>
      </c>
      <c r="H443">
        <v>16426</v>
      </c>
      <c r="I443">
        <v>2170</v>
      </c>
      <c r="J443">
        <v>1280</v>
      </c>
      <c r="K443">
        <f t="shared" si="12"/>
        <v>10.549501876257251</v>
      </c>
      <c r="L443">
        <v>61562</v>
      </c>
      <c r="M443">
        <v>82578</v>
      </c>
      <c r="N443">
        <f t="shared" si="13"/>
        <v>34.137942237094308</v>
      </c>
      <c r="O443" s="4">
        <v>45894</v>
      </c>
      <c r="P443" s="4">
        <v>45920</v>
      </c>
      <c r="Q443" t="s">
        <v>30</v>
      </c>
      <c r="R443">
        <f>Table2[[#This Row],[End_Date]]-Table2[[#This Row],[Start_Date]]</f>
        <v>26</v>
      </c>
      <c r="S443" t="str">
        <f>TEXT(Table2[[#This Row],[Start_Date]],"MMM")</f>
        <v>Aug</v>
      </c>
      <c r="T443">
        <f>YEAR(Table2[[#This Row],[Start_Date]])</f>
        <v>2025</v>
      </c>
      <c r="U443">
        <f>Table2[[#This Row],[Campaign_Cost (₹)]]/Table2[[#This Row],[Reach]]</f>
        <v>0.32675006767264486</v>
      </c>
      <c r="V443">
        <f>Table2[[#This Row],[Revenue_Generated (₹)]]/Table2[[#This Row],[Reach]]</f>
        <v>0.43829581703439896</v>
      </c>
    </row>
    <row r="444" spans="1:22" x14ac:dyDescent="0.3">
      <c r="A444" t="s">
        <v>495</v>
      </c>
      <c r="B444" t="s">
        <v>80</v>
      </c>
      <c r="C444" t="s">
        <v>19</v>
      </c>
      <c r="D444" t="s">
        <v>58</v>
      </c>
      <c r="E444">
        <v>1149044</v>
      </c>
      <c r="F444">
        <v>329217</v>
      </c>
      <c r="G444">
        <v>383335</v>
      </c>
      <c r="H444">
        <v>46462</v>
      </c>
      <c r="I444">
        <v>3006</v>
      </c>
      <c r="J444">
        <v>3467</v>
      </c>
      <c r="K444">
        <f t="shared" si="12"/>
        <v>16.079060315840312</v>
      </c>
      <c r="L444">
        <v>247655</v>
      </c>
      <c r="M444">
        <v>1038751</v>
      </c>
      <c r="N444">
        <f t="shared" si="13"/>
        <v>319.43469746219534</v>
      </c>
      <c r="O444" s="4">
        <v>45964</v>
      </c>
      <c r="P444" s="4">
        <v>45972</v>
      </c>
      <c r="Q444" t="s">
        <v>54</v>
      </c>
      <c r="R444">
        <f>Table2[[#This Row],[End_Date]]-Table2[[#This Row],[Start_Date]]</f>
        <v>8</v>
      </c>
      <c r="S444" t="str">
        <f>TEXT(Table2[[#This Row],[Start_Date]],"MMM")</f>
        <v>Nov</v>
      </c>
      <c r="T444">
        <f>YEAR(Table2[[#This Row],[Start_Date]])</f>
        <v>2025</v>
      </c>
      <c r="U444">
        <f>Table2[[#This Row],[Campaign_Cost (₹)]]/Table2[[#This Row],[Reach]]</f>
        <v>0.75225459195606548</v>
      </c>
      <c r="V444">
        <f>Table2[[#This Row],[Revenue_Generated (₹)]]/Table2[[#This Row],[Reach]]</f>
        <v>3.1552167719163955</v>
      </c>
    </row>
    <row r="445" spans="1:22" x14ac:dyDescent="0.3">
      <c r="A445" t="s">
        <v>496</v>
      </c>
      <c r="B445" t="s">
        <v>53</v>
      </c>
      <c r="C445" t="s">
        <v>33</v>
      </c>
      <c r="D445" t="s">
        <v>51</v>
      </c>
      <c r="E445">
        <v>1701079</v>
      </c>
      <c r="F445">
        <v>1389001</v>
      </c>
      <c r="G445">
        <v>2874001</v>
      </c>
      <c r="H445">
        <v>40436</v>
      </c>
      <c r="I445">
        <v>3112</v>
      </c>
      <c r="J445">
        <v>3804</v>
      </c>
      <c r="K445">
        <f t="shared" si="12"/>
        <v>3.4090688199648529</v>
      </c>
      <c r="L445">
        <v>198614</v>
      </c>
      <c r="M445">
        <v>220768</v>
      </c>
      <c r="N445">
        <f t="shared" si="13"/>
        <v>11.154299294108169</v>
      </c>
      <c r="O445" s="4">
        <v>46042</v>
      </c>
      <c r="P445" s="4">
        <v>46071</v>
      </c>
      <c r="Q445" t="s">
        <v>34</v>
      </c>
      <c r="R445">
        <f>Table2[[#This Row],[End_Date]]-Table2[[#This Row],[Start_Date]]</f>
        <v>29</v>
      </c>
      <c r="S445" t="str">
        <f>TEXT(Table2[[#This Row],[Start_Date]],"MMM")</f>
        <v>Jan</v>
      </c>
      <c r="T445">
        <f>YEAR(Table2[[#This Row],[Start_Date]])</f>
        <v>2026</v>
      </c>
      <c r="U445">
        <f>Table2[[#This Row],[Campaign_Cost (₹)]]/Table2[[#This Row],[Reach]]</f>
        <v>0.14299053780378848</v>
      </c>
      <c r="V445">
        <f>Table2[[#This Row],[Revenue_Generated (₹)]]/Table2[[#This Row],[Reach]]</f>
        <v>0.15894013035267793</v>
      </c>
    </row>
    <row r="446" spans="1:22" x14ac:dyDescent="0.3">
      <c r="A446" t="s">
        <v>497</v>
      </c>
      <c r="B446" t="s">
        <v>36</v>
      </c>
      <c r="C446" t="s">
        <v>28</v>
      </c>
      <c r="D446" t="s">
        <v>72</v>
      </c>
      <c r="E446">
        <v>563554</v>
      </c>
      <c r="F446">
        <v>322577</v>
      </c>
      <c r="G446">
        <v>722491</v>
      </c>
      <c r="H446">
        <v>46247</v>
      </c>
      <c r="I446">
        <v>3966</v>
      </c>
      <c r="J446">
        <v>2613</v>
      </c>
      <c r="K446">
        <f t="shared" si="12"/>
        <v>16.376245051569082</v>
      </c>
      <c r="L446">
        <v>232545</v>
      </c>
      <c r="M446">
        <v>686094</v>
      </c>
      <c r="N446">
        <f t="shared" si="13"/>
        <v>195.03708959556215</v>
      </c>
      <c r="O446" s="4">
        <v>45679</v>
      </c>
      <c r="P446" s="4">
        <v>45686</v>
      </c>
      <c r="Q446" t="s">
        <v>47</v>
      </c>
      <c r="R446">
        <f>Table2[[#This Row],[End_Date]]-Table2[[#This Row],[Start_Date]]</f>
        <v>7</v>
      </c>
      <c r="S446" t="str">
        <f>TEXT(Table2[[#This Row],[Start_Date]],"MMM")</f>
        <v>Jan</v>
      </c>
      <c r="T446">
        <f>YEAR(Table2[[#This Row],[Start_Date]])</f>
        <v>2025</v>
      </c>
      <c r="U446">
        <f>Table2[[#This Row],[Campaign_Cost (₹)]]/Table2[[#This Row],[Reach]]</f>
        <v>0.72089764614340146</v>
      </c>
      <c r="V446">
        <f>Table2[[#This Row],[Revenue_Generated (₹)]]/Table2[[#This Row],[Reach]]</f>
        <v>2.1269154341444056</v>
      </c>
    </row>
    <row r="447" spans="1:22" x14ac:dyDescent="0.3">
      <c r="A447" t="s">
        <v>498</v>
      </c>
      <c r="B447" t="s">
        <v>36</v>
      </c>
      <c r="C447" t="s">
        <v>28</v>
      </c>
      <c r="D447" t="s">
        <v>40</v>
      </c>
      <c r="E447">
        <v>626987</v>
      </c>
      <c r="F447">
        <v>238986</v>
      </c>
      <c r="G447">
        <v>670198</v>
      </c>
      <c r="H447">
        <v>28870</v>
      </c>
      <c r="I447">
        <v>4147</v>
      </c>
      <c r="J447">
        <v>2239</v>
      </c>
      <c r="K447">
        <f t="shared" si="12"/>
        <v>14.752328588285508</v>
      </c>
      <c r="L447">
        <v>126001</v>
      </c>
      <c r="M447">
        <v>576806</v>
      </c>
      <c r="N447">
        <f t="shared" si="13"/>
        <v>357.77890651661494</v>
      </c>
      <c r="O447" s="4">
        <v>46064</v>
      </c>
      <c r="P447" s="4">
        <v>46076</v>
      </c>
      <c r="Q447" t="s">
        <v>54</v>
      </c>
      <c r="R447">
        <f>Table2[[#This Row],[End_Date]]-Table2[[#This Row],[Start_Date]]</f>
        <v>12</v>
      </c>
      <c r="S447" t="str">
        <f>TEXT(Table2[[#This Row],[Start_Date]],"MMM")</f>
        <v>Feb</v>
      </c>
      <c r="T447">
        <f>YEAR(Table2[[#This Row],[Start_Date]])</f>
        <v>2026</v>
      </c>
      <c r="U447">
        <f>Table2[[#This Row],[Campaign_Cost (₹)]]/Table2[[#This Row],[Reach]]</f>
        <v>0.52723172068656743</v>
      </c>
      <c r="V447">
        <f>Table2[[#This Row],[Revenue_Generated (₹)]]/Table2[[#This Row],[Reach]]</f>
        <v>2.4135556057677019</v>
      </c>
    </row>
    <row r="448" spans="1:22" x14ac:dyDescent="0.3">
      <c r="A448" t="s">
        <v>499</v>
      </c>
      <c r="B448" t="s">
        <v>18</v>
      </c>
      <c r="C448" t="s">
        <v>28</v>
      </c>
      <c r="D448" t="s">
        <v>46</v>
      </c>
      <c r="E448">
        <v>838911</v>
      </c>
      <c r="F448">
        <v>520958</v>
      </c>
      <c r="G448">
        <v>922958</v>
      </c>
      <c r="H448">
        <v>70935</v>
      </c>
      <c r="I448">
        <v>7265</v>
      </c>
      <c r="J448">
        <v>6461</v>
      </c>
      <c r="K448">
        <f t="shared" si="12"/>
        <v>16.251022155336898</v>
      </c>
      <c r="L448">
        <v>177956</v>
      </c>
      <c r="M448">
        <v>648044</v>
      </c>
      <c r="N448">
        <f t="shared" si="13"/>
        <v>264.15967992087934</v>
      </c>
      <c r="O448" s="4">
        <v>45888</v>
      </c>
      <c r="P448" s="4">
        <v>45906</v>
      </c>
      <c r="Q448" t="s">
        <v>30</v>
      </c>
      <c r="R448">
        <f>Table2[[#This Row],[End_Date]]-Table2[[#This Row],[Start_Date]]</f>
        <v>18</v>
      </c>
      <c r="S448" t="str">
        <f>TEXT(Table2[[#This Row],[Start_Date]],"MMM")</f>
        <v>Aug</v>
      </c>
      <c r="T448">
        <f>YEAR(Table2[[#This Row],[Start_Date]])</f>
        <v>2025</v>
      </c>
      <c r="U448">
        <f>Table2[[#This Row],[Campaign_Cost (₹)]]/Table2[[#This Row],[Reach]]</f>
        <v>0.34159375611853549</v>
      </c>
      <c r="V448">
        <f>Table2[[#This Row],[Revenue_Generated (₹)]]/Table2[[#This Row],[Reach]]</f>
        <v>1.2439467289109678</v>
      </c>
    </row>
    <row r="449" spans="1:22" x14ac:dyDescent="0.3">
      <c r="A449" t="s">
        <v>500</v>
      </c>
      <c r="B449" t="s">
        <v>18</v>
      </c>
      <c r="C449" t="s">
        <v>33</v>
      </c>
      <c r="D449" t="s">
        <v>29</v>
      </c>
      <c r="E449">
        <v>1539066</v>
      </c>
      <c r="F449">
        <v>1183830</v>
      </c>
      <c r="G449">
        <v>3360332</v>
      </c>
      <c r="H449">
        <v>81250</v>
      </c>
      <c r="I449">
        <v>6020</v>
      </c>
      <c r="J449">
        <v>7028</v>
      </c>
      <c r="K449">
        <f t="shared" si="12"/>
        <v>7.9655018034684026</v>
      </c>
      <c r="L449">
        <v>164836</v>
      </c>
      <c r="M449">
        <v>783818</v>
      </c>
      <c r="N449">
        <f t="shared" si="13"/>
        <v>375.51384406319011</v>
      </c>
      <c r="O449" s="4">
        <v>46018</v>
      </c>
      <c r="P449" s="4">
        <v>46043</v>
      </c>
      <c r="Q449" t="s">
        <v>41</v>
      </c>
      <c r="R449">
        <f>Table2[[#This Row],[End_Date]]-Table2[[#This Row],[Start_Date]]</f>
        <v>25</v>
      </c>
      <c r="S449" t="str">
        <f>TEXT(Table2[[#This Row],[Start_Date]],"MMM")</f>
        <v>Dec</v>
      </c>
      <c r="T449">
        <f>YEAR(Table2[[#This Row],[Start_Date]])</f>
        <v>2025</v>
      </c>
      <c r="U449">
        <f>Table2[[#This Row],[Campaign_Cost (₹)]]/Table2[[#This Row],[Reach]]</f>
        <v>0.1392395867649916</v>
      </c>
      <c r="V449">
        <f>Table2[[#This Row],[Revenue_Generated (₹)]]/Table2[[#This Row],[Reach]]</f>
        <v>0.66210351148391233</v>
      </c>
    </row>
    <row r="450" spans="1:22" x14ac:dyDescent="0.3">
      <c r="A450" t="s">
        <v>501</v>
      </c>
      <c r="B450" t="s">
        <v>32</v>
      </c>
      <c r="C450" t="s">
        <v>28</v>
      </c>
      <c r="D450" t="s">
        <v>46</v>
      </c>
      <c r="E450">
        <v>1378743</v>
      </c>
      <c r="F450">
        <v>712033</v>
      </c>
      <c r="G450">
        <v>1421379</v>
      </c>
      <c r="H450">
        <v>24583</v>
      </c>
      <c r="I450">
        <v>2912</v>
      </c>
      <c r="J450">
        <v>1053</v>
      </c>
      <c r="K450">
        <f t="shared" ref="K450:K513" si="14">((H450+I450+J450)/F450)*100</f>
        <v>4.0093647344996652</v>
      </c>
      <c r="L450">
        <v>330306</v>
      </c>
      <c r="M450">
        <v>718569</v>
      </c>
      <c r="N450">
        <f t="shared" ref="N450:N513" si="15">((M450-L450)/L450)*100</f>
        <v>117.54645692176346</v>
      </c>
      <c r="O450" s="4">
        <v>46145</v>
      </c>
      <c r="P450" s="4">
        <v>46164</v>
      </c>
      <c r="Q450" t="s">
        <v>30</v>
      </c>
      <c r="R450">
        <f>Table2[[#This Row],[End_Date]]-Table2[[#This Row],[Start_Date]]</f>
        <v>19</v>
      </c>
      <c r="S450" t="str">
        <f>TEXT(Table2[[#This Row],[Start_Date]],"MMM")</f>
        <v>May</v>
      </c>
      <c r="T450">
        <f>YEAR(Table2[[#This Row],[Start_Date]])</f>
        <v>2026</v>
      </c>
      <c r="U450">
        <f>Table2[[#This Row],[Campaign_Cost (₹)]]/Table2[[#This Row],[Reach]]</f>
        <v>0.46389142076280171</v>
      </c>
      <c r="V450">
        <f>Table2[[#This Row],[Revenue_Generated (₹)]]/Table2[[#This Row],[Reach]]</f>
        <v>1.0091793498335049</v>
      </c>
    </row>
    <row r="451" spans="1:22" x14ac:dyDescent="0.3">
      <c r="A451" t="s">
        <v>502</v>
      </c>
      <c r="B451" t="s">
        <v>49</v>
      </c>
      <c r="C451" t="s">
        <v>33</v>
      </c>
      <c r="D451" t="s">
        <v>20</v>
      </c>
      <c r="E451">
        <v>1671460</v>
      </c>
      <c r="F451">
        <v>594679</v>
      </c>
      <c r="G451">
        <v>1497276</v>
      </c>
      <c r="H451">
        <v>78804</v>
      </c>
      <c r="I451">
        <v>10544</v>
      </c>
      <c r="J451">
        <v>5820</v>
      </c>
      <c r="K451">
        <f t="shared" si="14"/>
        <v>16.003255537861602</v>
      </c>
      <c r="L451">
        <v>448991</v>
      </c>
      <c r="M451">
        <v>1744656</v>
      </c>
      <c r="N451">
        <f t="shared" si="15"/>
        <v>288.57259945076851</v>
      </c>
      <c r="O451" s="4">
        <v>45863</v>
      </c>
      <c r="P451" s="4">
        <v>45883</v>
      </c>
      <c r="Q451" t="s">
        <v>30</v>
      </c>
      <c r="R451">
        <f>Table2[[#This Row],[End_Date]]-Table2[[#This Row],[Start_Date]]</f>
        <v>20</v>
      </c>
      <c r="S451" t="str">
        <f>TEXT(Table2[[#This Row],[Start_Date]],"MMM")</f>
        <v>Jul</v>
      </c>
      <c r="T451">
        <f>YEAR(Table2[[#This Row],[Start_Date]])</f>
        <v>2025</v>
      </c>
      <c r="U451">
        <f>Table2[[#This Row],[Campaign_Cost (₹)]]/Table2[[#This Row],[Reach]]</f>
        <v>0.75501404959650498</v>
      </c>
      <c r="V451">
        <f>Table2[[#This Row],[Revenue_Generated (₹)]]/Table2[[#This Row],[Reach]]</f>
        <v>2.9337777187356542</v>
      </c>
    </row>
    <row r="452" spans="1:22" x14ac:dyDescent="0.3">
      <c r="A452" t="s">
        <v>503</v>
      </c>
      <c r="B452" t="s">
        <v>53</v>
      </c>
      <c r="C452" t="s">
        <v>19</v>
      </c>
      <c r="D452" t="s">
        <v>58</v>
      </c>
      <c r="E452">
        <v>1033859</v>
      </c>
      <c r="F452">
        <v>603895</v>
      </c>
      <c r="G452">
        <v>1672924</v>
      </c>
      <c r="H452">
        <v>86988</v>
      </c>
      <c r="I452">
        <v>9206</v>
      </c>
      <c r="J452">
        <v>6784</v>
      </c>
      <c r="K452">
        <f t="shared" si="14"/>
        <v>17.052302138616813</v>
      </c>
      <c r="L452">
        <v>72415</v>
      </c>
      <c r="M452">
        <v>316463</v>
      </c>
      <c r="N452">
        <f t="shared" si="15"/>
        <v>337.01304978250363</v>
      </c>
      <c r="O452" s="4">
        <v>45995</v>
      </c>
      <c r="P452" s="4">
        <v>46019</v>
      </c>
      <c r="Q452" t="s">
        <v>34</v>
      </c>
      <c r="R452">
        <f>Table2[[#This Row],[End_Date]]-Table2[[#This Row],[Start_Date]]</f>
        <v>24</v>
      </c>
      <c r="S452" t="str">
        <f>TEXT(Table2[[#This Row],[Start_Date]],"MMM")</f>
        <v>Dec</v>
      </c>
      <c r="T452">
        <f>YEAR(Table2[[#This Row],[Start_Date]])</f>
        <v>2025</v>
      </c>
      <c r="U452">
        <f>Table2[[#This Row],[Campaign_Cost (₹)]]/Table2[[#This Row],[Reach]]</f>
        <v>0.11991322994891496</v>
      </c>
      <c r="V452">
        <f>Table2[[#This Row],[Revenue_Generated (₹)]]/Table2[[#This Row],[Reach]]</f>
        <v>0.52403646329245979</v>
      </c>
    </row>
    <row r="453" spans="1:22" x14ac:dyDescent="0.3">
      <c r="A453" t="s">
        <v>504</v>
      </c>
      <c r="B453" t="s">
        <v>23</v>
      </c>
      <c r="C453" t="s">
        <v>37</v>
      </c>
      <c r="D453" t="s">
        <v>58</v>
      </c>
      <c r="E453">
        <v>327936</v>
      </c>
      <c r="F453">
        <v>237669</v>
      </c>
      <c r="G453">
        <v>308661</v>
      </c>
      <c r="H453">
        <v>33817</v>
      </c>
      <c r="I453">
        <v>1778</v>
      </c>
      <c r="J453">
        <v>1481</v>
      </c>
      <c r="K453">
        <f t="shared" si="14"/>
        <v>15.599846845823393</v>
      </c>
      <c r="L453">
        <v>34513</v>
      </c>
      <c r="M453">
        <v>103344</v>
      </c>
      <c r="N453">
        <f t="shared" si="15"/>
        <v>199.43499550893867</v>
      </c>
      <c r="O453" s="4">
        <v>46139</v>
      </c>
      <c r="P453" s="4">
        <v>46152</v>
      </c>
      <c r="Q453" t="s">
        <v>78</v>
      </c>
      <c r="R453">
        <f>Table2[[#This Row],[End_Date]]-Table2[[#This Row],[Start_Date]]</f>
        <v>13</v>
      </c>
      <c r="S453" t="str">
        <f>TEXT(Table2[[#This Row],[Start_Date]],"MMM")</f>
        <v>Apr</v>
      </c>
      <c r="T453">
        <f>YEAR(Table2[[#This Row],[Start_Date]])</f>
        <v>2026</v>
      </c>
      <c r="U453">
        <f>Table2[[#This Row],[Campaign_Cost (₹)]]/Table2[[#This Row],[Reach]]</f>
        <v>0.1452145631108811</v>
      </c>
      <c r="V453">
        <f>Table2[[#This Row],[Revenue_Generated (₹)]]/Table2[[#This Row],[Reach]]</f>
        <v>0.43482322052939171</v>
      </c>
    </row>
    <row r="454" spans="1:22" x14ac:dyDescent="0.3">
      <c r="A454" t="s">
        <v>505</v>
      </c>
      <c r="B454" t="s">
        <v>39</v>
      </c>
      <c r="C454" t="s">
        <v>33</v>
      </c>
      <c r="D454" t="s">
        <v>24</v>
      </c>
      <c r="E454">
        <v>766457</v>
      </c>
      <c r="F454">
        <v>653474</v>
      </c>
      <c r="G454">
        <v>1461219</v>
      </c>
      <c r="H454">
        <v>90048</v>
      </c>
      <c r="I454">
        <v>13464</v>
      </c>
      <c r="J454">
        <v>7899</v>
      </c>
      <c r="K454">
        <f t="shared" si="14"/>
        <v>17.049033320376939</v>
      </c>
      <c r="L454">
        <v>356926</v>
      </c>
      <c r="M454">
        <v>1514591</v>
      </c>
      <c r="N454">
        <f t="shared" si="15"/>
        <v>324.34314115530947</v>
      </c>
      <c r="O454" s="4">
        <v>45820</v>
      </c>
      <c r="P454" s="4">
        <v>45850</v>
      </c>
      <c r="Q454" t="s">
        <v>47</v>
      </c>
      <c r="R454">
        <f>Table2[[#This Row],[End_Date]]-Table2[[#This Row],[Start_Date]]</f>
        <v>30</v>
      </c>
      <c r="S454" t="str">
        <f>TEXT(Table2[[#This Row],[Start_Date]],"MMM")</f>
        <v>Jun</v>
      </c>
      <c r="T454">
        <f>YEAR(Table2[[#This Row],[Start_Date]])</f>
        <v>2025</v>
      </c>
      <c r="U454">
        <f>Table2[[#This Row],[Campaign_Cost (₹)]]/Table2[[#This Row],[Reach]]</f>
        <v>0.5461977064121909</v>
      </c>
      <c r="V454">
        <f>Table2[[#This Row],[Revenue_Generated (₹)]]/Table2[[#This Row],[Reach]]</f>
        <v>2.3177525043077458</v>
      </c>
    </row>
    <row r="455" spans="1:22" x14ac:dyDescent="0.3">
      <c r="A455" t="s">
        <v>506</v>
      </c>
      <c r="B455" t="s">
        <v>80</v>
      </c>
      <c r="C455" t="s">
        <v>33</v>
      </c>
      <c r="D455" t="s">
        <v>46</v>
      </c>
      <c r="E455">
        <v>305930</v>
      </c>
      <c r="F455">
        <v>132024</v>
      </c>
      <c r="G455">
        <v>358055</v>
      </c>
      <c r="H455">
        <v>12234</v>
      </c>
      <c r="I455">
        <v>1090</v>
      </c>
      <c r="J455">
        <v>372</v>
      </c>
      <c r="K455">
        <f t="shared" si="14"/>
        <v>10.373871417318064</v>
      </c>
      <c r="L455">
        <v>208008</v>
      </c>
      <c r="M455">
        <v>855678</v>
      </c>
      <c r="N455">
        <f t="shared" si="15"/>
        <v>311.3678320064613</v>
      </c>
      <c r="O455" s="4">
        <v>45803</v>
      </c>
      <c r="P455" s="4">
        <v>45816</v>
      </c>
      <c r="Q455" t="s">
        <v>54</v>
      </c>
      <c r="R455">
        <f>Table2[[#This Row],[End_Date]]-Table2[[#This Row],[Start_Date]]</f>
        <v>13</v>
      </c>
      <c r="S455" t="str">
        <f>TEXT(Table2[[#This Row],[Start_Date]],"MMM")</f>
        <v>May</v>
      </c>
      <c r="T455">
        <f>YEAR(Table2[[#This Row],[Start_Date]])</f>
        <v>2025</v>
      </c>
      <c r="U455">
        <f>Table2[[#This Row],[Campaign_Cost (₹)]]/Table2[[#This Row],[Reach]]</f>
        <v>1.5755317215051809</v>
      </c>
      <c r="V455">
        <f>Table2[[#This Row],[Revenue_Generated (₹)]]/Table2[[#This Row],[Reach]]</f>
        <v>6.4812306853299404</v>
      </c>
    </row>
    <row r="456" spans="1:22" x14ac:dyDescent="0.3">
      <c r="A456" t="s">
        <v>507</v>
      </c>
      <c r="B456" t="s">
        <v>103</v>
      </c>
      <c r="C456" t="s">
        <v>19</v>
      </c>
      <c r="D456" t="s">
        <v>20</v>
      </c>
      <c r="E456">
        <v>411079</v>
      </c>
      <c r="F456">
        <v>331581</v>
      </c>
      <c r="G456">
        <v>739312</v>
      </c>
      <c r="H456">
        <v>37632</v>
      </c>
      <c r="I456">
        <v>4305</v>
      </c>
      <c r="J456">
        <v>1467</v>
      </c>
      <c r="K456">
        <f t="shared" si="14"/>
        <v>13.090014204673972</v>
      </c>
      <c r="L456">
        <v>344139</v>
      </c>
      <c r="M456">
        <v>881441</v>
      </c>
      <c r="N456">
        <f t="shared" si="15"/>
        <v>156.12935470841725</v>
      </c>
      <c r="O456" s="4">
        <v>45893</v>
      </c>
      <c r="P456" s="4">
        <v>45905</v>
      </c>
      <c r="Q456" t="s">
        <v>47</v>
      </c>
      <c r="R456">
        <f>Table2[[#This Row],[End_Date]]-Table2[[#This Row],[Start_Date]]</f>
        <v>12</v>
      </c>
      <c r="S456" t="str">
        <f>TEXT(Table2[[#This Row],[Start_Date]],"MMM")</f>
        <v>Aug</v>
      </c>
      <c r="T456">
        <f>YEAR(Table2[[#This Row],[Start_Date]])</f>
        <v>2025</v>
      </c>
      <c r="U456">
        <f>Table2[[#This Row],[Campaign_Cost (₹)]]/Table2[[#This Row],[Reach]]</f>
        <v>1.0378730988808165</v>
      </c>
      <c r="V456">
        <f>Table2[[#This Row],[Revenue_Generated (₹)]]/Table2[[#This Row],[Reach]]</f>
        <v>2.6582976708556885</v>
      </c>
    </row>
    <row r="457" spans="1:22" x14ac:dyDescent="0.3">
      <c r="A457" t="s">
        <v>508</v>
      </c>
      <c r="B457" t="s">
        <v>32</v>
      </c>
      <c r="C457" t="s">
        <v>37</v>
      </c>
      <c r="D457" t="s">
        <v>46</v>
      </c>
      <c r="E457">
        <v>1728279</v>
      </c>
      <c r="F457">
        <v>1175572</v>
      </c>
      <c r="G457">
        <v>2136673</v>
      </c>
      <c r="H457">
        <v>157017</v>
      </c>
      <c r="I457">
        <v>5636</v>
      </c>
      <c r="J457">
        <v>6411</v>
      </c>
      <c r="K457">
        <f t="shared" si="14"/>
        <v>14.381424532057585</v>
      </c>
      <c r="L457">
        <v>221843</v>
      </c>
      <c r="M457">
        <v>931305</v>
      </c>
      <c r="N457">
        <f t="shared" si="15"/>
        <v>319.80364492005606</v>
      </c>
      <c r="O457" s="4">
        <v>45716</v>
      </c>
      <c r="P457" s="4">
        <v>45733</v>
      </c>
      <c r="Q457" t="s">
        <v>34</v>
      </c>
      <c r="R457">
        <f>Table2[[#This Row],[End_Date]]-Table2[[#This Row],[Start_Date]]</f>
        <v>17</v>
      </c>
      <c r="S457" t="str">
        <f>TEXT(Table2[[#This Row],[Start_Date]],"MMM")</f>
        <v>Feb</v>
      </c>
      <c r="T457">
        <f>YEAR(Table2[[#This Row],[Start_Date]])</f>
        <v>2025</v>
      </c>
      <c r="U457">
        <f>Table2[[#This Row],[Campaign_Cost (₹)]]/Table2[[#This Row],[Reach]]</f>
        <v>0.18871068722290085</v>
      </c>
      <c r="V457">
        <f>Table2[[#This Row],[Revenue_Generated (₹)]]/Table2[[#This Row],[Reach]]</f>
        <v>0.79221434331542429</v>
      </c>
    </row>
    <row r="458" spans="1:22" x14ac:dyDescent="0.3">
      <c r="A458" t="s">
        <v>509</v>
      </c>
      <c r="B458" t="s">
        <v>23</v>
      </c>
      <c r="C458" t="s">
        <v>28</v>
      </c>
      <c r="D458" t="s">
        <v>29</v>
      </c>
      <c r="E458">
        <v>1348532</v>
      </c>
      <c r="F458">
        <v>735707</v>
      </c>
      <c r="G458">
        <v>1354399</v>
      </c>
      <c r="H458">
        <v>61720</v>
      </c>
      <c r="I458">
        <v>4904</v>
      </c>
      <c r="J458">
        <v>5408</v>
      </c>
      <c r="K458">
        <f t="shared" si="14"/>
        <v>9.7908542395274196</v>
      </c>
      <c r="L458">
        <v>98976</v>
      </c>
      <c r="M458">
        <v>483693</v>
      </c>
      <c r="N458">
        <f t="shared" si="15"/>
        <v>388.69725994180408</v>
      </c>
      <c r="O458" s="4">
        <v>46104</v>
      </c>
      <c r="P458" s="4">
        <v>46124</v>
      </c>
      <c r="Q458" t="s">
        <v>41</v>
      </c>
      <c r="R458">
        <f>Table2[[#This Row],[End_Date]]-Table2[[#This Row],[Start_Date]]</f>
        <v>20</v>
      </c>
      <c r="S458" t="str">
        <f>TEXT(Table2[[#This Row],[Start_Date]],"MMM")</f>
        <v>Mar</v>
      </c>
      <c r="T458">
        <f>YEAR(Table2[[#This Row],[Start_Date]])</f>
        <v>2026</v>
      </c>
      <c r="U458">
        <f>Table2[[#This Row],[Campaign_Cost (₹)]]/Table2[[#This Row],[Reach]]</f>
        <v>0.13453181769372863</v>
      </c>
      <c r="V458">
        <f>Table2[[#This Row],[Revenue_Generated (₹)]]/Table2[[#This Row],[Reach]]</f>
        <v>0.65745330681915493</v>
      </c>
    </row>
    <row r="459" spans="1:22" x14ac:dyDescent="0.3">
      <c r="A459" t="s">
        <v>510</v>
      </c>
      <c r="B459" t="s">
        <v>49</v>
      </c>
      <c r="C459" t="s">
        <v>28</v>
      </c>
      <c r="D459" t="s">
        <v>29</v>
      </c>
      <c r="E459">
        <v>1037387</v>
      </c>
      <c r="F459">
        <v>281169</v>
      </c>
      <c r="G459">
        <v>491168</v>
      </c>
      <c r="H459">
        <v>8938</v>
      </c>
      <c r="I459">
        <v>402</v>
      </c>
      <c r="J459">
        <v>480</v>
      </c>
      <c r="K459">
        <f t="shared" si="14"/>
        <v>3.4925614132425697</v>
      </c>
      <c r="L459">
        <v>416499</v>
      </c>
      <c r="M459">
        <v>1865827</v>
      </c>
      <c r="N459">
        <f t="shared" si="15"/>
        <v>347.97874664765101</v>
      </c>
      <c r="O459" s="4">
        <v>45750</v>
      </c>
      <c r="P459" s="4">
        <v>45774</v>
      </c>
      <c r="Q459" t="s">
        <v>78</v>
      </c>
      <c r="R459">
        <f>Table2[[#This Row],[End_Date]]-Table2[[#This Row],[Start_Date]]</f>
        <v>24</v>
      </c>
      <c r="S459" t="str">
        <f>TEXT(Table2[[#This Row],[Start_Date]],"MMM")</f>
        <v>Apr</v>
      </c>
      <c r="T459">
        <f>YEAR(Table2[[#This Row],[Start_Date]])</f>
        <v>2025</v>
      </c>
      <c r="U459">
        <f>Table2[[#This Row],[Campaign_Cost (₹)]]/Table2[[#This Row],[Reach]]</f>
        <v>1.4813119511752717</v>
      </c>
      <c r="V459">
        <f>Table2[[#This Row],[Revenue_Generated (₹)]]/Table2[[#This Row],[Reach]]</f>
        <v>6.6359627128168466</v>
      </c>
    </row>
    <row r="460" spans="1:22" x14ac:dyDescent="0.3">
      <c r="A460" t="s">
        <v>511</v>
      </c>
      <c r="B460" t="s">
        <v>103</v>
      </c>
      <c r="C460" t="s">
        <v>43</v>
      </c>
      <c r="D460" t="s">
        <v>58</v>
      </c>
      <c r="E460">
        <v>385577</v>
      </c>
      <c r="F460">
        <v>105106</v>
      </c>
      <c r="G460">
        <v>226369</v>
      </c>
      <c r="H460">
        <v>6349</v>
      </c>
      <c r="I460">
        <v>898</v>
      </c>
      <c r="J460">
        <v>418</v>
      </c>
      <c r="K460">
        <f t="shared" si="14"/>
        <v>7.2926379083972375</v>
      </c>
      <c r="L460">
        <v>149998</v>
      </c>
      <c r="M460">
        <v>625732</v>
      </c>
      <c r="N460">
        <f t="shared" si="15"/>
        <v>317.1602288030507</v>
      </c>
      <c r="O460" s="4">
        <v>45791</v>
      </c>
      <c r="P460" s="4">
        <v>45808</v>
      </c>
      <c r="Q460" t="s">
        <v>54</v>
      </c>
      <c r="R460">
        <f>Table2[[#This Row],[End_Date]]-Table2[[#This Row],[Start_Date]]</f>
        <v>17</v>
      </c>
      <c r="S460" t="str">
        <f>TEXT(Table2[[#This Row],[Start_Date]],"MMM")</f>
        <v>May</v>
      </c>
      <c r="T460">
        <f>YEAR(Table2[[#This Row],[Start_Date]])</f>
        <v>2025</v>
      </c>
      <c r="U460">
        <f>Table2[[#This Row],[Campaign_Cost (₹)]]/Table2[[#This Row],[Reach]]</f>
        <v>1.4271116777348583</v>
      </c>
      <c r="V460">
        <f>Table2[[#This Row],[Revenue_Generated (₹)]]/Table2[[#This Row],[Reach]]</f>
        <v>5.9533423401137897</v>
      </c>
    </row>
    <row r="461" spans="1:22" x14ac:dyDescent="0.3">
      <c r="A461" t="s">
        <v>512</v>
      </c>
      <c r="B461" t="s">
        <v>32</v>
      </c>
      <c r="C461" t="s">
        <v>37</v>
      </c>
      <c r="D461" t="s">
        <v>20</v>
      </c>
      <c r="E461">
        <v>760306</v>
      </c>
      <c r="F461">
        <v>534101</v>
      </c>
      <c r="G461">
        <v>807848</v>
      </c>
      <c r="H461">
        <v>59212</v>
      </c>
      <c r="I461">
        <v>5796</v>
      </c>
      <c r="J461">
        <v>3027</v>
      </c>
      <c r="K461">
        <f t="shared" si="14"/>
        <v>12.738227413916094</v>
      </c>
      <c r="L461">
        <v>145963</v>
      </c>
      <c r="M461">
        <v>264683</v>
      </c>
      <c r="N461">
        <f t="shared" si="15"/>
        <v>81.335680960243351</v>
      </c>
      <c r="O461" s="4">
        <v>45683</v>
      </c>
      <c r="P461" s="4">
        <v>45700</v>
      </c>
      <c r="Q461" t="s">
        <v>54</v>
      </c>
      <c r="R461">
        <f>Table2[[#This Row],[End_Date]]-Table2[[#This Row],[Start_Date]]</f>
        <v>17</v>
      </c>
      <c r="S461" t="str">
        <f>TEXT(Table2[[#This Row],[Start_Date]],"MMM")</f>
        <v>Jan</v>
      </c>
      <c r="T461">
        <f>YEAR(Table2[[#This Row],[Start_Date]])</f>
        <v>2025</v>
      </c>
      <c r="U461">
        <f>Table2[[#This Row],[Campaign_Cost (₹)]]/Table2[[#This Row],[Reach]]</f>
        <v>0.27328726214704707</v>
      </c>
      <c r="V461">
        <f>Table2[[#This Row],[Revenue_Generated (₹)]]/Table2[[#This Row],[Reach]]</f>
        <v>0.49556731779195323</v>
      </c>
    </row>
    <row r="462" spans="1:22" x14ac:dyDescent="0.3">
      <c r="A462" t="s">
        <v>513</v>
      </c>
      <c r="B462" t="s">
        <v>32</v>
      </c>
      <c r="C462" t="s">
        <v>37</v>
      </c>
      <c r="D462" t="s">
        <v>40</v>
      </c>
      <c r="E462">
        <v>923867</v>
      </c>
      <c r="F462">
        <v>603671</v>
      </c>
      <c r="G462">
        <v>1774237</v>
      </c>
      <c r="H462">
        <v>43609</v>
      </c>
      <c r="I462">
        <v>4827</v>
      </c>
      <c r="J462">
        <v>3761</v>
      </c>
      <c r="K462">
        <f t="shared" si="14"/>
        <v>8.6465972359116137</v>
      </c>
      <c r="L462">
        <v>427612</v>
      </c>
      <c r="M462">
        <v>2001103</v>
      </c>
      <c r="N462">
        <f t="shared" si="15"/>
        <v>367.97166590273423</v>
      </c>
      <c r="O462" s="4">
        <v>46037</v>
      </c>
      <c r="P462" s="4">
        <v>46056</v>
      </c>
      <c r="Q462" t="s">
        <v>34</v>
      </c>
      <c r="R462">
        <f>Table2[[#This Row],[End_Date]]-Table2[[#This Row],[Start_Date]]</f>
        <v>19</v>
      </c>
      <c r="S462" t="str">
        <f>TEXT(Table2[[#This Row],[Start_Date]],"MMM")</f>
        <v>Jan</v>
      </c>
      <c r="T462">
        <f>YEAR(Table2[[#This Row],[Start_Date]])</f>
        <v>2026</v>
      </c>
      <c r="U462">
        <f>Table2[[#This Row],[Campaign_Cost (₹)]]/Table2[[#This Row],[Reach]]</f>
        <v>0.70835272855578613</v>
      </c>
      <c r="V462">
        <f>Table2[[#This Row],[Revenue_Generated (₹)]]/Table2[[#This Row],[Reach]]</f>
        <v>3.3148900642899859</v>
      </c>
    </row>
    <row r="463" spans="1:22" x14ac:dyDescent="0.3">
      <c r="A463" t="s">
        <v>514</v>
      </c>
      <c r="B463" t="s">
        <v>75</v>
      </c>
      <c r="C463" t="s">
        <v>19</v>
      </c>
      <c r="D463" t="s">
        <v>29</v>
      </c>
      <c r="E463">
        <v>1441578</v>
      </c>
      <c r="F463">
        <v>536476</v>
      </c>
      <c r="G463">
        <v>969355</v>
      </c>
      <c r="H463">
        <v>50124</v>
      </c>
      <c r="I463">
        <v>2234</v>
      </c>
      <c r="J463">
        <v>3736</v>
      </c>
      <c r="K463">
        <f t="shared" si="14"/>
        <v>10.456012943729077</v>
      </c>
      <c r="L463">
        <v>395142</v>
      </c>
      <c r="M463">
        <v>1788127</v>
      </c>
      <c r="N463">
        <f t="shared" si="15"/>
        <v>352.5276989031791</v>
      </c>
      <c r="O463" s="4">
        <v>45698</v>
      </c>
      <c r="P463" s="4">
        <v>45727</v>
      </c>
      <c r="Q463" t="s">
        <v>78</v>
      </c>
      <c r="R463">
        <f>Table2[[#This Row],[End_Date]]-Table2[[#This Row],[Start_Date]]</f>
        <v>29</v>
      </c>
      <c r="S463" t="str">
        <f>TEXT(Table2[[#This Row],[Start_Date]],"MMM")</f>
        <v>Feb</v>
      </c>
      <c r="T463">
        <f>YEAR(Table2[[#This Row],[Start_Date]])</f>
        <v>2025</v>
      </c>
      <c r="U463">
        <f>Table2[[#This Row],[Campaign_Cost (₹)]]/Table2[[#This Row],[Reach]]</f>
        <v>0.73655112251060628</v>
      </c>
      <c r="V463">
        <f>Table2[[#This Row],[Revenue_Generated (₹)]]/Table2[[#This Row],[Reach]]</f>
        <v>3.333097845942782</v>
      </c>
    </row>
    <row r="464" spans="1:22" x14ac:dyDescent="0.3">
      <c r="A464" t="s">
        <v>515</v>
      </c>
      <c r="B464" t="s">
        <v>18</v>
      </c>
      <c r="C464" t="s">
        <v>28</v>
      </c>
      <c r="D464" t="s">
        <v>29</v>
      </c>
      <c r="E464">
        <v>1525750</v>
      </c>
      <c r="F464">
        <v>723611</v>
      </c>
      <c r="G464">
        <v>987260</v>
      </c>
      <c r="H464">
        <v>92162</v>
      </c>
      <c r="I464">
        <v>5550</v>
      </c>
      <c r="J464">
        <v>6474</v>
      </c>
      <c r="K464">
        <f t="shared" si="14"/>
        <v>14.398067469952776</v>
      </c>
      <c r="L464">
        <v>312356</v>
      </c>
      <c r="M464">
        <v>1526811</v>
      </c>
      <c r="N464">
        <f t="shared" si="15"/>
        <v>388.80476123397665</v>
      </c>
      <c r="O464" s="4">
        <v>45774</v>
      </c>
      <c r="P464" s="4">
        <v>45800</v>
      </c>
      <c r="Q464" t="s">
        <v>54</v>
      </c>
      <c r="R464">
        <f>Table2[[#This Row],[End_Date]]-Table2[[#This Row],[Start_Date]]</f>
        <v>26</v>
      </c>
      <c r="S464" t="str">
        <f>TEXT(Table2[[#This Row],[Start_Date]],"MMM")</f>
        <v>Apr</v>
      </c>
      <c r="T464">
        <f>YEAR(Table2[[#This Row],[Start_Date]])</f>
        <v>2025</v>
      </c>
      <c r="U464">
        <f>Table2[[#This Row],[Campaign_Cost (₹)]]/Table2[[#This Row],[Reach]]</f>
        <v>0.43166286858546926</v>
      </c>
      <c r="V464">
        <f>Table2[[#This Row],[Revenue_Generated (₹)]]/Table2[[#This Row],[Reach]]</f>
        <v>2.1099886541249373</v>
      </c>
    </row>
    <row r="465" spans="1:22" x14ac:dyDescent="0.3">
      <c r="A465" t="s">
        <v>516</v>
      </c>
      <c r="B465" t="s">
        <v>49</v>
      </c>
      <c r="C465" t="s">
        <v>19</v>
      </c>
      <c r="D465" t="s">
        <v>72</v>
      </c>
      <c r="E465">
        <v>1051530</v>
      </c>
      <c r="F465">
        <v>315803</v>
      </c>
      <c r="G465">
        <v>407056</v>
      </c>
      <c r="H465">
        <v>22931</v>
      </c>
      <c r="I465">
        <v>1991</v>
      </c>
      <c r="J465">
        <v>921</v>
      </c>
      <c r="K465">
        <f t="shared" si="14"/>
        <v>8.1832661500999038</v>
      </c>
      <c r="L465">
        <v>369657</v>
      </c>
      <c r="M465">
        <v>433814</v>
      </c>
      <c r="N465">
        <f t="shared" si="15"/>
        <v>17.355819043058833</v>
      </c>
      <c r="O465" s="4">
        <v>46058</v>
      </c>
      <c r="P465" s="4">
        <v>46072</v>
      </c>
      <c r="Q465" t="s">
        <v>30</v>
      </c>
      <c r="R465">
        <f>Table2[[#This Row],[End_Date]]-Table2[[#This Row],[Start_Date]]</f>
        <v>14</v>
      </c>
      <c r="S465" t="str">
        <f>TEXT(Table2[[#This Row],[Start_Date]],"MMM")</f>
        <v>Feb</v>
      </c>
      <c r="T465">
        <f>YEAR(Table2[[#This Row],[Start_Date]])</f>
        <v>2026</v>
      </c>
      <c r="U465">
        <f>Table2[[#This Row],[Campaign_Cost (₹)]]/Table2[[#This Row],[Reach]]</f>
        <v>1.1705303622828156</v>
      </c>
      <c r="V465">
        <f>Table2[[#This Row],[Revenue_Generated (₹)]]/Table2[[#This Row],[Reach]]</f>
        <v>1.3736854938046821</v>
      </c>
    </row>
    <row r="466" spans="1:22" x14ac:dyDescent="0.3">
      <c r="A466" t="s">
        <v>517</v>
      </c>
      <c r="B466" t="s">
        <v>49</v>
      </c>
      <c r="C466" t="s">
        <v>37</v>
      </c>
      <c r="D466" t="s">
        <v>58</v>
      </c>
      <c r="E466">
        <v>1488096</v>
      </c>
      <c r="F466">
        <v>755640</v>
      </c>
      <c r="G466">
        <v>2041901</v>
      </c>
      <c r="H466">
        <v>16022</v>
      </c>
      <c r="I466">
        <v>2229</v>
      </c>
      <c r="J466">
        <v>1510</v>
      </c>
      <c r="K466">
        <f t="shared" si="14"/>
        <v>2.6151341908845485</v>
      </c>
      <c r="L466">
        <v>211423</v>
      </c>
      <c r="M466">
        <v>417451</v>
      </c>
      <c r="N466">
        <f t="shared" si="15"/>
        <v>97.448243568580523</v>
      </c>
      <c r="O466" s="4">
        <v>45864</v>
      </c>
      <c r="P466" s="4">
        <v>45875</v>
      </c>
      <c r="Q466" t="s">
        <v>54</v>
      </c>
      <c r="R466">
        <f>Table2[[#This Row],[End_Date]]-Table2[[#This Row],[Start_Date]]</f>
        <v>11</v>
      </c>
      <c r="S466" t="str">
        <f>TEXT(Table2[[#This Row],[Start_Date]],"MMM")</f>
        <v>Jul</v>
      </c>
      <c r="T466">
        <f>YEAR(Table2[[#This Row],[Start_Date]])</f>
        <v>2025</v>
      </c>
      <c r="U466">
        <f>Table2[[#This Row],[Campaign_Cost (₹)]]/Table2[[#This Row],[Reach]]</f>
        <v>0.27979328780900958</v>
      </c>
      <c r="V466">
        <f>Table2[[#This Row],[Revenue_Generated (₹)]]/Table2[[#This Row],[Reach]]</f>
        <v>0.55244693240167275</v>
      </c>
    </row>
    <row r="467" spans="1:22" x14ac:dyDescent="0.3">
      <c r="A467" t="s">
        <v>518</v>
      </c>
      <c r="B467" t="s">
        <v>61</v>
      </c>
      <c r="C467" t="s">
        <v>37</v>
      </c>
      <c r="D467" t="s">
        <v>29</v>
      </c>
      <c r="E467">
        <v>1666039</v>
      </c>
      <c r="F467">
        <v>1229382</v>
      </c>
      <c r="G467">
        <v>3484018</v>
      </c>
      <c r="H467">
        <v>175414</v>
      </c>
      <c r="I467">
        <v>25398</v>
      </c>
      <c r="J467">
        <v>8916</v>
      </c>
      <c r="K467">
        <f t="shared" si="14"/>
        <v>17.05962833358549</v>
      </c>
      <c r="L467">
        <v>357589</v>
      </c>
      <c r="M467">
        <v>1708875</v>
      </c>
      <c r="N467">
        <f t="shared" si="15"/>
        <v>377.88802228256463</v>
      </c>
      <c r="O467" s="4">
        <v>45731</v>
      </c>
      <c r="P467" s="4">
        <v>45761</v>
      </c>
      <c r="Q467" t="s">
        <v>21</v>
      </c>
      <c r="R467">
        <f>Table2[[#This Row],[End_Date]]-Table2[[#This Row],[Start_Date]]</f>
        <v>30</v>
      </c>
      <c r="S467" t="str">
        <f>TEXT(Table2[[#This Row],[Start_Date]],"MMM")</f>
        <v>Mar</v>
      </c>
      <c r="T467">
        <f>YEAR(Table2[[#This Row],[Start_Date]])</f>
        <v>2025</v>
      </c>
      <c r="U467">
        <f>Table2[[#This Row],[Campaign_Cost (₹)]]/Table2[[#This Row],[Reach]]</f>
        <v>0.2908689081180626</v>
      </c>
      <c r="V467">
        <f>Table2[[#This Row],[Revenue_Generated (₹)]]/Table2[[#This Row],[Reach]]</f>
        <v>1.3900276724402993</v>
      </c>
    </row>
    <row r="468" spans="1:22" x14ac:dyDescent="0.3">
      <c r="A468" t="s">
        <v>519</v>
      </c>
      <c r="B468" t="s">
        <v>53</v>
      </c>
      <c r="C468" t="s">
        <v>37</v>
      </c>
      <c r="D468" t="s">
        <v>72</v>
      </c>
      <c r="E468">
        <v>577369</v>
      </c>
      <c r="F468">
        <v>169938</v>
      </c>
      <c r="G468">
        <v>256747</v>
      </c>
      <c r="H468">
        <v>12457</v>
      </c>
      <c r="I468">
        <v>1743</v>
      </c>
      <c r="J468">
        <v>898</v>
      </c>
      <c r="K468">
        <f t="shared" si="14"/>
        <v>8.8844166696089157</v>
      </c>
      <c r="L468">
        <v>159092</v>
      </c>
      <c r="M468">
        <v>264790</v>
      </c>
      <c r="N468">
        <f t="shared" si="15"/>
        <v>66.438287280315791</v>
      </c>
      <c r="O468" s="4">
        <v>46023</v>
      </c>
      <c r="P468" s="4">
        <v>46051</v>
      </c>
      <c r="Q468" t="s">
        <v>34</v>
      </c>
      <c r="R468">
        <f>Table2[[#This Row],[End_Date]]-Table2[[#This Row],[Start_Date]]</f>
        <v>28</v>
      </c>
      <c r="S468" t="str">
        <f>TEXT(Table2[[#This Row],[Start_Date]],"MMM")</f>
        <v>Jan</v>
      </c>
      <c r="T468">
        <f>YEAR(Table2[[#This Row],[Start_Date]])</f>
        <v>2026</v>
      </c>
      <c r="U468">
        <f>Table2[[#This Row],[Campaign_Cost (₹)]]/Table2[[#This Row],[Reach]]</f>
        <v>0.93617672327554757</v>
      </c>
      <c r="V468">
        <f>Table2[[#This Row],[Revenue_Generated (₹)]]/Table2[[#This Row],[Reach]]</f>
        <v>1.5581565041368028</v>
      </c>
    </row>
    <row r="469" spans="1:22" x14ac:dyDescent="0.3">
      <c r="A469" t="s">
        <v>520</v>
      </c>
      <c r="B469" t="s">
        <v>39</v>
      </c>
      <c r="C469" t="s">
        <v>33</v>
      </c>
      <c r="D469" t="s">
        <v>72</v>
      </c>
      <c r="E469">
        <v>1032196</v>
      </c>
      <c r="F469">
        <v>725537</v>
      </c>
      <c r="G469">
        <v>1180184</v>
      </c>
      <c r="H469">
        <v>102879</v>
      </c>
      <c r="I469">
        <v>14205</v>
      </c>
      <c r="J469">
        <v>7357</v>
      </c>
      <c r="K469">
        <f t="shared" si="14"/>
        <v>17.151571870214752</v>
      </c>
      <c r="L469">
        <v>481362</v>
      </c>
      <c r="M469">
        <v>2235723</v>
      </c>
      <c r="N469">
        <f t="shared" si="15"/>
        <v>364.45772620190212</v>
      </c>
      <c r="O469" s="4">
        <v>45961</v>
      </c>
      <c r="P469" s="4">
        <v>45990</v>
      </c>
      <c r="Q469" t="s">
        <v>34</v>
      </c>
      <c r="R469">
        <f>Table2[[#This Row],[End_Date]]-Table2[[#This Row],[Start_Date]]</f>
        <v>29</v>
      </c>
      <c r="S469" t="str">
        <f>TEXT(Table2[[#This Row],[Start_Date]],"MMM")</f>
        <v>Oct</v>
      </c>
      <c r="T469">
        <f>YEAR(Table2[[#This Row],[Start_Date]])</f>
        <v>2025</v>
      </c>
      <c r="U469">
        <f>Table2[[#This Row],[Campaign_Cost (₹)]]/Table2[[#This Row],[Reach]]</f>
        <v>0.66345617108431409</v>
      </c>
      <c r="V469">
        <f>Table2[[#This Row],[Revenue_Generated (₹)]]/Table2[[#This Row],[Reach]]</f>
        <v>3.0814734465644067</v>
      </c>
    </row>
    <row r="470" spans="1:22" x14ac:dyDescent="0.3">
      <c r="A470" t="s">
        <v>521</v>
      </c>
      <c r="B470" t="s">
        <v>32</v>
      </c>
      <c r="C470" t="s">
        <v>28</v>
      </c>
      <c r="D470" t="s">
        <v>51</v>
      </c>
      <c r="E470">
        <v>1108418</v>
      </c>
      <c r="F470">
        <v>291117</v>
      </c>
      <c r="G470">
        <v>465432</v>
      </c>
      <c r="H470">
        <v>30604</v>
      </c>
      <c r="I470">
        <v>1690</v>
      </c>
      <c r="J470">
        <v>638</v>
      </c>
      <c r="K470">
        <f t="shared" si="14"/>
        <v>11.312290247563695</v>
      </c>
      <c r="L470">
        <v>452627</v>
      </c>
      <c r="M470">
        <v>549733</v>
      </c>
      <c r="N470">
        <f t="shared" si="15"/>
        <v>21.453868196108495</v>
      </c>
      <c r="O470" s="4">
        <v>46003</v>
      </c>
      <c r="P470" s="4">
        <v>46018</v>
      </c>
      <c r="Q470" t="s">
        <v>78</v>
      </c>
      <c r="R470">
        <f>Table2[[#This Row],[End_Date]]-Table2[[#This Row],[Start_Date]]</f>
        <v>15</v>
      </c>
      <c r="S470" t="str">
        <f>TEXT(Table2[[#This Row],[Start_Date]],"MMM")</f>
        <v>Dec</v>
      </c>
      <c r="T470">
        <f>YEAR(Table2[[#This Row],[Start_Date]])</f>
        <v>2025</v>
      </c>
      <c r="U470">
        <f>Table2[[#This Row],[Campaign_Cost (₹)]]/Table2[[#This Row],[Reach]]</f>
        <v>1.5547941205769502</v>
      </c>
      <c r="V470">
        <f>Table2[[#This Row],[Revenue_Generated (₹)]]/Table2[[#This Row],[Reach]]</f>
        <v>1.8883576019263733</v>
      </c>
    </row>
    <row r="471" spans="1:22" x14ac:dyDescent="0.3">
      <c r="A471" t="s">
        <v>522</v>
      </c>
      <c r="B471" t="s">
        <v>57</v>
      </c>
      <c r="C471" t="s">
        <v>43</v>
      </c>
      <c r="D471" t="s">
        <v>72</v>
      </c>
      <c r="E471">
        <v>1157865</v>
      </c>
      <c r="F471">
        <v>576345</v>
      </c>
      <c r="G471">
        <v>674264</v>
      </c>
      <c r="H471">
        <v>40005</v>
      </c>
      <c r="I471">
        <v>2388</v>
      </c>
      <c r="J471">
        <v>1758</v>
      </c>
      <c r="K471">
        <f t="shared" si="14"/>
        <v>7.6605158368685426</v>
      </c>
      <c r="L471">
        <v>66117</v>
      </c>
      <c r="M471">
        <v>84251</v>
      </c>
      <c r="N471">
        <f t="shared" si="15"/>
        <v>27.427136742441427</v>
      </c>
      <c r="O471" s="4">
        <v>46126</v>
      </c>
      <c r="P471" s="4">
        <v>46134</v>
      </c>
      <c r="Q471" t="s">
        <v>21</v>
      </c>
      <c r="R471">
        <f>Table2[[#This Row],[End_Date]]-Table2[[#This Row],[Start_Date]]</f>
        <v>8</v>
      </c>
      <c r="S471" t="str">
        <f>TEXT(Table2[[#This Row],[Start_Date]],"MMM")</f>
        <v>Apr</v>
      </c>
      <c r="T471">
        <f>YEAR(Table2[[#This Row],[Start_Date]])</f>
        <v>2026</v>
      </c>
      <c r="U471">
        <f>Table2[[#This Row],[Campaign_Cost (₹)]]/Table2[[#This Row],[Reach]]</f>
        <v>0.11471774718267705</v>
      </c>
      <c r="V471">
        <f>Table2[[#This Row],[Revenue_Generated (₹)]]/Table2[[#This Row],[Reach]]</f>
        <v>0.14618154057031812</v>
      </c>
    </row>
    <row r="472" spans="1:22" x14ac:dyDescent="0.3">
      <c r="A472" t="s">
        <v>523</v>
      </c>
      <c r="B472" t="s">
        <v>75</v>
      </c>
      <c r="C472" t="s">
        <v>19</v>
      </c>
      <c r="D472" t="s">
        <v>20</v>
      </c>
      <c r="E472">
        <v>1352302</v>
      </c>
      <c r="F472">
        <v>585983</v>
      </c>
      <c r="G472">
        <v>669472</v>
      </c>
      <c r="H472">
        <v>37950</v>
      </c>
      <c r="I472">
        <v>1181</v>
      </c>
      <c r="J472">
        <v>2587</v>
      </c>
      <c r="K472">
        <f t="shared" si="14"/>
        <v>7.1193191611360742</v>
      </c>
      <c r="L472">
        <v>441966</v>
      </c>
      <c r="M472">
        <v>860562</v>
      </c>
      <c r="N472">
        <f t="shared" si="15"/>
        <v>94.712262934252863</v>
      </c>
      <c r="O472" s="4">
        <v>45688</v>
      </c>
      <c r="P472" s="4">
        <v>45703</v>
      </c>
      <c r="Q472" t="s">
        <v>41</v>
      </c>
      <c r="R472">
        <f>Table2[[#This Row],[End_Date]]-Table2[[#This Row],[Start_Date]]</f>
        <v>15</v>
      </c>
      <c r="S472" t="str">
        <f>TEXT(Table2[[#This Row],[Start_Date]],"MMM")</f>
        <v>Jan</v>
      </c>
      <c r="T472">
        <f>YEAR(Table2[[#This Row],[Start_Date]])</f>
        <v>2025</v>
      </c>
      <c r="U472">
        <f>Table2[[#This Row],[Campaign_Cost (₹)]]/Table2[[#This Row],[Reach]]</f>
        <v>0.7542300715208462</v>
      </c>
      <c r="V472">
        <f>Table2[[#This Row],[Revenue_Generated (₹)]]/Table2[[#This Row],[Reach]]</f>
        <v>1.4685784399888735</v>
      </c>
    </row>
    <row r="473" spans="1:22" x14ac:dyDescent="0.3">
      <c r="A473" t="s">
        <v>524</v>
      </c>
      <c r="B473" t="s">
        <v>18</v>
      </c>
      <c r="C473" t="s">
        <v>19</v>
      </c>
      <c r="D473" t="s">
        <v>51</v>
      </c>
      <c r="E473">
        <v>589259</v>
      </c>
      <c r="F473">
        <v>485809</v>
      </c>
      <c r="G473">
        <v>884680</v>
      </c>
      <c r="H473">
        <v>67031</v>
      </c>
      <c r="I473">
        <v>3916</v>
      </c>
      <c r="J473">
        <v>2105</v>
      </c>
      <c r="K473">
        <f t="shared" si="14"/>
        <v>15.037185395906622</v>
      </c>
      <c r="L473">
        <v>162122</v>
      </c>
      <c r="M473">
        <v>266983</v>
      </c>
      <c r="N473">
        <f t="shared" si="15"/>
        <v>64.680302488249581</v>
      </c>
      <c r="O473" s="4">
        <v>46082</v>
      </c>
      <c r="P473" s="4">
        <v>46106</v>
      </c>
      <c r="Q473" t="s">
        <v>25</v>
      </c>
      <c r="R473">
        <f>Table2[[#This Row],[End_Date]]-Table2[[#This Row],[Start_Date]]</f>
        <v>24</v>
      </c>
      <c r="S473" t="str">
        <f>TEXT(Table2[[#This Row],[Start_Date]],"MMM")</f>
        <v>Mar</v>
      </c>
      <c r="T473">
        <f>YEAR(Table2[[#This Row],[Start_Date]])</f>
        <v>2026</v>
      </c>
      <c r="U473">
        <f>Table2[[#This Row],[Campaign_Cost (₹)]]/Table2[[#This Row],[Reach]]</f>
        <v>0.33371551371012065</v>
      </c>
      <c r="V473">
        <f>Table2[[#This Row],[Revenue_Generated (₹)]]/Table2[[#This Row],[Reach]]</f>
        <v>0.54956371742804266</v>
      </c>
    </row>
    <row r="474" spans="1:22" x14ac:dyDescent="0.3">
      <c r="A474" t="s">
        <v>525</v>
      </c>
      <c r="B474" t="s">
        <v>53</v>
      </c>
      <c r="C474" t="s">
        <v>33</v>
      </c>
      <c r="D474" t="s">
        <v>72</v>
      </c>
      <c r="E474">
        <v>408001</v>
      </c>
      <c r="F474">
        <v>120064</v>
      </c>
      <c r="G474">
        <v>184891</v>
      </c>
      <c r="H474">
        <v>13154</v>
      </c>
      <c r="I474">
        <v>813</v>
      </c>
      <c r="J474">
        <v>505</v>
      </c>
      <c r="K474">
        <f t="shared" si="14"/>
        <v>12.053571428571429</v>
      </c>
      <c r="L474">
        <v>272122</v>
      </c>
      <c r="M474">
        <v>933545</v>
      </c>
      <c r="N474">
        <f t="shared" si="15"/>
        <v>243.06120049095625</v>
      </c>
      <c r="O474" s="4">
        <v>46147</v>
      </c>
      <c r="P474" s="4">
        <v>46162</v>
      </c>
      <c r="Q474" t="s">
        <v>21</v>
      </c>
      <c r="R474">
        <f>Table2[[#This Row],[End_Date]]-Table2[[#This Row],[Start_Date]]</f>
        <v>15</v>
      </c>
      <c r="S474" t="str">
        <f>TEXT(Table2[[#This Row],[Start_Date]],"MMM")</f>
        <v>May</v>
      </c>
      <c r="T474">
        <f>YEAR(Table2[[#This Row],[Start_Date]])</f>
        <v>2026</v>
      </c>
      <c r="U474">
        <f>Table2[[#This Row],[Campaign_Cost (₹)]]/Table2[[#This Row],[Reach]]</f>
        <v>2.2664745469083156</v>
      </c>
      <c r="V474">
        <f>Table2[[#This Row],[Revenue_Generated (₹)]]/Table2[[#This Row],[Reach]]</f>
        <v>7.7753947894456292</v>
      </c>
    </row>
    <row r="475" spans="1:22" x14ac:dyDescent="0.3">
      <c r="A475" t="s">
        <v>526</v>
      </c>
      <c r="B475" t="s">
        <v>32</v>
      </c>
      <c r="C475" t="s">
        <v>37</v>
      </c>
      <c r="D475" t="s">
        <v>40</v>
      </c>
      <c r="E475">
        <v>988928</v>
      </c>
      <c r="F475">
        <v>713311</v>
      </c>
      <c r="G475">
        <v>1162243</v>
      </c>
      <c r="H475">
        <v>22868</v>
      </c>
      <c r="I475">
        <v>1890</v>
      </c>
      <c r="J475">
        <v>1190</v>
      </c>
      <c r="K475">
        <f t="shared" si="14"/>
        <v>3.6376839835639712</v>
      </c>
      <c r="L475">
        <v>355632</v>
      </c>
      <c r="M475">
        <v>1182636</v>
      </c>
      <c r="N475">
        <f t="shared" si="15"/>
        <v>232.54487785126199</v>
      </c>
      <c r="O475" s="4">
        <v>45976</v>
      </c>
      <c r="P475" s="4">
        <v>45990</v>
      </c>
      <c r="Q475" t="s">
        <v>78</v>
      </c>
      <c r="R475">
        <f>Table2[[#This Row],[End_Date]]-Table2[[#This Row],[Start_Date]]</f>
        <v>14</v>
      </c>
      <c r="S475" t="str">
        <f>TEXT(Table2[[#This Row],[Start_Date]],"MMM")</f>
        <v>Nov</v>
      </c>
      <c r="T475">
        <f>YEAR(Table2[[#This Row],[Start_Date]])</f>
        <v>2025</v>
      </c>
      <c r="U475">
        <f>Table2[[#This Row],[Campaign_Cost (₹)]]/Table2[[#This Row],[Reach]]</f>
        <v>0.49856514199276331</v>
      </c>
      <c r="V475">
        <f>Table2[[#This Row],[Revenue_Generated (₹)]]/Table2[[#This Row],[Reach]]</f>
        <v>1.6579528424488057</v>
      </c>
    </row>
    <row r="476" spans="1:22" x14ac:dyDescent="0.3">
      <c r="A476" t="s">
        <v>527</v>
      </c>
      <c r="B476" t="s">
        <v>45</v>
      </c>
      <c r="C476" t="s">
        <v>28</v>
      </c>
      <c r="D476" t="s">
        <v>24</v>
      </c>
      <c r="E476">
        <v>377586</v>
      </c>
      <c r="F476">
        <v>202204</v>
      </c>
      <c r="G476">
        <v>343238</v>
      </c>
      <c r="H476">
        <v>26477</v>
      </c>
      <c r="I476">
        <v>2203</v>
      </c>
      <c r="J476">
        <v>1466</v>
      </c>
      <c r="K476">
        <f t="shared" si="14"/>
        <v>14.908706059227313</v>
      </c>
      <c r="L476">
        <v>442526</v>
      </c>
      <c r="M476">
        <v>1859401</v>
      </c>
      <c r="N476">
        <f t="shared" si="15"/>
        <v>320.17892733986253</v>
      </c>
      <c r="O476" s="4">
        <v>45827</v>
      </c>
      <c r="P476" s="4">
        <v>45846</v>
      </c>
      <c r="Q476" t="s">
        <v>47</v>
      </c>
      <c r="R476">
        <f>Table2[[#This Row],[End_Date]]-Table2[[#This Row],[Start_Date]]</f>
        <v>19</v>
      </c>
      <c r="S476" t="str">
        <f>TEXT(Table2[[#This Row],[Start_Date]],"MMM")</f>
        <v>Jun</v>
      </c>
      <c r="T476">
        <f>YEAR(Table2[[#This Row],[Start_Date]])</f>
        <v>2025</v>
      </c>
      <c r="U476">
        <f>Table2[[#This Row],[Campaign_Cost (₹)]]/Table2[[#This Row],[Reach]]</f>
        <v>2.1885125912444856</v>
      </c>
      <c r="V476">
        <f>Table2[[#This Row],[Revenue_Generated (₹)]]/Table2[[#This Row],[Reach]]</f>
        <v>9.1956687305889098</v>
      </c>
    </row>
    <row r="477" spans="1:22" x14ac:dyDescent="0.3">
      <c r="A477" t="s">
        <v>528</v>
      </c>
      <c r="B477" t="s">
        <v>80</v>
      </c>
      <c r="C477" t="s">
        <v>28</v>
      </c>
      <c r="D477" t="s">
        <v>72</v>
      </c>
      <c r="E477">
        <v>1300196</v>
      </c>
      <c r="F477">
        <v>1023927</v>
      </c>
      <c r="G477">
        <v>1239337</v>
      </c>
      <c r="H477">
        <v>107195</v>
      </c>
      <c r="I477">
        <v>7022</v>
      </c>
      <c r="J477">
        <v>6320</v>
      </c>
      <c r="K477">
        <f t="shared" si="14"/>
        <v>11.772030623276855</v>
      </c>
      <c r="L477">
        <v>305871</v>
      </c>
      <c r="M477">
        <v>697424</v>
      </c>
      <c r="N477">
        <f t="shared" si="15"/>
        <v>128.01246277025282</v>
      </c>
      <c r="O477" s="4">
        <v>45998</v>
      </c>
      <c r="P477" s="4">
        <v>46019</v>
      </c>
      <c r="Q477" t="s">
        <v>25</v>
      </c>
      <c r="R477">
        <f>Table2[[#This Row],[End_Date]]-Table2[[#This Row],[Start_Date]]</f>
        <v>21</v>
      </c>
      <c r="S477" t="str">
        <f>TEXT(Table2[[#This Row],[Start_Date]],"MMM")</f>
        <v>Dec</v>
      </c>
      <c r="T477">
        <f>YEAR(Table2[[#This Row],[Start_Date]])</f>
        <v>2025</v>
      </c>
      <c r="U477">
        <f>Table2[[#This Row],[Campaign_Cost (₹)]]/Table2[[#This Row],[Reach]]</f>
        <v>0.29872344415178037</v>
      </c>
      <c r="V477">
        <f>Table2[[#This Row],[Revenue_Generated (₹)]]/Table2[[#This Row],[Reach]]</f>
        <v>0.68112668188259518</v>
      </c>
    </row>
    <row r="478" spans="1:22" x14ac:dyDescent="0.3">
      <c r="A478" t="s">
        <v>529</v>
      </c>
      <c r="B478" t="s">
        <v>75</v>
      </c>
      <c r="C478" t="s">
        <v>19</v>
      </c>
      <c r="D478" t="s">
        <v>29</v>
      </c>
      <c r="E478">
        <v>1944307</v>
      </c>
      <c r="F478">
        <v>601371</v>
      </c>
      <c r="G478">
        <v>920081</v>
      </c>
      <c r="H478">
        <v>28280</v>
      </c>
      <c r="I478">
        <v>2774</v>
      </c>
      <c r="J478">
        <v>1636</v>
      </c>
      <c r="K478">
        <f t="shared" si="14"/>
        <v>5.4359122737877286</v>
      </c>
      <c r="L478">
        <v>436603</v>
      </c>
      <c r="M478">
        <v>1929723</v>
      </c>
      <c r="N478">
        <f t="shared" si="15"/>
        <v>341.9857399055893</v>
      </c>
      <c r="O478" s="4">
        <v>46127</v>
      </c>
      <c r="P478" s="4">
        <v>46134</v>
      </c>
      <c r="Q478" t="s">
        <v>30</v>
      </c>
      <c r="R478">
        <f>Table2[[#This Row],[End_Date]]-Table2[[#This Row],[Start_Date]]</f>
        <v>7</v>
      </c>
      <c r="S478" t="str">
        <f>TEXT(Table2[[#This Row],[Start_Date]],"MMM")</f>
        <v>Apr</v>
      </c>
      <c r="T478">
        <f>YEAR(Table2[[#This Row],[Start_Date]])</f>
        <v>2026</v>
      </c>
      <c r="U478">
        <f>Table2[[#This Row],[Campaign_Cost (₹)]]/Table2[[#This Row],[Reach]]</f>
        <v>0.72601272758413693</v>
      </c>
      <c r="V478">
        <f>Table2[[#This Row],[Revenue_Generated (₹)]]/Table2[[#This Row],[Reach]]</f>
        <v>3.208872725821498</v>
      </c>
    </row>
    <row r="479" spans="1:22" x14ac:dyDescent="0.3">
      <c r="A479" t="s">
        <v>530</v>
      </c>
      <c r="B479" t="s">
        <v>63</v>
      </c>
      <c r="C479" t="s">
        <v>19</v>
      </c>
      <c r="D479" t="s">
        <v>72</v>
      </c>
      <c r="E479">
        <v>1874438</v>
      </c>
      <c r="F479">
        <v>1360753</v>
      </c>
      <c r="G479">
        <v>2334606</v>
      </c>
      <c r="H479">
        <v>181568</v>
      </c>
      <c r="I479">
        <v>8079</v>
      </c>
      <c r="J479">
        <v>13881</v>
      </c>
      <c r="K479">
        <f t="shared" si="14"/>
        <v>14.957012771605132</v>
      </c>
      <c r="L479">
        <v>288697</v>
      </c>
      <c r="M479">
        <v>1052261</v>
      </c>
      <c r="N479">
        <f t="shared" si="15"/>
        <v>264.48629532000678</v>
      </c>
      <c r="O479" s="4">
        <v>45966</v>
      </c>
      <c r="P479" s="4">
        <v>45996</v>
      </c>
      <c r="Q479" t="s">
        <v>54</v>
      </c>
      <c r="R479">
        <f>Table2[[#This Row],[End_Date]]-Table2[[#This Row],[Start_Date]]</f>
        <v>30</v>
      </c>
      <c r="S479" t="str">
        <f>TEXT(Table2[[#This Row],[Start_Date]],"MMM")</f>
        <v>Nov</v>
      </c>
      <c r="T479">
        <f>YEAR(Table2[[#This Row],[Start_Date]])</f>
        <v>2025</v>
      </c>
      <c r="U479">
        <f>Table2[[#This Row],[Campaign_Cost (₹)]]/Table2[[#This Row],[Reach]]</f>
        <v>0.21215973802740101</v>
      </c>
      <c r="V479">
        <f>Table2[[#This Row],[Revenue_Generated (₹)]]/Table2[[#This Row],[Reach]]</f>
        <v>0.77329316929670555</v>
      </c>
    </row>
    <row r="480" spans="1:22" x14ac:dyDescent="0.3">
      <c r="A480" t="s">
        <v>531</v>
      </c>
      <c r="B480" t="s">
        <v>103</v>
      </c>
      <c r="C480" t="s">
        <v>37</v>
      </c>
      <c r="D480" t="s">
        <v>72</v>
      </c>
      <c r="E480">
        <v>1112843</v>
      </c>
      <c r="F480">
        <v>496819</v>
      </c>
      <c r="G480">
        <v>1248399</v>
      </c>
      <c r="H480">
        <v>50361</v>
      </c>
      <c r="I480">
        <v>3476</v>
      </c>
      <c r="J480">
        <v>2296</v>
      </c>
      <c r="K480">
        <f t="shared" si="14"/>
        <v>11.298480935713007</v>
      </c>
      <c r="L480">
        <v>97751</v>
      </c>
      <c r="M480">
        <v>431489</v>
      </c>
      <c r="N480">
        <f t="shared" si="15"/>
        <v>341.41645609763583</v>
      </c>
      <c r="O480" s="4">
        <v>45889</v>
      </c>
      <c r="P480" s="4">
        <v>45918</v>
      </c>
      <c r="Q480" t="s">
        <v>47</v>
      </c>
      <c r="R480">
        <f>Table2[[#This Row],[End_Date]]-Table2[[#This Row],[Start_Date]]</f>
        <v>29</v>
      </c>
      <c r="S480" t="str">
        <f>TEXT(Table2[[#This Row],[Start_Date]],"MMM")</f>
        <v>Aug</v>
      </c>
      <c r="T480">
        <f>YEAR(Table2[[#This Row],[Start_Date]])</f>
        <v>2025</v>
      </c>
      <c r="U480">
        <f>Table2[[#This Row],[Campaign_Cost (₹)]]/Table2[[#This Row],[Reach]]</f>
        <v>0.19675374734058076</v>
      </c>
      <c r="V480">
        <f>Table2[[#This Row],[Revenue_Generated (₹)]]/Table2[[#This Row],[Reach]]</f>
        <v>0.86850341875008807</v>
      </c>
    </row>
    <row r="481" spans="1:22" x14ac:dyDescent="0.3">
      <c r="A481" t="s">
        <v>532</v>
      </c>
      <c r="B481" t="s">
        <v>39</v>
      </c>
      <c r="C481" t="s">
        <v>28</v>
      </c>
      <c r="D481" t="s">
        <v>58</v>
      </c>
      <c r="E481">
        <v>705402</v>
      </c>
      <c r="F481">
        <v>437130</v>
      </c>
      <c r="G481">
        <v>1171379</v>
      </c>
      <c r="H481">
        <v>12481</v>
      </c>
      <c r="I481">
        <v>1630</v>
      </c>
      <c r="J481">
        <v>1148</v>
      </c>
      <c r="K481">
        <f t="shared" si="14"/>
        <v>3.4907235833733674</v>
      </c>
      <c r="L481">
        <v>422162</v>
      </c>
      <c r="M481">
        <v>1894558</v>
      </c>
      <c r="N481">
        <f t="shared" si="15"/>
        <v>348.77511476636931</v>
      </c>
      <c r="O481" s="4">
        <v>45980</v>
      </c>
      <c r="P481" s="4">
        <v>45999</v>
      </c>
      <c r="Q481" t="s">
        <v>47</v>
      </c>
      <c r="R481">
        <f>Table2[[#This Row],[End_Date]]-Table2[[#This Row],[Start_Date]]</f>
        <v>19</v>
      </c>
      <c r="S481" t="str">
        <f>TEXT(Table2[[#This Row],[Start_Date]],"MMM")</f>
        <v>Nov</v>
      </c>
      <c r="T481">
        <f>YEAR(Table2[[#This Row],[Start_Date]])</f>
        <v>2025</v>
      </c>
      <c r="U481">
        <f>Table2[[#This Row],[Campaign_Cost (₹)]]/Table2[[#This Row],[Reach]]</f>
        <v>0.96575847002036008</v>
      </c>
      <c r="V481">
        <f>Table2[[#This Row],[Revenue_Generated (₹)]]/Table2[[#This Row],[Reach]]</f>
        <v>4.334083682199803</v>
      </c>
    </row>
    <row r="482" spans="1:22" x14ac:dyDescent="0.3">
      <c r="A482" t="s">
        <v>533</v>
      </c>
      <c r="B482" t="s">
        <v>39</v>
      </c>
      <c r="C482" t="s">
        <v>28</v>
      </c>
      <c r="D482" t="s">
        <v>24</v>
      </c>
      <c r="E482">
        <v>1533973</v>
      </c>
      <c r="F482">
        <v>752030</v>
      </c>
      <c r="G482">
        <v>1715670</v>
      </c>
      <c r="H482">
        <v>68228</v>
      </c>
      <c r="I482">
        <v>7000</v>
      </c>
      <c r="J482">
        <v>5770</v>
      </c>
      <c r="K482">
        <f t="shared" si="14"/>
        <v>10.770580960865923</v>
      </c>
      <c r="L482">
        <v>379499</v>
      </c>
      <c r="M482">
        <v>713843</v>
      </c>
      <c r="N482">
        <f t="shared" si="15"/>
        <v>88.101417922049862</v>
      </c>
      <c r="O482" s="4">
        <v>45816</v>
      </c>
      <c r="P482" s="4">
        <v>45834</v>
      </c>
      <c r="Q482" t="s">
        <v>25</v>
      </c>
      <c r="R482">
        <f>Table2[[#This Row],[End_Date]]-Table2[[#This Row],[Start_Date]]</f>
        <v>18</v>
      </c>
      <c r="S482" t="str">
        <f>TEXT(Table2[[#This Row],[Start_Date]],"MMM")</f>
        <v>Jun</v>
      </c>
      <c r="T482">
        <f>YEAR(Table2[[#This Row],[Start_Date]])</f>
        <v>2025</v>
      </c>
      <c r="U482">
        <f>Table2[[#This Row],[Campaign_Cost (₹)]]/Table2[[#This Row],[Reach]]</f>
        <v>0.50463279390449844</v>
      </c>
      <c r="V482">
        <f>Table2[[#This Row],[Revenue_Generated (₹)]]/Table2[[#This Row],[Reach]]</f>
        <v>0.94922144063401726</v>
      </c>
    </row>
    <row r="483" spans="1:22" x14ac:dyDescent="0.3">
      <c r="A483" t="s">
        <v>534</v>
      </c>
      <c r="B483" t="s">
        <v>18</v>
      </c>
      <c r="C483" t="s">
        <v>43</v>
      </c>
      <c r="D483" t="s">
        <v>20</v>
      </c>
      <c r="E483">
        <v>1720790</v>
      </c>
      <c r="F483">
        <v>891125</v>
      </c>
      <c r="G483">
        <v>1073364</v>
      </c>
      <c r="H483">
        <v>79546</v>
      </c>
      <c r="I483">
        <v>5146</v>
      </c>
      <c r="J483">
        <v>4902</v>
      </c>
      <c r="K483">
        <f t="shared" si="14"/>
        <v>10.054032823677936</v>
      </c>
      <c r="L483">
        <v>298928</v>
      </c>
      <c r="M483">
        <v>857882</v>
      </c>
      <c r="N483">
        <f t="shared" si="15"/>
        <v>186.9861638923085</v>
      </c>
      <c r="O483" s="4">
        <v>45808</v>
      </c>
      <c r="P483" s="4">
        <v>45831</v>
      </c>
      <c r="Q483" t="s">
        <v>21</v>
      </c>
      <c r="R483">
        <f>Table2[[#This Row],[End_Date]]-Table2[[#This Row],[Start_Date]]</f>
        <v>23</v>
      </c>
      <c r="S483" t="str">
        <f>TEXT(Table2[[#This Row],[Start_Date]],"MMM")</f>
        <v>May</v>
      </c>
      <c r="T483">
        <f>YEAR(Table2[[#This Row],[Start_Date]])</f>
        <v>2025</v>
      </c>
      <c r="U483">
        <f>Table2[[#This Row],[Campaign_Cost (₹)]]/Table2[[#This Row],[Reach]]</f>
        <v>0.33545013325852152</v>
      </c>
      <c r="V483">
        <f>Table2[[#This Row],[Revenue_Generated (₹)]]/Table2[[#This Row],[Reach]]</f>
        <v>0.96269546921026794</v>
      </c>
    </row>
    <row r="484" spans="1:22" x14ac:dyDescent="0.3">
      <c r="A484" t="s">
        <v>535</v>
      </c>
      <c r="B484" t="s">
        <v>61</v>
      </c>
      <c r="C484" t="s">
        <v>19</v>
      </c>
      <c r="D484" t="s">
        <v>51</v>
      </c>
      <c r="E484">
        <v>617922</v>
      </c>
      <c r="F484">
        <v>509758</v>
      </c>
      <c r="G484">
        <v>894930</v>
      </c>
      <c r="H484">
        <v>13109</v>
      </c>
      <c r="I484">
        <v>1260</v>
      </c>
      <c r="J484">
        <v>1238</v>
      </c>
      <c r="K484">
        <f t="shared" si="14"/>
        <v>3.0616488608320025</v>
      </c>
      <c r="L484">
        <v>225576</v>
      </c>
      <c r="M484">
        <v>347446</v>
      </c>
      <c r="N484">
        <f t="shared" si="15"/>
        <v>54.026137532361595</v>
      </c>
      <c r="O484" s="4">
        <v>45847</v>
      </c>
      <c r="P484" s="4">
        <v>45862</v>
      </c>
      <c r="Q484" t="s">
        <v>78</v>
      </c>
      <c r="R484">
        <f>Table2[[#This Row],[End_Date]]-Table2[[#This Row],[Start_Date]]</f>
        <v>15</v>
      </c>
      <c r="S484" t="str">
        <f>TEXT(Table2[[#This Row],[Start_Date]],"MMM")</f>
        <v>Jul</v>
      </c>
      <c r="T484">
        <f>YEAR(Table2[[#This Row],[Start_Date]])</f>
        <v>2025</v>
      </c>
      <c r="U484">
        <f>Table2[[#This Row],[Campaign_Cost (₹)]]/Table2[[#This Row],[Reach]]</f>
        <v>0.4425158604671236</v>
      </c>
      <c r="V484">
        <f>Table2[[#This Row],[Revenue_Generated (₹)]]/Table2[[#This Row],[Reach]]</f>
        <v>0.68159008784560515</v>
      </c>
    </row>
    <row r="485" spans="1:22" x14ac:dyDescent="0.3">
      <c r="A485" t="s">
        <v>536</v>
      </c>
      <c r="B485" t="s">
        <v>53</v>
      </c>
      <c r="C485" t="s">
        <v>37</v>
      </c>
      <c r="D485" t="s">
        <v>29</v>
      </c>
      <c r="E485">
        <v>417168</v>
      </c>
      <c r="F485">
        <v>126760</v>
      </c>
      <c r="G485">
        <v>216728</v>
      </c>
      <c r="H485">
        <v>7233</v>
      </c>
      <c r="I485">
        <v>372</v>
      </c>
      <c r="J485">
        <v>493</v>
      </c>
      <c r="K485">
        <f t="shared" si="14"/>
        <v>6.3884506153360681</v>
      </c>
      <c r="L485">
        <v>215676</v>
      </c>
      <c r="M485">
        <v>912874</v>
      </c>
      <c r="N485">
        <f t="shared" si="15"/>
        <v>323.2617444685547</v>
      </c>
      <c r="O485" s="4">
        <v>45842</v>
      </c>
      <c r="P485" s="4">
        <v>45850</v>
      </c>
      <c r="Q485" t="s">
        <v>30</v>
      </c>
      <c r="R485">
        <f>Table2[[#This Row],[End_Date]]-Table2[[#This Row],[Start_Date]]</f>
        <v>8</v>
      </c>
      <c r="S485" t="str">
        <f>TEXT(Table2[[#This Row],[Start_Date]],"MMM")</f>
        <v>Jul</v>
      </c>
      <c r="T485">
        <f>YEAR(Table2[[#This Row],[Start_Date]])</f>
        <v>2025</v>
      </c>
      <c r="U485">
        <f>Table2[[#This Row],[Campaign_Cost (₹)]]/Table2[[#This Row],[Reach]]</f>
        <v>1.7014515620069424</v>
      </c>
      <c r="V485">
        <f>Table2[[#This Row],[Revenue_Generated (₹)]]/Table2[[#This Row],[Reach]]</f>
        <v>7.2015935626380561</v>
      </c>
    </row>
    <row r="486" spans="1:22" x14ac:dyDescent="0.3">
      <c r="A486" t="s">
        <v>537</v>
      </c>
      <c r="B486" t="s">
        <v>45</v>
      </c>
      <c r="C486" t="s">
        <v>28</v>
      </c>
      <c r="D486" t="s">
        <v>58</v>
      </c>
      <c r="E486">
        <v>1044825</v>
      </c>
      <c r="F486">
        <v>666469</v>
      </c>
      <c r="G486">
        <v>1176139</v>
      </c>
      <c r="H486">
        <v>56247</v>
      </c>
      <c r="I486">
        <v>1847</v>
      </c>
      <c r="J486">
        <v>5569</v>
      </c>
      <c r="K486">
        <f t="shared" si="14"/>
        <v>9.5522822516876253</v>
      </c>
      <c r="L486">
        <v>364502</v>
      </c>
      <c r="M486">
        <v>1048118</v>
      </c>
      <c r="N486">
        <f t="shared" si="15"/>
        <v>187.54794212377433</v>
      </c>
      <c r="O486" s="4">
        <v>45993</v>
      </c>
      <c r="P486" s="4">
        <v>46018</v>
      </c>
      <c r="Q486" t="s">
        <v>78</v>
      </c>
      <c r="R486">
        <f>Table2[[#This Row],[End_Date]]-Table2[[#This Row],[Start_Date]]</f>
        <v>25</v>
      </c>
      <c r="S486" t="str">
        <f>TEXT(Table2[[#This Row],[Start_Date]],"MMM")</f>
        <v>Dec</v>
      </c>
      <c r="T486">
        <f>YEAR(Table2[[#This Row],[Start_Date]])</f>
        <v>2025</v>
      </c>
      <c r="U486">
        <f>Table2[[#This Row],[Campaign_Cost (₹)]]/Table2[[#This Row],[Reach]]</f>
        <v>0.54691516034504228</v>
      </c>
      <c r="V486">
        <f>Table2[[#This Row],[Revenue_Generated (₹)]]/Table2[[#This Row],[Reach]]</f>
        <v>1.5726432887351101</v>
      </c>
    </row>
    <row r="487" spans="1:22" x14ac:dyDescent="0.3">
      <c r="A487" t="s">
        <v>538</v>
      </c>
      <c r="B487" t="s">
        <v>39</v>
      </c>
      <c r="C487" t="s">
        <v>28</v>
      </c>
      <c r="D487" t="s">
        <v>58</v>
      </c>
      <c r="E487">
        <v>364940</v>
      </c>
      <c r="F487">
        <v>276717</v>
      </c>
      <c r="G487">
        <v>663695</v>
      </c>
      <c r="H487">
        <v>31386</v>
      </c>
      <c r="I487">
        <v>1033</v>
      </c>
      <c r="J487">
        <v>2156</v>
      </c>
      <c r="K487">
        <f t="shared" si="14"/>
        <v>12.494714816942942</v>
      </c>
      <c r="L487">
        <v>323461</v>
      </c>
      <c r="M487">
        <v>428188</v>
      </c>
      <c r="N487">
        <f t="shared" si="15"/>
        <v>32.377009902275702</v>
      </c>
      <c r="O487" s="4">
        <v>46128</v>
      </c>
      <c r="P487" s="4">
        <v>46150</v>
      </c>
      <c r="Q487" t="s">
        <v>21</v>
      </c>
      <c r="R487">
        <f>Table2[[#This Row],[End_Date]]-Table2[[#This Row],[Start_Date]]</f>
        <v>22</v>
      </c>
      <c r="S487" t="str">
        <f>TEXT(Table2[[#This Row],[Start_Date]],"MMM")</f>
        <v>Apr</v>
      </c>
      <c r="T487">
        <f>YEAR(Table2[[#This Row],[Start_Date]])</f>
        <v>2026</v>
      </c>
      <c r="U487">
        <f>Table2[[#This Row],[Campaign_Cost (₹)]]/Table2[[#This Row],[Reach]]</f>
        <v>1.1689234850045354</v>
      </c>
      <c r="V487">
        <f>Table2[[#This Row],[Revenue_Generated (₹)]]/Table2[[#This Row],[Reach]]</f>
        <v>1.5473859574944799</v>
      </c>
    </row>
    <row r="488" spans="1:22" x14ac:dyDescent="0.3">
      <c r="A488" t="s">
        <v>539</v>
      </c>
      <c r="B488" t="s">
        <v>49</v>
      </c>
      <c r="C488" t="s">
        <v>28</v>
      </c>
      <c r="D488" t="s">
        <v>51</v>
      </c>
      <c r="E488">
        <v>402210</v>
      </c>
      <c r="F488">
        <v>180927</v>
      </c>
      <c r="G488">
        <v>416706</v>
      </c>
      <c r="H488">
        <v>24008</v>
      </c>
      <c r="I488">
        <v>2786</v>
      </c>
      <c r="J488">
        <v>842</v>
      </c>
      <c r="K488">
        <f t="shared" si="14"/>
        <v>15.274668789069626</v>
      </c>
      <c r="L488">
        <v>405803</v>
      </c>
      <c r="M488">
        <v>1907350</v>
      </c>
      <c r="N488">
        <f t="shared" si="15"/>
        <v>370.01870365670044</v>
      </c>
      <c r="O488" s="4">
        <v>46081</v>
      </c>
      <c r="P488" s="4">
        <v>46099</v>
      </c>
      <c r="Q488" t="s">
        <v>25</v>
      </c>
      <c r="R488">
        <f>Table2[[#This Row],[End_Date]]-Table2[[#This Row],[Start_Date]]</f>
        <v>18</v>
      </c>
      <c r="S488" t="str">
        <f>TEXT(Table2[[#This Row],[Start_Date]],"MMM")</f>
        <v>Feb</v>
      </c>
      <c r="T488">
        <f>YEAR(Table2[[#This Row],[Start_Date]])</f>
        <v>2026</v>
      </c>
      <c r="U488">
        <f>Table2[[#This Row],[Campaign_Cost (₹)]]/Table2[[#This Row],[Reach]]</f>
        <v>2.2429101239726519</v>
      </c>
      <c r="V488">
        <f>Table2[[#This Row],[Revenue_Generated (₹)]]/Table2[[#This Row],[Reach]]</f>
        <v>10.542097088881151</v>
      </c>
    </row>
    <row r="489" spans="1:22" x14ac:dyDescent="0.3">
      <c r="A489" t="s">
        <v>540</v>
      </c>
      <c r="B489" t="s">
        <v>45</v>
      </c>
      <c r="C489" t="s">
        <v>28</v>
      </c>
      <c r="D489" t="s">
        <v>58</v>
      </c>
      <c r="E489">
        <v>1441485</v>
      </c>
      <c r="F489">
        <v>1181389</v>
      </c>
      <c r="G489">
        <v>1792899</v>
      </c>
      <c r="H489">
        <v>122974</v>
      </c>
      <c r="I489">
        <v>6316</v>
      </c>
      <c r="J489">
        <v>4362</v>
      </c>
      <c r="K489">
        <f t="shared" si="14"/>
        <v>11.313123789031385</v>
      </c>
      <c r="L489">
        <v>434424</v>
      </c>
      <c r="M489">
        <v>1534321</v>
      </c>
      <c r="N489">
        <f t="shared" si="15"/>
        <v>253.18513710108098</v>
      </c>
      <c r="O489" s="4">
        <v>45918</v>
      </c>
      <c r="P489" s="4">
        <v>45935</v>
      </c>
      <c r="Q489" t="s">
        <v>54</v>
      </c>
      <c r="R489">
        <f>Table2[[#This Row],[End_Date]]-Table2[[#This Row],[Start_Date]]</f>
        <v>17</v>
      </c>
      <c r="S489" t="str">
        <f>TEXT(Table2[[#This Row],[Start_Date]],"MMM")</f>
        <v>Sep</v>
      </c>
      <c r="T489">
        <f>YEAR(Table2[[#This Row],[Start_Date]])</f>
        <v>2025</v>
      </c>
      <c r="U489">
        <f>Table2[[#This Row],[Campaign_Cost (₹)]]/Table2[[#This Row],[Reach]]</f>
        <v>0.36772307851181957</v>
      </c>
      <c r="V489">
        <f>Table2[[#This Row],[Revenue_Generated (₹)]]/Table2[[#This Row],[Reach]]</f>
        <v>1.2987432589942856</v>
      </c>
    </row>
    <row r="490" spans="1:22" x14ac:dyDescent="0.3">
      <c r="A490" t="s">
        <v>541</v>
      </c>
      <c r="B490" t="s">
        <v>75</v>
      </c>
      <c r="C490" t="s">
        <v>33</v>
      </c>
      <c r="D490" t="s">
        <v>24</v>
      </c>
      <c r="E490">
        <v>983884</v>
      </c>
      <c r="F490">
        <v>608483</v>
      </c>
      <c r="G490">
        <v>1219308</v>
      </c>
      <c r="H490">
        <v>30725</v>
      </c>
      <c r="I490">
        <v>1029</v>
      </c>
      <c r="J490">
        <v>2738</v>
      </c>
      <c r="K490">
        <f t="shared" si="14"/>
        <v>5.6685231962109048</v>
      </c>
      <c r="L490">
        <v>230997</v>
      </c>
      <c r="M490">
        <v>824930</v>
      </c>
      <c r="N490">
        <f t="shared" si="15"/>
        <v>257.11719199816446</v>
      </c>
      <c r="O490" s="4">
        <v>45905</v>
      </c>
      <c r="P490" s="4">
        <v>45916</v>
      </c>
      <c r="Q490" t="s">
        <v>30</v>
      </c>
      <c r="R490">
        <f>Table2[[#This Row],[End_Date]]-Table2[[#This Row],[Start_Date]]</f>
        <v>11</v>
      </c>
      <c r="S490" t="str">
        <f>TEXT(Table2[[#This Row],[Start_Date]],"MMM")</f>
        <v>Sep</v>
      </c>
      <c r="T490">
        <f>YEAR(Table2[[#This Row],[Start_Date]])</f>
        <v>2025</v>
      </c>
      <c r="U490">
        <f>Table2[[#This Row],[Campaign_Cost (₹)]]/Table2[[#This Row],[Reach]]</f>
        <v>0.37962769707617139</v>
      </c>
      <c r="V490">
        <f>Table2[[#This Row],[Revenue_Generated (₹)]]/Table2[[#This Row],[Reach]]</f>
        <v>1.3557157718457213</v>
      </c>
    </row>
    <row r="491" spans="1:22" x14ac:dyDescent="0.3">
      <c r="A491" t="s">
        <v>542</v>
      </c>
      <c r="B491" t="s">
        <v>18</v>
      </c>
      <c r="C491" t="s">
        <v>37</v>
      </c>
      <c r="D491" t="s">
        <v>40</v>
      </c>
      <c r="E491">
        <v>669856</v>
      </c>
      <c r="F491">
        <v>337944</v>
      </c>
      <c r="G491">
        <v>611517</v>
      </c>
      <c r="H491">
        <v>33406</v>
      </c>
      <c r="I491">
        <v>1581</v>
      </c>
      <c r="J491">
        <v>1388</v>
      </c>
      <c r="K491">
        <f t="shared" si="14"/>
        <v>10.763617640792557</v>
      </c>
      <c r="L491">
        <v>67119</v>
      </c>
      <c r="M491">
        <v>123828</v>
      </c>
      <c r="N491">
        <f t="shared" si="15"/>
        <v>84.49023376391186</v>
      </c>
      <c r="O491" s="4">
        <v>45944</v>
      </c>
      <c r="P491" s="4">
        <v>45953</v>
      </c>
      <c r="Q491" t="s">
        <v>30</v>
      </c>
      <c r="R491">
        <f>Table2[[#This Row],[End_Date]]-Table2[[#This Row],[Start_Date]]</f>
        <v>9</v>
      </c>
      <c r="S491" t="str">
        <f>TEXT(Table2[[#This Row],[Start_Date]],"MMM")</f>
        <v>Oct</v>
      </c>
      <c r="T491">
        <f>YEAR(Table2[[#This Row],[Start_Date]])</f>
        <v>2025</v>
      </c>
      <c r="U491">
        <f>Table2[[#This Row],[Campaign_Cost (₹)]]/Table2[[#This Row],[Reach]]</f>
        <v>0.19860982884738299</v>
      </c>
      <c r="V491">
        <f>Table2[[#This Row],[Revenue_Generated (₹)]]/Table2[[#This Row],[Reach]]</f>
        <v>0.36641573751864215</v>
      </c>
    </row>
    <row r="492" spans="1:22" x14ac:dyDescent="0.3">
      <c r="A492" t="s">
        <v>543</v>
      </c>
      <c r="B492" t="s">
        <v>75</v>
      </c>
      <c r="C492" t="s">
        <v>19</v>
      </c>
      <c r="D492" t="s">
        <v>24</v>
      </c>
      <c r="E492">
        <v>481985</v>
      </c>
      <c r="F492">
        <v>404845</v>
      </c>
      <c r="G492">
        <v>912054</v>
      </c>
      <c r="H492">
        <v>29795</v>
      </c>
      <c r="I492">
        <v>3094</v>
      </c>
      <c r="J492">
        <v>1386</v>
      </c>
      <c r="K492">
        <f t="shared" si="14"/>
        <v>8.4662031147723216</v>
      </c>
      <c r="L492">
        <v>429264</v>
      </c>
      <c r="M492">
        <v>1023135</v>
      </c>
      <c r="N492">
        <f t="shared" si="15"/>
        <v>138.34633232695964</v>
      </c>
      <c r="O492" s="4">
        <v>46146</v>
      </c>
      <c r="P492" s="4">
        <v>46165</v>
      </c>
      <c r="Q492" t="s">
        <v>41</v>
      </c>
      <c r="R492">
        <f>Table2[[#This Row],[End_Date]]-Table2[[#This Row],[Start_Date]]</f>
        <v>19</v>
      </c>
      <c r="S492" t="str">
        <f>TEXT(Table2[[#This Row],[Start_Date]],"MMM")</f>
        <v>May</v>
      </c>
      <c r="T492">
        <f>YEAR(Table2[[#This Row],[Start_Date]])</f>
        <v>2026</v>
      </c>
      <c r="U492">
        <f>Table2[[#This Row],[Campaign_Cost (₹)]]/Table2[[#This Row],[Reach]]</f>
        <v>1.0603169114105397</v>
      </c>
      <c r="V492">
        <f>Table2[[#This Row],[Revenue_Generated (₹)]]/Table2[[#This Row],[Reach]]</f>
        <v>2.5272264693895194</v>
      </c>
    </row>
    <row r="493" spans="1:22" x14ac:dyDescent="0.3">
      <c r="A493" t="s">
        <v>544</v>
      </c>
      <c r="B493" t="s">
        <v>45</v>
      </c>
      <c r="C493" t="s">
        <v>28</v>
      </c>
      <c r="D493" t="s">
        <v>29</v>
      </c>
      <c r="E493">
        <v>272870</v>
      </c>
      <c r="F493">
        <v>112369</v>
      </c>
      <c r="G493">
        <v>255054</v>
      </c>
      <c r="H493">
        <v>3930</v>
      </c>
      <c r="I493">
        <v>316</v>
      </c>
      <c r="J493">
        <v>272</v>
      </c>
      <c r="K493">
        <f t="shared" si="14"/>
        <v>4.020681860655519</v>
      </c>
      <c r="L493">
        <v>112149</v>
      </c>
      <c r="M493">
        <v>367950</v>
      </c>
      <c r="N493">
        <f t="shared" si="15"/>
        <v>228.09030842896502</v>
      </c>
      <c r="O493" s="4">
        <v>45889</v>
      </c>
      <c r="P493" s="4">
        <v>45901</v>
      </c>
      <c r="Q493" t="s">
        <v>41</v>
      </c>
      <c r="R493">
        <f>Table2[[#This Row],[End_Date]]-Table2[[#This Row],[Start_Date]]</f>
        <v>12</v>
      </c>
      <c r="S493" t="str">
        <f>TEXT(Table2[[#This Row],[Start_Date]],"MMM")</f>
        <v>Aug</v>
      </c>
      <c r="T493">
        <f>YEAR(Table2[[#This Row],[Start_Date]])</f>
        <v>2025</v>
      </c>
      <c r="U493">
        <f>Table2[[#This Row],[Campaign_Cost (₹)]]/Table2[[#This Row],[Reach]]</f>
        <v>0.99804216465395257</v>
      </c>
      <c r="V493">
        <f>Table2[[#This Row],[Revenue_Generated (₹)]]/Table2[[#This Row],[Reach]]</f>
        <v>3.274479616264272</v>
      </c>
    </row>
    <row r="494" spans="1:22" x14ac:dyDescent="0.3">
      <c r="A494" t="s">
        <v>545</v>
      </c>
      <c r="B494" t="s">
        <v>80</v>
      </c>
      <c r="C494" t="s">
        <v>37</v>
      </c>
      <c r="D494" t="s">
        <v>24</v>
      </c>
      <c r="E494">
        <v>897047</v>
      </c>
      <c r="F494">
        <v>541452</v>
      </c>
      <c r="G494">
        <v>1373639</v>
      </c>
      <c r="H494">
        <v>25957</v>
      </c>
      <c r="I494">
        <v>2533</v>
      </c>
      <c r="J494">
        <v>1179</v>
      </c>
      <c r="K494">
        <f t="shared" si="14"/>
        <v>5.4795254242296645</v>
      </c>
      <c r="L494">
        <v>112285</v>
      </c>
      <c r="M494">
        <v>220913</v>
      </c>
      <c r="N494">
        <f t="shared" si="15"/>
        <v>96.743109052856568</v>
      </c>
      <c r="O494" s="4">
        <v>45761</v>
      </c>
      <c r="P494" s="4">
        <v>45781</v>
      </c>
      <c r="Q494" t="s">
        <v>25</v>
      </c>
      <c r="R494">
        <f>Table2[[#This Row],[End_Date]]-Table2[[#This Row],[Start_Date]]</f>
        <v>20</v>
      </c>
      <c r="S494" t="str">
        <f>TEXT(Table2[[#This Row],[Start_Date]],"MMM")</f>
        <v>Apr</v>
      </c>
      <c r="T494">
        <f>YEAR(Table2[[#This Row],[Start_Date]])</f>
        <v>2025</v>
      </c>
      <c r="U494">
        <f>Table2[[#This Row],[Campaign_Cost (₹)]]/Table2[[#This Row],[Reach]]</f>
        <v>0.20737756994156453</v>
      </c>
      <c r="V494">
        <f>Table2[[#This Row],[Revenue_Generated (₹)]]/Table2[[#This Row],[Reach]]</f>
        <v>0.40800107858129619</v>
      </c>
    </row>
    <row r="495" spans="1:22" x14ac:dyDescent="0.3">
      <c r="A495" t="s">
        <v>546</v>
      </c>
      <c r="B495" t="s">
        <v>32</v>
      </c>
      <c r="C495" t="s">
        <v>37</v>
      </c>
      <c r="D495" t="s">
        <v>46</v>
      </c>
      <c r="E495">
        <v>1531330</v>
      </c>
      <c r="F495">
        <v>1365036</v>
      </c>
      <c r="G495">
        <v>3363437</v>
      </c>
      <c r="H495">
        <v>65305</v>
      </c>
      <c r="I495">
        <v>3590</v>
      </c>
      <c r="J495">
        <v>4187</v>
      </c>
      <c r="K495">
        <f t="shared" si="14"/>
        <v>5.3538514735142515</v>
      </c>
      <c r="L495">
        <v>69204</v>
      </c>
      <c r="M495">
        <v>139151</v>
      </c>
      <c r="N495">
        <f t="shared" si="15"/>
        <v>101.07363736200219</v>
      </c>
      <c r="O495" s="4">
        <v>45684</v>
      </c>
      <c r="P495" s="4">
        <v>45714</v>
      </c>
      <c r="Q495" t="s">
        <v>47</v>
      </c>
      <c r="R495">
        <f>Table2[[#This Row],[End_Date]]-Table2[[#This Row],[Start_Date]]</f>
        <v>30</v>
      </c>
      <c r="S495" t="str">
        <f>TEXT(Table2[[#This Row],[Start_Date]],"MMM")</f>
        <v>Jan</v>
      </c>
      <c r="T495">
        <f>YEAR(Table2[[#This Row],[Start_Date]])</f>
        <v>2025</v>
      </c>
      <c r="U495">
        <f>Table2[[#This Row],[Campaign_Cost (₹)]]/Table2[[#This Row],[Reach]]</f>
        <v>5.0697564020289576E-2</v>
      </c>
      <c r="V495">
        <f>Table2[[#This Row],[Revenue_Generated (₹)]]/Table2[[#This Row],[Reach]]</f>
        <v>0.10193943602952596</v>
      </c>
    </row>
    <row r="496" spans="1:22" x14ac:dyDescent="0.3">
      <c r="A496" t="s">
        <v>547</v>
      </c>
      <c r="B496" t="s">
        <v>61</v>
      </c>
      <c r="C496" t="s">
        <v>33</v>
      </c>
      <c r="D496" t="s">
        <v>46</v>
      </c>
      <c r="E496">
        <v>73104</v>
      </c>
      <c r="F496">
        <v>28715</v>
      </c>
      <c r="G496">
        <v>45593</v>
      </c>
      <c r="H496">
        <v>1197</v>
      </c>
      <c r="I496">
        <v>171</v>
      </c>
      <c r="J496">
        <v>95</v>
      </c>
      <c r="K496">
        <f t="shared" si="14"/>
        <v>5.094898136862267</v>
      </c>
      <c r="L496">
        <v>308639</v>
      </c>
      <c r="M496">
        <v>454619</v>
      </c>
      <c r="N496">
        <f t="shared" si="15"/>
        <v>47.29797595248818</v>
      </c>
      <c r="O496" s="4">
        <v>45970</v>
      </c>
      <c r="P496" s="4">
        <v>45998</v>
      </c>
      <c r="Q496" t="s">
        <v>54</v>
      </c>
      <c r="R496">
        <f>Table2[[#This Row],[End_Date]]-Table2[[#This Row],[Start_Date]]</f>
        <v>28</v>
      </c>
      <c r="S496" t="str">
        <f>TEXT(Table2[[#This Row],[Start_Date]],"MMM")</f>
        <v>Nov</v>
      </c>
      <c r="T496">
        <f>YEAR(Table2[[#This Row],[Start_Date]])</f>
        <v>2025</v>
      </c>
      <c r="U496">
        <f>Table2[[#This Row],[Campaign_Cost (₹)]]/Table2[[#This Row],[Reach]]</f>
        <v>10.748354518544314</v>
      </c>
      <c r="V496">
        <f>Table2[[#This Row],[Revenue_Generated (₹)]]/Table2[[#This Row],[Reach]]</f>
        <v>15.832108654013581</v>
      </c>
    </row>
    <row r="497" spans="1:22" x14ac:dyDescent="0.3">
      <c r="A497" t="s">
        <v>548</v>
      </c>
      <c r="B497" t="s">
        <v>36</v>
      </c>
      <c r="C497" t="s">
        <v>37</v>
      </c>
      <c r="D497" t="s">
        <v>46</v>
      </c>
      <c r="E497">
        <v>936730</v>
      </c>
      <c r="F497">
        <v>505770</v>
      </c>
      <c r="G497">
        <v>1253392</v>
      </c>
      <c r="H497">
        <v>61476</v>
      </c>
      <c r="I497">
        <v>2907</v>
      </c>
      <c r="J497">
        <v>4228</v>
      </c>
      <c r="K497">
        <f t="shared" si="14"/>
        <v>13.565652371631373</v>
      </c>
      <c r="L497">
        <v>483449</v>
      </c>
      <c r="M497">
        <v>1765592</v>
      </c>
      <c r="N497">
        <f t="shared" si="15"/>
        <v>265.20749861929596</v>
      </c>
      <c r="O497" s="4">
        <v>46104</v>
      </c>
      <c r="P497" s="4">
        <v>46133</v>
      </c>
      <c r="Q497" t="s">
        <v>30</v>
      </c>
      <c r="R497">
        <f>Table2[[#This Row],[End_Date]]-Table2[[#This Row],[Start_Date]]</f>
        <v>29</v>
      </c>
      <c r="S497" t="str">
        <f>TEXT(Table2[[#This Row],[Start_Date]],"MMM")</f>
        <v>Mar</v>
      </c>
      <c r="T497">
        <f>YEAR(Table2[[#This Row],[Start_Date]])</f>
        <v>2026</v>
      </c>
      <c r="U497">
        <f>Table2[[#This Row],[Campaign_Cost (₹)]]/Table2[[#This Row],[Reach]]</f>
        <v>0.955867291456591</v>
      </c>
      <c r="V497">
        <f>Table2[[#This Row],[Revenue_Generated (₹)]]/Table2[[#This Row],[Reach]]</f>
        <v>3.4908990252486309</v>
      </c>
    </row>
    <row r="498" spans="1:22" x14ac:dyDescent="0.3">
      <c r="A498" t="s">
        <v>549</v>
      </c>
      <c r="B498" t="s">
        <v>45</v>
      </c>
      <c r="C498" t="s">
        <v>43</v>
      </c>
      <c r="D498" t="s">
        <v>40</v>
      </c>
      <c r="E498">
        <v>1274251</v>
      </c>
      <c r="F498">
        <v>382665</v>
      </c>
      <c r="G498">
        <v>663768</v>
      </c>
      <c r="H498">
        <v>38822</v>
      </c>
      <c r="I498">
        <v>2060</v>
      </c>
      <c r="J498">
        <v>2076</v>
      </c>
      <c r="K498">
        <f t="shared" si="14"/>
        <v>11.226007081912377</v>
      </c>
      <c r="L498">
        <v>345056</v>
      </c>
      <c r="M498">
        <v>1046458</v>
      </c>
      <c r="N498">
        <f t="shared" si="15"/>
        <v>203.27193267179823</v>
      </c>
      <c r="O498" s="4">
        <v>46110</v>
      </c>
      <c r="P498" s="4">
        <v>46130</v>
      </c>
      <c r="Q498" t="s">
        <v>78</v>
      </c>
      <c r="R498">
        <f>Table2[[#This Row],[End_Date]]-Table2[[#This Row],[Start_Date]]</f>
        <v>20</v>
      </c>
      <c r="S498" t="str">
        <f>TEXT(Table2[[#This Row],[Start_Date]],"MMM")</f>
        <v>Mar</v>
      </c>
      <c r="T498">
        <f>YEAR(Table2[[#This Row],[Start_Date]])</f>
        <v>2026</v>
      </c>
      <c r="U498">
        <f>Table2[[#This Row],[Campaign_Cost (₹)]]/Table2[[#This Row],[Reach]]</f>
        <v>0.90171821305841926</v>
      </c>
      <c r="V498">
        <f>Table2[[#This Row],[Revenue_Generated (₹)]]/Table2[[#This Row],[Reach]]</f>
        <v>2.7346582519958709</v>
      </c>
    </row>
    <row r="499" spans="1:22" x14ac:dyDescent="0.3">
      <c r="A499" t="s">
        <v>550</v>
      </c>
      <c r="B499" t="s">
        <v>39</v>
      </c>
      <c r="C499" t="s">
        <v>33</v>
      </c>
      <c r="D499" t="s">
        <v>40</v>
      </c>
      <c r="E499">
        <v>1144547</v>
      </c>
      <c r="F499">
        <v>695601</v>
      </c>
      <c r="G499">
        <v>833962</v>
      </c>
      <c r="H499">
        <v>87594</v>
      </c>
      <c r="I499">
        <v>3496</v>
      </c>
      <c r="J499">
        <v>5900</v>
      </c>
      <c r="K499">
        <f t="shared" si="14"/>
        <v>13.943338206816838</v>
      </c>
      <c r="L499">
        <v>218544</v>
      </c>
      <c r="M499">
        <v>1028197</v>
      </c>
      <c r="N499">
        <f t="shared" si="15"/>
        <v>370.47596822607807</v>
      </c>
      <c r="O499" s="4">
        <v>45935</v>
      </c>
      <c r="P499" s="4">
        <v>45945</v>
      </c>
      <c r="Q499" t="s">
        <v>78</v>
      </c>
      <c r="R499">
        <f>Table2[[#This Row],[End_Date]]-Table2[[#This Row],[Start_Date]]</f>
        <v>10</v>
      </c>
      <c r="S499" t="str">
        <f>TEXT(Table2[[#This Row],[Start_Date]],"MMM")</f>
        <v>Oct</v>
      </c>
      <c r="T499">
        <f>YEAR(Table2[[#This Row],[Start_Date]])</f>
        <v>2025</v>
      </c>
      <c r="U499">
        <f>Table2[[#This Row],[Campaign_Cost (₹)]]/Table2[[#This Row],[Reach]]</f>
        <v>0.31418011187447975</v>
      </c>
      <c r="V499">
        <f>Table2[[#This Row],[Revenue_Generated (₹)]]/Table2[[#This Row],[Reach]]</f>
        <v>1.478141923315234</v>
      </c>
    </row>
    <row r="500" spans="1:22" x14ac:dyDescent="0.3">
      <c r="A500" t="s">
        <v>551</v>
      </c>
      <c r="B500" t="s">
        <v>61</v>
      </c>
      <c r="C500" t="s">
        <v>43</v>
      </c>
      <c r="D500" t="s">
        <v>24</v>
      </c>
      <c r="E500">
        <v>1691468</v>
      </c>
      <c r="F500">
        <v>1197882</v>
      </c>
      <c r="G500">
        <v>1914632</v>
      </c>
      <c r="H500">
        <v>52646</v>
      </c>
      <c r="I500">
        <v>6166</v>
      </c>
      <c r="J500">
        <v>2715</v>
      </c>
      <c r="K500">
        <f t="shared" si="14"/>
        <v>5.136315597028756</v>
      </c>
      <c r="L500">
        <v>381185</v>
      </c>
      <c r="M500">
        <v>1164738</v>
      </c>
      <c r="N500">
        <f t="shared" si="15"/>
        <v>205.55714416884192</v>
      </c>
      <c r="O500" s="4">
        <v>45769</v>
      </c>
      <c r="P500" s="4">
        <v>45796</v>
      </c>
      <c r="Q500" t="s">
        <v>78</v>
      </c>
      <c r="R500">
        <f>Table2[[#This Row],[End_Date]]-Table2[[#This Row],[Start_Date]]</f>
        <v>27</v>
      </c>
      <c r="S500" t="str">
        <f>TEXT(Table2[[#This Row],[Start_Date]],"MMM")</f>
        <v>Apr</v>
      </c>
      <c r="T500">
        <f>YEAR(Table2[[#This Row],[Start_Date]])</f>
        <v>2025</v>
      </c>
      <c r="U500">
        <f>Table2[[#This Row],[Campaign_Cost (₹)]]/Table2[[#This Row],[Reach]]</f>
        <v>0.31821581758470369</v>
      </c>
      <c r="V500">
        <f>Table2[[#This Row],[Revenue_Generated (₹)]]/Table2[[#This Row],[Reach]]</f>
        <v>0.97233116450535195</v>
      </c>
    </row>
    <row r="501" spans="1:22" x14ac:dyDescent="0.3">
      <c r="A501" t="s">
        <v>552</v>
      </c>
      <c r="B501" t="s">
        <v>53</v>
      </c>
      <c r="C501" t="s">
        <v>28</v>
      </c>
      <c r="D501" t="s">
        <v>40</v>
      </c>
      <c r="E501">
        <v>1467342</v>
      </c>
      <c r="F501">
        <v>441584</v>
      </c>
      <c r="G501">
        <v>1206680</v>
      </c>
      <c r="H501">
        <v>59066</v>
      </c>
      <c r="I501">
        <v>7100</v>
      </c>
      <c r="J501">
        <v>2948</v>
      </c>
      <c r="K501">
        <f t="shared" si="14"/>
        <v>15.651382296460017</v>
      </c>
      <c r="L501">
        <v>404375</v>
      </c>
      <c r="M501">
        <v>1722419</v>
      </c>
      <c r="N501">
        <f t="shared" si="15"/>
        <v>325.9459659969088</v>
      </c>
      <c r="O501" s="4">
        <v>45722</v>
      </c>
      <c r="P501" s="4">
        <v>45738</v>
      </c>
      <c r="Q501" t="s">
        <v>47</v>
      </c>
      <c r="R501">
        <f>Table2[[#This Row],[End_Date]]-Table2[[#This Row],[Start_Date]]</f>
        <v>16</v>
      </c>
      <c r="S501" t="str">
        <f>TEXT(Table2[[#This Row],[Start_Date]],"MMM")</f>
        <v>Mar</v>
      </c>
      <c r="T501">
        <f>YEAR(Table2[[#This Row],[Start_Date]])</f>
        <v>2025</v>
      </c>
      <c r="U501">
        <f>Table2[[#This Row],[Campaign_Cost (₹)]]/Table2[[#This Row],[Reach]]</f>
        <v>0.9157374361389905</v>
      </c>
      <c r="V501">
        <f>Table2[[#This Row],[Revenue_Generated (₹)]]/Table2[[#This Row],[Reach]]</f>
        <v>3.9005466683575492</v>
      </c>
    </row>
    <row r="502" spans="1:22" x14ac:dyDescent="0.3">
      <c r="A502" t="s">
        <v>553</v>
      </c>
      <c r="B502" t="s">
        <v>32</v>
      </c>
      <c r="C502" t="s">
        <v>33</v>
      </c>
      <c r="D502" t="s">
        <v>51</v>
      </c>
      <c r="E502">
        <v>1516226</v>
      </c>
      <c r="F502">
        <v>467284</v>
      </c>
      <c r="G502">
        <v>1157551</v>
      </c>
      <c r="H502">
        <v>15605</v>
      </c>
      <c r="I502">
        <v>506</v>
      </c>
      <c r="J502">
        <v>830</v>
      </c>
      <c r="K502">
        <f t="shared" si="14"/>
        <v>3.6254183751209119</v>
      </c>
      <c r="L502">
        <v>153951</v>
      </c>
      <c r="M502">
        <v>623018</v>
      </c>
      <c r="N502">
        <f t="shared" si="15"/>
        <v>304.68590655468296</v>
      </c>
      <c r="O502" s="4">
        <v>45837</v>
      </c>
      <c r="P502" s="4">
        <v>45866</v>
      </c>
      <c r="Q502" t="s">
        <v>30</v>
      </c>
      <c r="R502">
        <f>Table2[[#This Row],[End_Date]]-Table2[[#This Row],[Start_Date]]</f>
        <v>29</v>
      </c>
      <c r="S502" t="str">
        <f>TEXT(Table2[[#This Row],[Start_Date]],"MMM")</f>
        <v>Jun</v>
      </c>
      <c r="T502">
        <f>YEAR(Table2[[#This Row],[Start_Date]])</f>
        <v>2025</v>
      </c>
      <c r="U502">
        <f>Table2[[#This Row],[Campaign_Cost (₹)]]/Table2[[#This Row],[Reach]]</f>
        <v>0.32945917258027241</v>
      </c>
      <c r="V502">
        <f>Table2[[#This Row],[Revenue_Generated (₹)]]/Table2[[#This Row],[Reach]]</f>
        <v>1.3332748392840328</v>
      </c>
    </row>
    <row r="503" spans="1:22" x14ac:dyDescent="0.3">
      <c r="A503" t="s">
        <v>554</v>
      </c>
      <c r="B503" t="s">
        <v>103</v>
      </c>
      <c r="C503" t="s">
        <v>43</v>
      </c>
      <c r="D503" t="s">
        <v>58</v>
      </c>
      <c r="E503">
        <v>1045402</v>
      </c>
      <c r="F503">
        <v>342544</v>
      </c>
      <c r="G503">
        <v>968562</v>
      </c>
      <c r="H503">
        <v>23652</v>
      </c>
      <c r="I503">
        <v>2866</v>
      </c>
      <c r="J503">
        <v>1249</v>
      </c>
      <c r="K503">
        <f t="shared" si="14"/>
        <v>8.1061119155495351</v>
      </c>
      <c r="L503">
        <v>36179</v>
      </c>
      <c r="M503">
        <v>112194</v>
      </c>
      <c r="N503">
        <f t="shared" si="15"/>
        <v>210.10807374443738</v>
      </c>
      <c r="O503" s="4">
        <v>45720</v>
      </c>
      <c r="P503" s="4">
        <v>45748</v>
      </c>
      <c r="Q503" t="s">
        <v>47</v>
      </c>
      <c r="R503">
        <f>Table2[[#This Row],[End_Date]]-Table2[[#This Row],[Start_Date]]</f>
        <v>28</v>
      </c>
      <c r="S503" t="str">
        <f>TEXT(Table2[[#This Row],[Start_Date]],"MMM")</f>
        <v>Mar</v>
      </c>
      <c r="T503">
        <f>YEAR(Table2[[#This Row],[Start_Date]])</f>
        <v>2025</v>
      </c>
      <c r="U503">
        <f>Table2[[#This Row],[Campaign_Cost (₹)]]/Table2[[#This Row],[Reach]]</f>
        <v>0.10561854827409034</v>
      </c>
      <c r="V503">
        <f>Table2[[#This Row],[Revenue_Generated (₹)]]/Table2[[#This Row],[Reach]]</f>
        <v>0.32753164556962028</v>
      </c>
    </row>
    <row r="504" spans="1:22" x14ac:dyDescent="0.3">
      <c r="A504" t="s">
        <v>555</v>
      </c>
      <c r="B504" t="s">
        <v>57</v>
      </c>
      <c r="C504" t="s">
        <v>28</v>
      </c>
      <c r="D504" t="s">
        <v>72</v>
      </c>
      <c r="E504">
        <v>853116</v>
      </c>
      <c r="F504">
        <v>588561</v>
      </c>
      <c r="G504">
        <v>1341209</v>
      </c>
      <c r="H504">
        <v>58221</v>
      </c>
      <c r="I504">
        <v>2758</v>
      </c>
      <c r="J504">
        <v>2880</v>
      </c>
      <c r="K504">
        <f t="shared" si="14"/>
        <v>10.850022342628886</v>
      </c>
      <c r="L504">
        <v>347436</v>
      </c>
      <c r="M504">
        <v>1188201</v>
      </c>
      <c r="N504">
        <f t="shared" si="15"/>
        <v>241.99133077746694</v>
      </c>
      <c r="O504" s="4">
        <v>45719</v>
      </c>
      <c r="P504" s="4">
        <v>45731</v>
      </c>
      <c r="Q504" t="s">
        <v>21</v>
      </c>
      <c r="R504">
        <f>Table2[[#This Row],[End_Date]]-Table2[[#This Row],[Start_Date]]</f>
        <v>12</v>
      </c>
      <c r="S504" t="str">
        <f>TEXT(Table2[[#This Row],[Start_Date]],"MMM")</f>
        <v>Mar</v>
      </c>
      <c r="T504">
        <f>YEAR(Table2[[#This Row],[Start_Date]])</f>
        <v>2025</v>
      </c>
      <c r="U504">
        <f>Table2[[#This Row],[Campaign_Cost (₹)]]/Table2[[#This Row],[Reach]]</f>
        <v>0.59031434294830953</v>
      </c>
      <c r="V504">
        <f>Table2[[#This Row],[Revenue_Generated (₹)]]/Table2[[#This Row],[Reach]]</f>
        <v>2.0188238772191838</v>
      </c>
    </row>
    <row r="505" spans="1:22" x14ac:dyDescent="0.3">
      <c r="A505" t="s">
        <v>556</v>
      </c>
      <c r="B505" t="s">
        <v>53</v>
      </c>
      <c r="C505" t="s">
        <v>43</v>
      </c>
      <c r="D505" t="s">
        <v>58</v>
      </c>
      <c r="E505">
        <v>1857046</v>
      </c>
      <c r="F505">
        <v>1065194</v>
      </c>
      <c r="G505">
        <v>2678175</v>
      </c>
      <c r="H505">
        <v>69272</v>
      </c>
      <c r="I505">
        <v>3915</v>
      </c>
      <c r="J505">
        <v>5461</v>
      </c>
      <c r="K505">
        <f t="shared" si="14"/>
        <v>7.3834437670508848</v>
      </c>
      <c r="L505">
        <v>347293</v>
      </c>
      <c r="M505">
        <v>769885</v>
      </c>
      <c r="N505">
        <f t="shared" si="15"/>
        <v>121.68169240382041</v>
      </c>
      <c r="O505" s="4">
        <v>46140</v>
      </c>
      <c r="P505" s="4">
        <v>46158</v>
      </c>
      <c r="Q505" t="s">
        <v>25</v>
      </c>
      <c r="R505">
        <f>Table2[[#This Row],[End_Date]]-Table2[[#This Row],[Start_Date]]</f>
        <v>18</v>
      </c>
      <c r="S505" t="str">
        <f>TEXT(Table2[[#This Row],[Start_Date]],"MMM")</f>
        <v>Apr</v>
      </c>
      <c r="T505">
        <f>YEAR(Table2[[#This Row],[Start_Date]])</f>
        <v>2026</v>
      </c>
      <c r="U505">
        <f>Table2[[#This Row],[Campaign_Cost (₹)]]/Table2[[#This Row],[Reach]]</f>
        <v>0.32603732277876141</v>
      </c>
      <c r="V505">
        <f>Table2[[#This Row],[Revenue_Generated (₹)]]/Table2[[#This Row],[Reach]]</f>
        <v>0.72276505500406496</v>
      </c>
    </row>
    <row r="506" spans="1:22" x14ac:dyDescent="0.3">
      <c r="A506" t="s">
        <v>557</v>
      </c>
      <c r="B506" t="s">
        <v>49</v>
      </c>
      <c r="C506" t="s">
        <v>19</v>
      </c>
      <c r="D506" t="s">
        <v>20</v>
      </c>
      <c r="E506">
        <v>775465</v>
      </c>
      <c r="F506">
        <v>444310</v>
      </c>
      <c r="G506">
        <v>595796</v>
      </c>
      <c r="H506">
        <v>22306</v>
      </c>
      <c r="I506">
        <v>863</v>
      </c>
      <c r="J506">
        <v>888</v>
      </c>
      <c r="K506">
        <f t="shared" si="14"/>
        <v>5.4144628750196935</v>
      </c>
      <c r="L506">
        <v>58309</v>
      </c>
      <c r="M506">
        <v>165447</v>
      </c>
      <c r="N506">
        <f t="shared" si="15"/>
        <v>183.74178943216313</v>
      </c>
      <c r="O506" s="4">
        <v>45725</v>
      </c>
      <c r="P506" s="4">
        <v>45747</v>
      </c>
      <c r="Q506" t="s">
        <v>41</v>
      </c>
      <c r="R506">
        <f>Table2[[#This Row],[End_Date]]-Table2[[#This Row],[Start_Date]]</f>
        <v>22</v>
      </c>
      <c r="S506" t="str">
        <f>TEXT(Table2[[#This Row],[Start_Date]],"MMM")</f>
        <v>Mar</v>
      </c>
      <c r="T506">
        <f>YEAR(Table2[[#This Row],[Start_Date]])</f>
        <v>2025</v>
      </c>
      <c r="U506">
        <f>Table2[[#This Row],[Campaign_Cost (₹)]]/Table2[[#This Row],[Reach]]</f>
        <v>0.13123494857194301</v>
      </c>
      <c r="V506">
        <f>Table2[[#This Row],[Revenue_Generated (₹)]]/Table2[[#This Row],[Reach]]</f>
        <v>0.37236839143841011</v>
      </c>
    </row>
    <row r="507" spans="1:22" x14ac:dyDescent="0.3">
      <c r="A507" t="s">
        <v>558</v>
      </c>
      <c r="B507" t="s">
        <v>103</v>
      </c>
      <c r="C507" t="s">
        <v>19</v>
      </c>
      <c r="D507" t="s">
        <v>51</v>
      </c>
      <c r="E507">
        <v>773381</v>
      </c>
      <c r="F507">
        <v>318112</v>
      </c>
      <c r="G507">
        <v>933848</v>
      </c>
      <c r="H507">
        <v>8305</v>
      </c>
      <c r="I507">
        <v>458</v>
      </c>
      <c r="J507">
        <v>478</v>
      </c>
      <c r="K507">
        <f t="shared" si="14"/>
        <v>2.904951715119203</v>
      </c>
      <c r="L507">
        <v>52362</v>
      </c>
      <c r="M507">
        <v>140961</v>
      </c>
      <c r="N507">
        <f t="shared" si="15"/>
        <v>169.20476681562965</v>
      </c>
      <c r="O507" s="4">
        <v>45685</v>
      </c>
      <c r="P507" s="4">
        <v>45711</v>
      </c>
      <c r="Q507" t="s">
        <v>78</v>
      </c>
      <c r="R507">
        <f>Table2[[#This Row],[End_Date]]-Table2[[#This Row],[Start_Date]]</f>
        <v>26</v>
      </c>
      <c r="S507" t="str">
        <f>TEXT(Table2[[#This Row],[Start_Date]],"MMM")</f>
        <v>Jan</v>
      </c>
      <c r="T507">
        <f>YEAR(Table2[[#This Row],[Start_Date]])</f>
        <v>2025</v>
      </c>
      <c r="U507">
        <f>Table2[[#This Row],[Campaign_Cost (₹)]]/Table2[[#This Row],[Reach]]</f>
        <v>0.16460240418468966</v>
      </c>
      <c r="V507">
        <f>Table2[[#This Row],[Revenue_Generated (₹)]]/Table2[[#This Row],[Reach]]</f>
        <v>0.44311751835831403</v>
      </c>
    </row>
    <row r="508" spans="1:22" x14ac:dyDescent="0.3">
      <c r="A508" t="s">
        <v>559</v>
      </c>
      <c r="B508" t="s">
        <v>32</v>
      </c>
      <c r="C508" t="s">
        <v>33</v>
      </c>
      <c r="D508" t="s">
        <v>29</v>
      </c>
      <c r="E508">
        <v>402618</v>
      </c>
      <c r="F508">
        <v>251040</v>
      </c>
      <c r="G508">
        <v>372067</v>
      </c>
      <c r="H508">
        <v>23767</v>
      </c>
      <c r="I508">
        <v>1225</v>
      </c>
      <c r="J508">
        <v>676</v>
      </c>
      <c r="K508">
        <f t="shared" si="14"/>
        <v>10.224665391969408</v>
      </c>
      <c r="L508">
        <v>284615</v>
      </c>
      <c r="M508">
        <v>1356451</v>
      </c>
      <c r="N508">
        <f t="shared" si="15"/>
        <v>376.59153593450799</v>
      </c>
      <c r="O508" s="4">
        <v>45842</v>
      </c>
      <c r="P508" s="4">
        <v>45867</v>
      </c>
      <c r="Q508" t="s">
        <v>21</v>
      </c>
      <c r="R508">
        <f>Table2[[#This Row],[End_Date]]-Table2[[#This Row],[Start_Date]]</f>
        <v>25</v>
      </c>
      <c r="S508" t="str">
        <f>TEXT(Table2[[#This Row],[Start_Date]],"MMM")</f>
        <v>Jul</v>
      </c>
      <c r="T508">
        <f>YEAR(Table2[[#This Row],[Start_Date]])</f>
        <v>2025</v>
      </c>
      <c r="U508">
        <f>Table2[[#This Row],[Campaign_Cost (₹)]]/Table2[[#This Row],[Reach]]</f>
        <v>1.1337436265137031</v>
      </c>
      <c r="V508">
        <f>Table2[[#This Row],[Revenue_Generated (₹)]]/Table2[[#This Row],[Reach]]</f>
        <v>5.4033261631612488</v>
      </c>
    </row>
    <row r="509" spans="1:22" x14ac:dyDescent="0.3">
      <c r="A509" t="s">
        <v>560</v>
      </c>
      <c r="B509" t="s">
        <v>57</v>
      </c>
      <c r="C509" t="s">
        <v>43</v>
      </c>
      <c r="D509" t="s">
        <v>24</v>
      </c>
      <c r="E509">
        <v>1016243</v>
      </c>
      <c r="F509">
        <v>476543</v>
      </c>
      <c r="G509">
        <v>1362152</v>
      </c>
      <c r="H509">
        <v>48265</v>
      </c>
      <c r="I509">
        <v>2808</v>
      </c>
      <c r="J509">
        <v>4053</v>
      </c>
      <c r="K509">
        <f t="shared" si="14"/>
        <v>11.567896286379193</v>
      </c>
      <c r="L509">
        <v>121471</v>
      </c>
      <c r="M509">
        <v>464817</v>
      </c>
      <c r="N509">
        <f t="shared" si="15"/>
        <v>282.6567658124161</v>
      </c>
      <c r="O509" s="4">
        <v>45753</v>
      </c>
      <c r="P509" s="4">
        <v>45777</v>
      </c>
      <c r="Q509" t="s">
        <v>41</v>
      </c>
      <c r="R509">
        <f>Table2[[#This Row],[End_Date]]-Table2[[#This Row],[Start_Date]]</f>
        <v>24</v>
      </c>
      <c r="S509" t="str">
        <f>TEXT(Table2[[#This Row],[Start_Date]],"MMM")</f>
        <v>Apr</v>
      </c>
      <c r="T509">
        <f>YEAR(Table2[[#This Row],[Start_Date]])</f>
        <v>2025</v>
      </c>
      <c r="U509">
        <f>Table2[[#This Row],[Campaign_Cost (₹)]]/Table2[[#This Row],[Reach]]</f>
        <v>0.25490039723592622</v>
      </c>
      <c r="V509">
        <f>Table2[[#This Row],[Revenue_Generated (₹)]]/Table2[[#This Row],[Reach]]</f>
        <v>0.97539361610599673</v>
      </c>
    </row>
    <row r="510" spans="1:22" x14ac:dyDescent="0.3">
      <c r="A510" t="s">
        <v>561</v>
      </c>
      <c r="B510" t="s">
        <v>39</v>
      </c>
      <c r="C510" t="s">
        <v>33</v>
      </c>
      <c r="D510" t="s">
        <v>58</v>
      </c>
      <c r="E510">
        <v>1664529</v>
      </c>
      <c r="F510">
        <v>1278260</v>
      </c>
      <c r="G510">
        <v>3672474</v>
      </c>
      <c r="H510">
        <v>67625</v>
      </c>
      <c r="I510">
        <v>8440</v>
      </c>
      <c r="J510">
        <v>6124</v>
      </c>
      <c r="K510">
        <f t="shared" si="14"/>
        <v>6.4297560746639961</v>
      </c>
      <c r="L510">
        <v>127050</v>
      </c>
      <c r="M510">
        <v>297956</v>
      </c>
      <c r="N510">
        <f t="shared" si="15"/>
        <v>134.51869342778434</v>
      </c>
      <c r="O510" s="4">
        <v>46042</v>
      </c>
      <c r="P510" s="4">
        <v>46055</v>
      </c>
      <c r="Q510" t="s">
        <v>30</v>
      </c>
      <c r="R510">
        <f>Table2[[#This Row],[End_Date]]-Table2[[#This Row],[Start_Date]]</f>
        <v>13</v>
      </c>
      <c r="S510" t="str">
        <f>TEXT(Table2[[#This Row],[Start_Date]],"MMM")</f>
        <v>Jan</v>
      </c>
      <c r="T510">
        <f>YEAR(Table2[[#This Row],[Start_Date]])</f>
        <v>2026</v>
      </c>
      <c r="U510">
        <f>Table2[[#This Row],[Campaign_Cost (₹)]]/Table2[[#This Row],[Reach]]</f>
        <v>9.9392924757091675E-2</v>
      </c>
      <c r="V510">
        <f>Table2[[#This Row],[Revenue_Generated (₹)]]/Table2[[#This Row],[Reach]]</f>
        <v>0.23309498849999219</v>
      </c>
    </row>
    <row r="511" spans="1:22" x14ac:dyDescent="0.3">
      <c r="A511" t="s">
        <v>562</v>
      </c>
      <c r="B511" t="s">
        <v>39</v>
      </c>
      <c r="C511" t="s">
        <v>37</v>
      </c>
      <c r="D511" t="s">
        <v>58</v>
      </c>
      <c r="E511">
        <v>540879</v>
      </c>
      <c r="F511">
        <v>474214</v>
      </c>
      <c r="G511">
        <v>1102260</v>
      </c>
      <c r="H511">
        <v>50883</v>
      </c>
      <c r="I511">
        <v>4294</v>
      </c>
      <c r="J511">
        <v>2999</v>
      </c>
      <c r="K511">
        <f t="shared" si="14"/>
        <v>12.267879058821544</v>
      </c>
      <c r="L511">
        <v>70498</v>
      </c>
      <c r="M511">
        <v>297519</v>
      </c>
      <c r="N511">
        <f t="shared" si="15"/>
        <v>322.024738290448</v>
      </c>
      <c r="O511" s="4">
        <v>46072</v>
      </c>
      <c r="P511" s="4">
        <v>46079</v>
      </c>
      <c r="Q511" t="s">
        <v>78</v>
      </c>
      <c r="R511">
        <f>Table2[[#This Row],[End_Date]]-Table2[[#This Row],[Start_Date]]</f>
        <v>7</v>
      </c>
      <c r="S511" t="str">
        <f>TEXT(Table2[[#This Row],[Start_Date]],"MMM")</f>
        <v>Feb</v>
      </c>
      <c r="T511">
        <f>YEAR(Table2[[#This Row],[Start_Date]])</f>
        <v>2026</v>
      </c>
      <c r="U511">
        <f>Table2[[#This Row],[Campaign_Cost (₹)]]/Table2[[#This Row],[Reach]]</f>
        <v>0.14866283998363608</v>
      </c>
      <c r="V511">
        <f>Table2[[#This Row],[Revenue_Generated (₹)]]/Table2[[#This Row],[Reach]]</f>
        <v>0.62739396137608761</v>
      </c>
    </row>
    <row r="512" spans="1:22" x14ac:dyDescent="0.3">
      <c r="A512" t="s">
        <v>563</v>
      </c>
      <c r="B512" t="s">
        <v>53</v>
      </c>
      <c r="C512" t="s">
        <v>28</v>
      </c>
      <c r="D512" t="s">
        <v>40</v>
      </c>
      <c r="E512">
        <v>1166908</v>
      </c>
      <c r="F512">
        <v>681894</v>
      </c>
      <c r="G512">
        <v>1778608</v>
      </c>
      <c r="H512">
        <v>14496</v>
      </c>
      <c r="I512">
        <v>1868</v>
      </c>
      <c r="J512">
        <v>541</v>
      </c>
      <c r="K512">
        <f t="shared" si="14"/>
        <v>2.4791243213754628</v>
      </c>
      <c r="L512">
        <v>360605</v>
      </c>
      <c r="M512">
        <v>1506142</v>
      </c>
      <c r="N512">
        <f t="shared" si="15"/>
        <v>317.67085869580291</v>
      </c>
      <c r="O512" s="4">
        <v>46103</v>
      </c>
      <c r="P512" s="4">
        <v>46130</v>
      </c>
      <c r="Q512" t="s">
        <v>25</v>
      </c>
      <c r="R512">
        <f>Table2[[#This Row],[End_Date]]-Table2[[#This Row],[Start_Date]]</f>
        <v>27</v>
      </c>
      <c r="S512" t="str">
        <f>TEXT(Table2[[#This Row],[Start_Date]],"MMM")</f>
        <v>Mar</v>
      </c>
      <c r="T512">
        <f>YEAR(Table2[[#This Row],[Start_Date]])</f>
        <v>2026</v>
      </c>
      <c r="U512">
        <f>Table2[[#This Row],[Campaign_Cost (₹)]]/Table2[[#This Row],[Reach]]</f>
        <v>0.52882852760106414</v>
      </c>
      <c r="V512">
        <f>Table2[[#This Row],[Revenue_Generated (₹)]]/Table2[[#This Row],[Reach]]</f>
        <v>2.2087626522597352</v>
      </c>
    </row>
    <row r="513" spans="1:22" x14ac:dyDescent="0.3">
      <c r="A513" t="s">
        <v>564</v>
      </c>
      <c r="B513" t="s">
        <v>53</v>
      </c>
      <c r="C513" t="s">
        <v>37</v>
      </c>
      <c r="D513" t="s">
        <v>40</v>
      </c>
      <c r="E513">
        <v>425468</v>
      </c>
      <c r="F513">
        <v>323659</v>
      </c>
      <c r="G513">
        <v>942141</v>
      </c>
      <c r="H513">
        <v>23818</v>
      </c>
      <c r="I513">
        <v>3075</v>
      </c>
      <c r="J513">
        <v>1491</v>
      </c>
      <c r="K513">
        <f t="shared" si="14"/>
        <v>8.7697236906744447</v>
      </c>
      <c r="L513">
        <v>189783</v>
      </c>
      <c r="M513">
        <v>607403</v>
      </c>
      <c r="N513">
        <f t="shared" si="15"/>
        <v>220.05132177276155</v>
      </c>
      <c r="O513" s="4">
        <v>45862</v>
      </c>
      <c r="P513" s="4">
        <v>45875</v>
      </c>
      <c r="Q513" t="s">
        <v>78</v>
      </c>
      <c r="R513">
        <f>Table2[[#This Row],[End_Date]]-Table2[[#This Row],[Start_Date]]</f>
        <v>13</v>
      </c>
      <c r="S513" t="str">
        <f>TEXT(Table2[[#This Row],[Start_Date]],"MMM")</f>
        <v>Jul</v>
      </c>
      <c r="T513">
        <f>YEAR(Table2[[#This Row],[Start_Date]])</f>
        <v>2025</v>
      </c>
      <c r="U513">
        <f>Table2[[#This Row],[Campaign_Cost (₹)]]/Table2[[#This Row],[Reach]]</f>
        <v>0.58636713331005785</v>
      </c>
      <c r="V513">
        <f>Table2[[#This Row],[Revenue_Generated (₹)]]/Table2[[#This Row],[Reach]]</f>
        <v>1.8766757605998907</v>
      </c>
    </row>
    <row r="514" spans="1:22" x14ac:dyDescent="0.3">
      <c r="A514" t="s">
        <v>565</v>
      </c>
      <c r="B514" t="s">
        <v>49</v>
      </c>
      <c r="C514" t="s">
        <v>43</v>
      </c>
      <c r="D514" t="s">
        <v>46</v>
      </c>
      <c r="E514">
        <v>1073485</v>
      </c>
      <c r="F514">
        <v>626287</v>
      </c>
      <c r="G514">
        <v>1638739</v>
      </c>
      <c r="H514">
        <v>44834</v>
      </c>
      <c r="I514">
        <v>1647</v>
      </c>
      <c r="J514">
        <v>1389</v>
      </c>
      <c r="K514">
        <f t="shared" ref="K514:K577" si="16">((H514+I514+J514)/F514)*100</f>
        <v>7.643460585961388</v>
      </c>
      <c r="L514">
        <v>443993</v>
      </c>
      <c r="M514">
        <v>744220</v>
      </c>
      <c r="N514">
        <f t="shared" ref="N514:N577" si="17">((M514-L514)/L514)*100</f>
        <v>67.619759770987372</v>
      </c>
      <c r="O514" s="4">
        <v>45933</v>
      </c>
      <c r="P514" s="4">
        <v>45958</v>
      </c>
      <c r="Q514" t="s">
        <v>30</v>
      </c>
      <c r="R514">
        <f>Table2[[#This Row],[End_Date]]-Table2[[#This Row],[Start_Date]]</f>
        <v>25</v>
      </c>
      <c r="S514" t="str">
        <f>TEXT(Table2[[#This Row],[Start_Date]],"MMM")</f>
        <v>Oct</v>
      </c>
      <c r="T514">
        <f>YEAR(Table2[[#This Row],[Start_Date]])</f>
        <v>2025</v>
      </c>
      <c r="U514">
        <f>Table2[[#This Row],[Campaign_Cost (₹)]]/Table2[[#This Row],[Reach]]</f>
        <v>0.70892897345785555</v>
      </c>
      <c r="V514">
        <f>Table2[[#This Row],[Revenue_Generated (₹)]]/Table2[[#This Row],[Reach]]</f>
        <v>1.1883050422569845</v>
      </c>
    </row>
    <row r="515" spans="1:22" x14ac:dyDescent="0.3">
      <c r="A515" t="s">
        <v>566</v>
      </c>
      <c r="B515" t="s">
        <v>36</v>
      </c>
      <c r="C515" t="s">
        <v>37</v>
      </c>
      <c r="D515" t="s">
        <v>46</v>
      </c>
      <c r="E515">
        <v>1594564</v>
      </c>
      <c r="F515">
        <v>491556</v>
      </c>
      <c r="G515">
        <v>676425</v>
      </c>
      <c r="H515">
        <v>18981</v>
      </c>
      <c r="I515">
        <v>2782</v>
      </c>
      <c r="J515">
        <v>1841</v>
      </c>
      <c r="K515">
        <f t="shared" si="16"/>
        <v>4.8018943925005493</v>
      </c>
      <c r="L515">
        <v>498571</v>
      </c>
      <c r="M515">
        <v>1215440</v>
      </c>
      <c r="N515">
        <f t="shared" si="17"/>
        <v>143.78473677771069</v>
      </c>
      <c r="O515" s="4">
        <v>46104</v>
      </c>
      <c r="P515" s="4">
        <v>46124</v>
      </c>
      <c r="Q515" t="s">
        <v>47</v>
      </c>
      <c r="R515">
        <f>Table2[[#This Row],[End_Date]]-Table2[[#This Row],[Start_Date]]</f>
        <v>20</v>
      </c>
      <c r="S515" t="str">
        <f>TEXT(Table2[[#This Row],[Start_Date]],"MMM")</f>
        <v>Mar</v>
      </c>
      <c r="T515">
        <f>YEAR(Table2[[#This Row],[Start_Date]])</f>
        <v>2026</v>
      </c>
      <c r="U515">
        <f>Table2[[#This Row],[Campaign_Cost (₹)]]/Table2[[#This Row],[Reach]]</f>
        <v>1.0142710087965563</v>
      </c>
      <c r="V515">
        <f>Table2[[#This Row],[Revenue_Generated (₹)]]/Table2[[#This Row],[Reach]]</f>
        <v>2.4726379090073154</v>
      </c>
    </row>
    <row r="516" spans="1:22" x14ac:dyDescent="0.3">
      <c r="A516" t="s">
        <v>567</v>
      </c>
      <c r="B516" t="s">
        <v>75</v>
      </c>
      <c r="C516" t="s">
        <v>33</v>
      </c>
      <c r="D516" t="s">
        <v>51</v>
      </c>
      <c r="E516">
        <v>1036955</v>
      </c>
      <c r="F516">
        <v>861327</v>
      </c>
      <c r="G516">
        <v>1980134</v>
      </c>
      <c r="H516">
        <v>90798</v>
      </c>
      <c r="I516">
        <v>9300</v>
      </c>
      <c r="J516">
        <v>3917</v>
      </c>
      <c r="K516">
        <f t="shared" si="16"/>
        <v>12.076133686741505</v>
      </c>
      <c r="L516">
        <v>274091</v>
      </c>
      <c r="M516">
        <v>1244869</v>
      </c>
      <c r="N516">
        <f t="shared" si="17"/>
        <v>354.18091071943263</v>
      </c>
      <c r="O516" s="4">
        <v>45977</v>
      </c>
      <c r="P516" s="4">
        <v>45989</v>
      </c>
      <c r="Q516" t="s">
        <v>78</v>
      </c>
      <c r="R516">
        <f>Table2[[#This Row],[End_Date]]-Table2[[#This Row],[Start_Date]]</f>
        <v>12</v>
      </c>
      <c r="S516" t="str">
        <f>TEXT(Table2[[#This Row],[Start_Date]],"MMM")</f>
        <v>Nov</v>
      </c>
      <c r="T516">
        <f>YEAR(Table2[[#This Row],[Start_Date]])</f>
        <v>2025</v>
      </c>
      <c r="U516">
        <f>Table2[[#This Row],[Campaign_Cost (₹)]]/Table2[[#This Row],[Reach]]</f>
        <v>0.31821944511201899</v>
      </c>
      <c r="V516">
        <f>Table2[[#This Row],[Revenue_Generated (₹)]]/Table2[[#This Row],[Reach]]</f>
        <v>1.445291973896093</v>
      </c>
    </row>
    <row r="517" spans="1:22" x14ac:dyDescent="0.3">
      <c r="A517" t="s">
        <v>568</v>
      </c>
      <c r="B517" t="s">
        <v>36</v>
      </c>
      <c r="C517" t="s">
        <v>19</v>
      </c>
      <c r="D517" t="s">
        <v>46</v>
      </c>
      <c r="E517">
        <v>1035488</v>
      </c>
      <c r="F517">
        <v>729305</v>
      </c>
      <c r="G517">
        <v>1000483</v>
      </c>
      <c r="H517">
        <v>64997</v>
      </c>
      <c r="I517">
        <v>6086</v>
      </c>
      <c r="J517">
        <v>3609</v>
      </c>
      <c r="K517">
        <f t="shared" si="16"/>
        <v>10.241531320915117</v>
      </c>
      <c r="L517">
        <v>188850</v>
      </c>
      <c r="M517">
        <v>820924</v>
      </c>
      <c r="N517">
        <f t="shared" si="17"/>
        <v>334.69631983055336</v>
      </c>
      <c r="O517" s="4">
        <v>45840</v>
      </c>
      <c r="P517" s="4">
        <v>45870</v>
      </c>
      <c r="Q517" t="s">
        <v>34</v>
      </c>
      <c r="R517">
        <f>Table2[[#This Row],[End_Date]]-Table2[[#This Row],[Start_Date]]</f>
        <v>30</v>
      </c>
      <c r="S517" t="str">
        <f>TEXT(Table2[[#This Row],[Start_Date]],"MMM")</f>
        <v>Jul</v>
      </c>
      <c r="T517">
        <f>YEAR(Table2[[#This Row],[Start_Date]])</f>
        <v>2025</v>
      </c>
      <c r="U517">
        <f>Table2[[#This Row],[Campaign_Cost (₹)]]/Table2[[#This Row],[Reach]]</f>
        <v>0.25894516011819474</v>
      </c>
      <c r="V517">
        <f>Table2[[#This Row],[Revenue_Generated (₹)]]/Table2[[#This Row],[Reach]]</f>
        <v>1.1256250814131261</v>
      </c>
    </row>
    <row r="518" spans="1:22" x14ac:dyDescent="0.3">
      <c r="A518" t="s">
        <v>569</v>
      </c>
      <c r="B518" t="s">
        <v>57</v>
      </c>
      <c r="C518" t="s">
        <v>43</v>
      </c>
      <c r="D518" t="s">
        <v>51</v>
      </c>
      <c r="E518">
        <v>1684850</v>
      </c>
      <c r="F518">
        <v>513138</v>
      </c>
      <c r="G518">
        <v>1282292</v>
      </c>
      <c r="H518">
        <v>15920</v>
      </c>
      <c r="I518">
        <v>2219</v>
      </c>
      <c r="J518">
        <v>1049</v>
      </c>
      <c r="K518">
        <f t="shared" si="16"/>
        <v>3.7393449715281268</v>
      </c>
      <c r="L518">
        <v>186734</v>
      </c>
      <c r="M518">
        <v>341522</v>
      </c>
      <c r="N518">
        <f t="shared" si="17"/>
        <v>82.892242441119464</v>
      </c>
      <c r="O518" s="4">
        <v>45842</v>
      </c>
      <c r="P518" s="4">
        <v>45867</v>
      </c>
      <c r="Q518" t="s">
        <v>25</v>
      </c>
      <c r="R518">
        <f>Table2[[#This Row],[End_Date]]-Table2[[#This Row],[Start_Date]]</f>
        <v>25</v>
      </c>
      <c r="S518" t="str">
        <f>TEXT(Table2[[#This Row],[Start_Date]],"MMM")</f>
        <v>Jul</v>
      </c>
      <c r="T518">
        <f>YEAR(Table2[[#This Row],[Start_Date]])</f>
        <v>2025</v>
      </c>
      <c r="U518">
        <f>Table2[[#This Row],[Campaign_Cost (₹)]]/Table2[[#This Row],[Reach]]</f>
        <v>0.36390600579181431</v>
      </c>
      <c r="V518">
        <f>Table2[[#This Row],[Revenue_Generated (₹)]]/Table2[[#This Row],[Reach]]</f>
        <v>0.6655558543705592</v>
      </c>
    </row>
    <row r="519" spans="1:22" x14ac:dyDescent="0.3">
      <c r="A519" t="s">
        <v>570</v>
      </c>
      <c r="B519" t="s">
        <v>39</v>
      </c>
      <c r="C519" t="s">
        <v>33</v>
      </c>
      <c r="D519" t="s">
        <v>58</v>
      </c>
      <c r="E519">
        <v>1149229</v>
      </c>
      <c r="F519">
        <v>835302</v>
      </c>
      <c r="G519">
        <v>2503103</v>
      </c>
      <c r="H519">
        <v>76359</v>
      </c>
      <c r="I519">
        <v>2789</v>
      </c>
      <c r="J519">
        <v>6386</v>
      </c>
      <c r="K519">
        <f t="shared" si="16"/>
        <v>10.239889285551811</v>
      </c>
      <c r="L519">
        <v>30889</v>
      </c>
      <c r="M519">
        <v>85376</v>
      </c>
      <c r="N519">
        <f t="shared" si="17"/>
        <v>176.39612807148174</v>
      </c>
      <c r="O519" s="4">
        <v>45696</v>
      </c>
      <c r="P519" s="4">
        <v>45724</v>
      </c>
      <c r="Q519" t="s">
        <v>47</v>
      </c>
      <c r="R519">
        <f>Table2[[#This Row],[End_Date]]-Table2[[#This Row],[Start_Date]]</f>
        <v>28</v>
      </c>
      <c r="S519" t="str">
        <f>TEXT(Table2[[#This Row],[Start_Date]],"MMM")</f>
        <v>Feb</v>
      </c>
      <c r="T519">
        <f>YEAR(Table2[[#This Row],[Start_Date]])</f>
        <v>2025</v>
      </c>
      <c r="U519">
        <f>Table2[[#This Row],[Campaign_Cost (₹)]]/Table2[[#This Row],[Reach]]</f>
        <v>3.6979439771483845E-2</v>
      </c>
      <c r="V519">
        <f>Table2[[#This Row],[Revenue_Generated (₹)]]/Table2[[#This Row],[Reach]]</f>
        <v>0.10220973971090695</v>
      </c>
    </row>
    <row r="520" spans="1:22" x14ac:dyDescent="0.3">
      <c r="A520" t="s">
        <v>571</v>
      </c>
      <c r="B520" t="s">
        <v>36</v>
      </c>
      <c r="C520" t="s">
        <v>28</v>
      </c>
      <c r="D520" t="s">
        <v>58</v>
      </c>
      <c r="E520">
        <v>1032015</v>
      </c>
      <c r="F520">
        <v>613017</v>
      </c>
      <c r="G520">
        <v>953984</v>
      </c>
      <c r="H520">
        <v>78107</v>
      </c>
      <c r="I520">
        <v>5002</v>
      </c>
      <c r="J520">
        <v>7511</v>
      </c>
      <c r="K520">
        <f t="shared" si="16"/>
        <v>14.782624299162991</v>
      </c>
      <c r="L520">
        <v>371102</v>
      </c>
      <c r="M520">
        <v>1579110</v>
      </c>
      <c r="N520">
        <f t="shared" si="17"/>
        <v>325.51912951156288</v>
      </c>
      <c r="O520" s="4">
        <v>45844</v>
      </c>
      <c r="P520" s="4">
        <v>45853</v>
      </c>
      <c r="Q520" t="s">
        <v>41</v>
      </c>
      <c r="R520">
        <f>Table2[[#This Row],[End_Date]]-Table2[[#This Row],[Start_Date]]</f>
        <v>9</v>
      </c>
      <c r="S520" t="str">
        <f>TEXT(Table2[[#This Row],[Start_Date]],"MMM")</f>
        <v>Jul</v>
      </c>
      <c r="T520">
        <f>YEAR(Table2[[#This Row],[Start_Date]])</f>
        <v>2025</v>
      </c>
      <c r="U520">
        <f>Table2[[#This Row],[Campaign_Cost (₹)]]/Table2[[#This Row],[Reach]]</f>
        <v>0.60536983476804074</v>
      </c>
      <c r="V520">
        <f>Table2[[#This Row],[Revenue_Generated (₹)]]/Table2[[#This Row],[Reach]]</f>
        <v>2.5759644512305533</v>
      </c>
    </row>
    <row r="521" spans="1:22" x14ac:dyDescent="0.3">
      <c r="A521" t="s">
        <v>572</v>
      </c>
      <c r="B521" t="s">
        <v>61</v>
      </c>
      <c r="C521" t="s">
        <v>33</v>
      </c>
      <c r="D521" t="s">
        <v>29</v>
      </c>
      <c r="E521">
        <v>731407</v>
      </c>
      <c r="F521">
        <v>473565</v>
      </c>
      <c r="G521">
        <v>696886</v>
      </c>
      <c r="H521">
        <v>39489</v>
      </c>
      <c r="I521">
        <v>3786</v>
      </c>
      <c r="J521">
        <v>1319</v>
      </c>
      <c r="K521">
        <f t="shared" si="16"/>
        <v>9.4166587480071371</v>
      </c>
      <c r="L521">
        <v>406689</v>
      </c>
      <c r="M521">
        <v>764254</v>
      </c>
      <c r="N521">
        <f t="shared" si="17"/>
        <v>87.920991224252447</v>
      </c>
      <c r="O521" s="4">
        <v>45959</v>
      </c>
      <c r="P521" s="4">
        <v>45979</v>
      </c>
      <c r="Q521" t="s">
        <v>78</v>
      </c>
      <c r="R521">
        <f>Table2[[#This Row],[End_Date]]-Table2[[#This Row],[Start_Date]]</f>
        <v>20</v>
      </c>
      <c r="S521" t="str">
        <f>TEXT(Table2[[#This Row],[Start_Date]],"MMM")</f>
        <v>Oct</v>
      </c>
      <c r="T521">
        <f>YEAR(Table2[[#This Row],[Start_Date]])</f>
        <v>2025</v>
      </c>
      <c r="U521">
        <f>Table2[[#This Row],[Campaign_Cost (₹)]]/Table2[[#This Row],[Reach]]</f>
        <v>0.8587817934180102</v>
      </c>
      <c r="V521">
        <f>Table2[[#This Row],[Revenue_Generated (₹)]]/Table2[[#This Row],[Reach]]</f>
        <v>1.6138312586445367</v>
      </c>
    </row>
    <row r="522" spans="1:22" x14ac:dyDescent="0.3">
      <c r="A522" t="s">
        <v>573</v>
      </c>
      <c r="B522" t="s">
        <v>23</v>
      </c>
      <c r="C522" t="s">
        <v>28</v>
      </c>
      <c r="D522" t="s">
        <v>58</v>
      </c>
      <c r="E522">
        <v>336606</v>
      </c>
      <c r="F522">
        <v>179952</v>
      </c>
      <c r="G522">
        <v>426380</v>
      </c>
      <c r="H522">
        <v>14569</v>
      </c>
      <c r="I522">
        <v>1718</v>
      </c>
      <c r="J522">
        <v>672</v>
      </c>
      <c r="K522">
        <f t="shared" si="16"/>
        <v>9.4241797812750061</v>
      </c>
      <c r="L522">
        <v>482103</v>
      </c>
      <c r="M522">
        <v>560486</v>
      </c>
      <c r="N522">
        <f t="shared" si="17"/>
        <v>16.258558855680221</v>
      </c>
      <c r="O522" s="4">
        <v>45684</v>
      </c>
      <c r="P522" s="4">
        <v>45694</v>
      </c>
      <c r="Q522" t="s">
        <v>78</v>
      </c>
      <c r="R522">
        <f>Table2[[#This Row],[End_Date]]-Table2[[#This Row],[Start_Date]]</f>
        <v>10</v>
      </c>
      <c r="S522" t="str">
        <f>TEXT(Table2[[#This Row],[Start_Date]],"MMM")</f>
        <v>Jan</v>
      </c>
      <c r="T522">
        <f>YEAR(Table2[[#This Row],[Start_Date]])</f>
        <v>2025</v>
      </c>
      <c r="U522">
        <f>Table2[[#This Row],[Campaign_Cost (₹)]]/Table2[[#This Row],[Reach]]</f>
        <v>2.6790644171779143</v>
      </c>
      <c r="V522">
        <f>Table2[[#This Row],[Revenue_Generated (₹)]]/Table2[[#This Row],[Reach]]</f>
        <v>3.1146416822263716</v>
      </c>
    </row>
    <row r="523" spans="1:22" x14ac:dyDescent="0.3">
      <c r="A523" t="s">
        <v>574</v>
      </c>
      <c r="B523" t="s">
        <v>53</v>
      </c>
      <c r="C523" t="s">
        <v>43</v>
      </c>
      <c r="D523" t="s">
        <v>51</v>
      </c>
      <c r="E523">
        <v>998899</v>
      </c>
      <c r="F523">
        <v>426387</v>
      </c>
      <c r="G523">
        <v>1026750</v>
      </c>
      <c r="H523">
        <v>9322</v>
      </c>
      <c r="I523">
        <v>779</v>
      </c>
      <c r="J523">
        <v>908</v>
      </c>
      <c r="K523">
        <f t="shared" si="16"/>
        <v>2.581926747297643</v>
      </c>
      <c r="L523">
        <v>438857</v>
      </c>
      <c r="M523">
        <v>503478</v>
      </c>
      <c r="N523">
        <f t="shared" si="17"/>
        <v>14.724842032826183</v>
      </c>
      <c r="O523" s="4">
        <v>46086</v>
      </c>
      <c r="P523" s="4">
        <v>46114</v>
      </c>
      <c r="Q523" t="s">
        <v>30</v>
      </c>
      <c r="R523">
        <f>Table2[[#This Row],[End_Date]]-Table2[[#This Row],[Start_Date]]</f>
        <v>28</v>
      </c>
      <c r="S523" t="str">
        <f>TEXT(Table2[[#This Row],[Start_Date]],"MMM")</f>
        <v>Mar</v>
      </c>
      <c r="T523">
        <f>YEAR(Table2[[#This Row],[Start_Date]])</f>
        <v>2026</v>
      </c>
      <c r="U523">
        <f>Table2[[#This Row],[Campaign_Cost (₹)]]/Table2[[#This Row],[Reach]]</f>
        <v>1.029245732163504</v>
      </c>
      <c r="V523">
        <f>Table2[[#This Row],[Revenue_Generated (₹)]]/Table2[[#This Row],[Reach]]</f>
        <v>1.1808005403541852</v>
      </c>
    </row>
    <row r="524" spans="1:22" x14ac:dyDescent="0.3">
      <c r="A524" t="s">
        <v>575</v>
      </c>
      <c r="B524" t="s">
        <v>23</v>
      </c>
      <c r="C524" t="s">
        <v>37</v>
      </c>
      <c r="D524" t="s">
        <v>20</v>
      </c>
      <c r="E524">
        <v>573971</v>
      </c>
      <c r="F524">
        <v>198599</v>
      </c>
      <c r="G524">
        <v>463080</v>
      </c>
      <c r="H524">
        <v>24957</v>
      </c>
      <c r="I524">
        <v>1248</v>
      </c>
      <c r="J524">
        <v>1784</v>
      </c>
      <c r="K524">
        <f t="shared" si="16"/>
        <v>14.093223027306282</v>
      </c>
      <c r="L524">
        <v>439277</v>
      </c>
      <c r="M524">
        <v>1146566</v>
      </c>
      <c r="N524">
        <f t="shared" si="17"/>
        <v>161.01207210939793</v>
      </c>
      <c r="O524" s="4">
        <v>46140</v>
      </c>
      <c r="P524" s="4">
        <v>46153</v>
      </c>
      <c r="Q524" t="s">
        <v>78</v>
      </c>
      <c r="R524">
        <f>Table2[[#This Row],[End_Date]]-Table2[[#This Row],[Start_Date]]</f>
        <v>13</v>
      </c>
      <c r="S524" t="str">
        <f>TEXT(Table2[[#This Row],[Start_Date]],"MMM")</f>
        <v>Apr</v>
      </c>
      <c r="T524">
        <f>YEAR(Table2[[#This Row],[Start_Date]])</f>
        <v>2026</v>
      </c>
      <c r="U524">
        <f>Table2[[#This Row],[Campaign_Cost (₹)]]/Table2[[#This Row],[Reach]]</f>
        <v>2.2118792138933228</v>
      </c>
      <c r="V524">
        <f>Table2[[#This Row],[Revenue_Generated (₹)]]/Table2[[#This Row],[Reach]]</f>
        <v>5.7732717687400239</v>
      </c>
    </row>
    <row r="525" spans="1:22" x14ac:dyDescent="0.3">
      <c r="A525" t="s">
        <v>576</v>
      </c>
      <c r="B525" t="s">
        <v>36</v>
      </c>
      <c r="C525" t="s">
        <v>33</v>
      </c>
      <c r="D525" t="s">
        <v>29</v>
      </c>
      <c r="E525">
        <v>422366</v>
      </c>
      <c r="F525">
        <v>215866</v>
      </c>
      <c r="G525">
        <v>526801</v>
      </c>
      <c r="H525">
        <v>27569</v>
      </c>
      <c r="I525">
        <v>3907</v>
      </c>
      <c r="J525">
        <v>686</v>
      </c>
      <c r="K525">
        <f t="shared" si="16"/>
        <v>14.8990577487886</v>
      </c>
      <c r="L525">
        <v>386538</v>
      </c>
      <c r="M525">
        <v>1914770</v>
      </c>
      <c r="N525">
        <f t="shared" si="17"/>
        <v>395.36397456394974</v>
      </c>
      <c r="O525" s="4">
        <v>45843</v>
      </c>
      <c r="P525" s="4">
        <v>45863</v>
      </c>
      <c r="Q525" t="s">
        <v>25</v>
      </c>
      <c r="R525">
        <f>Table2[[#This Row],[End_Date]]-Table2[[#This Row],[Start_Date]]</f>
        <v>20</v>
      </c>
      <c r="S525" t="str">
        <f>TEXT(Table2[[#This Row],[Start_Date]],"MMM")</f>
        <v>Jul</v>
      </c>
      <c r="T525">
        <f>YEAR(Table2[[#This Row],[Start_Date]])</f>
        <v>2025</v>
      </c>
      <c r="U525">
        <f>Table2[[#This Row],[Campaign_Cost (₹)]]/Table2[[#This Row],[Reach]]</f>
        <v>1.790638636932171</v>
      </c>
      <c r="V525">
        <f>Table2[[#This Row],[Revenue_Generated (₹)]]/Table2[[#This Row],[Reach]]</f>
        <v>8.8701787219849351</v>
      </c>
    </row>
    <row r="526" spans="1:22" x14ac:dyDescent="0.3">
      <c r="A526" t="s">
        <v>577</v>
      </c>
      <c r="B526" t="s">
        <v>32</v>
      </c>
      <c r="C526" t="s">
        <v>28</v>
      </c>
      <c r="D526" t="s">
        <v>51</v>
      </c>
      <c r="E526">
        <v>1747466</v>
      </c>
      <c r="F526">
        <v>662966</v>
      </c>
      <c r="G526">
        <v>1853097</v>
      </c>
      <c r="H526">
        <v>71659</v>
      </c>
      <c r="I526">
        <v>3318</v>
      </c>
      <c r="J526">
        <v>5593</v>
      </c>
      <c r="K526">
        <f t="shared" si="16"/>
        <v>12.152961086993903</v>
      </c>
      <c r="L526">
        <v>480991</v>
      </c>
      <c r="M526">
        <v>1821262</v>
      </c>
      <c r="N526">
        <f t="shared" si="17"/>
        <v>278.6478333274427</v>
      </c>
      <c r="O526" s="4">
        <v>45954</v>
      </c>
      <c r="P526" s="4">
        <v>45984</v>
      </c>
      <c r="Q526" t="s">
        <v>78</v>
      </c>
      <c r="R526">
        <f>Table2[[#This Row],[End_Date]]-Table2[[#This Row],[Start_Date]]</f>
        <v>30</v>
      </c>
      <c r="S526" t="str">
        <f>TEXT(Table2[[#This Row],[Start_Date]],"MMM")</f>
        <v>Oct</v>
      </c>
      <c r="T526">
        <f>YEAR(Table2[[#This Row],[Start_Date]])</f>
        <v>2025</v>
      </c>
      <c r="U526">
        <f>Table2[[#This Row],[Campaign_Cost (₹)]]/Table2[[#This Row],[Reach]]</f>
        <v>0.72551382725509306</v>
      </c>
      <c r="V526">
        <f>Table2[[#This Row],[Revenue_Generated (₹)]]/Table2[[#This Row],[Reach]]</f>
        <v>2.7471423873924152</v>
      </c>
    </row>
    <row r="527" spans="1:22" x14ac:dyDescent="0.3">
      <c r="A527" t="s">
        <v>578</v>
      </c>
      <c r="B527" t="s">
        <v>32</v>
      </c>
      <c r="C527" t="s">
        <v>28</v>
      </c>
      <c r="D527" t="s">
        <v>24</v>
      </c>
      <c r="E527">
        <v>301173</v>
      </c>
      <c r="F527">
        <v>163780</v>
      </c>
      <c r="G527">
        <v>196559</v>
      </c>
      <c r="H527">
        <v>17959</v>
      </c>
      <c r="I527">
        <v>1915</v>
      </c>
      <c r="J527">
        <v>478</v>
      </c>
      <c r="K527">
        <f t="shared" si="16"/>
        <v>12.426425693002809</v>
      </c>
      <c r="L527">
        <v>37006</v>
      </c>
      <c r="M527">
        <v>139766</v>
      </c>
      <c r="N527">
        <f t="shared" si="17"/>
        <v>277.68469977841431</v>
      </c>
      <c r="O527" s="4">
        <v>45837</v>
      </c>
      <c r="P527" s="4">
        <v>45855</v>
      </c>
      <c r="Q527" t="s">
        <v>41</v>
      </c>
      <c r="R527">
        <f>Table2[[#This Row],[End_Date]]-Table2[[#This Row],[Start_Date]]</f>
        <v>18</v>
      </c>
      <c r="S527" t="str">
        <f>TEXT(Table2[[#This Row],[Start_Date]],"MMM")</f>
        <v>Jun</v>
      </c>
      <c r="T527">
        <f>YEAR(Table2[[#This Row],[Start_Date]])</f>
        <v>2025</v>
      </c>
      <c r="U527">
        <f>Table2[[#This Row],[Campaign_Cost (₹)]]/Table2[[#This Row],[Reach]]</f>
        <v>0.22594944437660275</v>
      </c>
      <c r="V527">
        <f>Table2[[#This Row],[Revenue_Generated (₹)]]/Table2[[#This Row],[Reach]]</f>
        <v>0.85337648064476734</v>
      </c>
    </row>
    <row r="528" spans="1:22" x14ac:dyDescent="0.3">
      <c r="A528" t="s">
        <v>579</v>
      </c>
      <c r="B528" t="s">
        <v>36</v>
      </c>
      <c r="C528" t="s">
        <v>19</v>
      </c>
      <c r="D528" t="s">
        <v>24</v>
      </c>
      <c r="E528">
        <v>1189385</v>
      </c>
      <c r="F528">
        <v>441681</v>
      </c>
      <c r="G528">
        <v>949830</v>
      </c>
      <c r="H528">
        <v>44808</v>
      </c>
      <c r="I528">
        <v>6019</v>
      </c>
      <c r="J528">
        <v>2203</v>
      </c>
      <c r="K528">
        <f t="shared" si="16"/>
        <v>12.006402811078583</v>
      </c>
      <c r="L528">
        <v>209986</v>
      </c>
      <c r="M528">
        <v>1011241</v>
      </c>
      <c r="N528">
        <f t="shared" si="17"/>
        <v>381.57543836255752</v>
      </c>
      <c r="O528" s="4">
        <v>46050</v>
      </c>
      <c r="P528" s="4">
        <v>46080</v>
      </c>
      <c r="Q528" t="s">
        <v>54</v>
      </c>
      <c r="R528">
        <f>Table2[[#This Row],[End_Date]]-Table2[[#This Row],[Start_Date]]</f>
        <v>30</v>
      </c>
      <c r="S528" t="str">
        <f>TEXT(Table2[[#This Row],[Start_Date]],"MMM")</f>
        <v>Jan</v>
      </c>
      <c r="T528">
        <f>YEAR(Table2[[#This Row],[Start_Date]])</f>
        <v>2026</v>
      </c>
      <c r="U528">
        <f>Table2[[#This Row],[Campaign_Cost (₹)]]/Table2[[#This Row],[Reach]]</f>
        <v>0.47542457112712566</v>
      </c>
      <c r="V528">
        <f>Table2[[#This Row],[Revenue_Generated (₹)]]/Table2[[#This Row],[Reach]]</f>
        <v>2.2895279624887643</v>
      </c>
    </row>
    <row r="529" spans="1:22" x14ac:dyDescent="0.3">
      <c r="A529" t="s">
        <v>580</v>
      </c>
      <c r="B529" t="s">
        <v>63</v>
      </c>
      <c r="C529" t="s">
        <v>19</v>
      </c>
      <c r="D529" t="s">
        <v>58</v>
      </c>
      <c r="E529">
        <v>881857</v>
      </c>
      <c r="F529">
        <v>659501</v>
      </c>
      <c r="G529">
        <v>1091494</v>
      </c>
      <c r="H529">
        <v>22806</v>
      </c>
      <c r="I529">
        <v>1105</v>
      </c>
      <c r="J529">
        <v>797</v>
      </c>
      <c r="K529">
        <f t="shared" si="16"/>
        <v>3.7464689211995132</v>
      </c>
      <c r="L529">
        <v>93531</v>
      </c>
      <c r="M529">
        <v>371763</v>
      </c>
      <c r="N529">
        <f t="shared" si="17"/>
        <v>297.47570324277513</v>
      </c>
      <c r="O529" s="4">
        <v>46158</v>
      </c>
      <c r="P529" s="4">
        <v>46172</v>
      </c>
      <c r="Q529" t="s">
        <v>30</v>
      </c>
      <c r="R529">
        <f>Table2[[#This Row],[End_Date]]-Table2[[#This Row],[Start_Date]]</f>
        <v>14</v>
      </c>
      <c r="S529" t="str">
        <f>TEXT(Table2[[#This Row],[Start_Date]],"MMM")</f>
        <v>May</v>
      </c>
      <c r="T529">
        <f>YEAR(Table2[[#This Row],[Start_Date]])</f>
        <v>2026</v>
      </c>
      <c r="U529">
        <f>Table2[[#This Row],[Campaign_Cost (₹)]]/Table2[[#This Row],[Reach]]</f>
        <v>0.14182086153015688</v>
      </c>
      <c r="V529">
        <f>Table2[[#This Row],[Revenue_Generated (₹)]]/Table2[[#This Row],[Reach]]</f>
        <v>0.56370346671195348</v>
      </c>
    </row>
    <row r="530" spans="1:22" x14ac:dyDescent="0.3">
      <c r="A530" t="s">
        <v>581</v>
      </c>
      <c r="B530" t="s">
        <v>39</v>
      </c>
      <c r="C530" t="s">
        <v>43</v>
      </c>
      <c r="D530" t="s">
        <v>58</v>
      </c>
      <c r="E530">
        <v>927735</v>
      </c>
      <c r="F530">
        <v>599842</v>
      </c>
      <c r="G530">
        <v>1426204</v>
      </c>
      <c r="H530">
        <v>83098</v>
      </c>
      <c r="I530">
        <v>9774</v>
      </c>
      <c r="J530">
        <v>3128</v>
      </c>
      <c r="K530">
        <f t="shared" si="16"/>
        <v>16.004214443136693</v>
      </c>
      <c r="L530">
        <v>414175</v>
      </c>
      <c r="M530">
        <v>1810106</v>
      </c>
      <c r="N530">
        <f t="shared" si="17"/>
        <v>337.03893281825316</v>
      </c>
      <c r="O530" s="4">
        <v>46092</v>
      </c>
      <c r="P530" s="4">
        <v>46101</v>
      </c>
      <c r="Q530" t="s">
        <v>47</v>
      </c>
      <c r="R530">
        <f>Table2[[#This Row],[End_Date]]-Table2[[#This Row],[Start_Date]]</f>
        <v>9</v>
      </c>
      <c r="S530" t="str">
        <f>TEXT(Table2[[#This Row],[Start_Date]],"MMM")</f>
        <v>Mar</v>
      </c>
      <c r="T530">
        <f>YEAR(Table2[[#This Row],[Start_Date]])</f>
        <v>2026</v>
      </c>
      <c r="U530">
        <f>Table2[[#This Row],[Campaign_Cost (₹)]]/Table2[[#This Row],[Reach]]</f>
        <v>0.69047349135272285</v>
      </c>
      <c r="V530">
        <f>Table2[[#This Row],[Revenue_Generated (₹)]]/Table2[[#This Row],[Reach]]</f>
        <v>3.0176379780008737</v>
      </c>
    </row>
    <row r="531" spans="1:22" x14ac:dyDescent="0.3">
      <c r="A531" t="s">
        <v>582</v>
      </c>
      <c r="B531" t="s">
        <v>23</v>
      </c>
      <c r="C531" t="s">
        <v>28</v>
      </c>
      <c r="D531" t="s">
        <v>46</v>
      </c>
      <c r="E531">
        <v>1151264</v>
      </c>
      <c r="F531">
        <v>466187</v>
      </c>
      <c r="G531">
        <v>597072</v>
      </c>
      <c r="H531">
        <v>69657</v>
      </c>
      <c r="I531">
        <v>3515</v>
      </c>
      <c r="J531">
        <v>4452</v>
      </c>
      <c r="K531">
        <f t="shared" si="16"/>
        <v>16.650828959194484</v>
      </c>
      <c r="L531">
        <v>317023</v>
      </c>
      <c r="M531">
        <v>650714</v>
      </c>
      <c r="N531">
        <f t="shared" si="17"/>
        <v>105.25766269324308</v>
      </c>
      <c r="O531" s="4">
        <v>46047</v>
      </c>
      <c r="P531" s="4">
        <v>46063</v>
      </c>
      <c r="Q531" t="s">
        <v>30</v>
      </c>
      <c r="R531">
        <f>Table2[[#This Row],[End_Date]]-Table2[[#This Row],[Start_Date]]</f>
        <v>16</v>
      </c>
      <c r="S531" t="str">
        <f>TEXT(Table2[[#This Row],[Start_Date]],"MMM")</f>
        <v>Jan</v>
      </c>
      <c r="T531">
        <f>YEAR(Table2[[#This Row],[Start_Date]])</f>
        <v>2026</v>
      </c>
      <c r="U531">
        <f>Table2[[#This Row],[Campaign_Cost (₹)]]/Table2[[#This Row],[Reach]]</f>
        <v>0.68003397778144825</v>
      </c>
      <c r="V531">
        <f>Table2[[#This Row],[Revenue_Generated (₹)]]/Table2[[#This Row],[Reach]]</f>
        <v>1.3958218483140885</v>
      </c>
    </row>
    <row r="532" spans="1:22" x14ac:dyDescent="0.3">
      <c r="A532" t="s">
        <v>583</v>
      </c>
      <c r="B532" t="s">
        <v>18</v>
      </c>
      <c r="C532" t="s">
        <v>43</v>
      </c>
      <c r="D532" t="s">
        <v>51</v>
      </c>
      <c r="E532">
        <v>1730639</v>
      </c>
      <c r="F532">
        <v>1093560</v>
      </c>
      <c r="G532">
        <v>2315363</v>
      </c>
      <c r="H532">
        <v>150885</v>
      </c>
      <c r="I532">
        <v>14163</v>
      </c>
      <c r="J532">
        <v>12241</v>
      </c>
      <c r="K532">
        <f t="shared" si="16"/>
        <v>16.212096272723947</v>
      </c>
      <c r="L532">
        <v>217615</v>
      </c>
      <c r="M532">
        <v>1061389</v>
      </c>
      <c r="N532">
        <f t="shared" si="17"/>
        <v>387.73705856673485</v>
      </c>
      <c r="O532" s="4">
        <v>45829</v>
      </c>
      <c r="P532" s="4">
        <v>45840</v>
      </c>
      <c r="Q532" t="s">
        <v>30</v>
      </c>
      <c r="R532">
        <f>Table2[[#This Row],[End_Date]]-Table2[[#This Row],[Start_Date]]</f>
        <v>11</v>
      </c>
      <c r="S532" t="str">
        <f>TEXT(Table2[[#This Row],[Start_Date]],"MMM")</f>
        <v>Jun</v>
      </c>
      <c r="T532">
        <f>YEAR(Table2[[#This Row],[Start_Date]])</f>
        <v>2025</v>
      </c>
      <c r="U532">
        <f>Table2[[#This Row],[Campaign_Cost (₹)]]/Table2[[#This Row],[Reach]]</f>
        <v>0.1989968543106917</v>
      </c>
      <c r="V532">
        <f>Table2[[#This Row],[Revenue_Generated (₹)]]/Table2[[#This Row],[Reach]]</f>
        <v>0.97058140385529834</v>
      </c>
    </row>
    <row r="533" spans="1:22" x14ac:dyDescent="0.3">
      <c r="A533" t="s">
        <v>584</v>
      </c>
      <c r="B533" t="s">
        <v>49</v>
      </c>
      <c r="C533" t="s">
        <v>37</v>
      </c>
      <c r="D533" t="s">
        <v>20</v>
      </c>
      <c r="E533">
        <v>410586</v>
      </c>
      <c r="F533">
        <v>127649</v>
      </c>
      <c r="G533">
        <v>321552</v>
      </c>
      <c r="H533">
        <v>2577</v>
      </c>
      <c r="I533">
        <v>81</v>
      </c>
      <c r="J533">
        <v>75</v>
      </c>
      <c r="K533">
        <f t="shared" si="16"/>
        <v>2.1410273484320284</v>
      </c>
      <c r="L533">
        <v>363157</v>
      </c>
      <c r="M533">
        <v>611093</v>
      </c>
      <c r="N533">
        <f t="shared" si="17"/>
        <v>68.272400091420522</v>
      </c>
      <c r="O533" s="4">
        <v>46028</v>
      </c>
      <c r="P533" s="4">
        <v>46044</v>
      </c>
      <c r="Q533" t="s">
        <v>78</v>
      </c>
      <c r="R533">
        <f>Table2[[#This Row],[End_Date]]-Table2[[#This Row],[Start_Date]]</f>
        <v>16</v>
      </c>
      <c r="S533" t="str">
        <f>TEXT(Table2[[#This Row],[Start_Date]],"MMM")</f>
        <v>Jan</v>
      </c>
      <c r="T533">
        <f>YEAR(Table2[[#This Row],[Start_Date]])</f>
        <v>2026</v>
      </c>
      <c r="U533">
        <f>Table2[[#This Row],[Campaign_Cost (₹)]]/Table2[[#This Row],[Reach]]</f>
        <v>2.8449654913081965</v>
      </c>
      <c r="V533">
        <f>Table2[[#This Row],[Revenue_Generated (₹)]]/Table2[[#This Row],[Reach]]</f>
        <v>4.787291713996976</v>
      </c>
    </row>
    <row r="534" spans="1:22" x14ac:dyDescent="0.3">
      <c r="A534" t="s">
        <v>585</v>
      </c>
      <c r="B534" t="s">
        <v>75</v>
      </c>
      <c r="C534" t="s">
        <v>43</v>
      </c>
      <c r="D534" t="s">
        <v>24</v>
      </c>
      <c r="E534">
        <v>193377</v>
      </c>
      <c r="F534">
        <v>88367</v>
      </c>
      <c r="G534">
        <v>104265</v>
      </c>
      <c r="H534">
        <v>2893</v>
      </c>
      <c r="I534">
        <v>109</v>
      </c>
      <c r="J534">
        <v>91</v>
      </c>
      <c r="K534">
        <f t="shared" si="16"/>
        <v>3.5001754048457006</v>
      </c>
      <c r="L534">
        <v>34565</v>
      </c>
      <c r="M534">
        <v>65506</v>
      </c>
      <c r="N534">
        <f t="shared" si="17"/>
        <v>89.515405757268923</v>
      </c>
      <c r="O534" s="4">
        <v>45977</v>
      </c>
      <c r="P534" s="4">
        <v>45995</v>
      </c>
      <c r="Q534" t="s">
        <v>47</v>
      </c>
      <c r="R534">
        <f>Table2[[#This Row],[End_Date]]-Table2[[#This Row],[Start_Date]]</f>
        <v>18</v>
      </c>
      <c r="S534" t="str">
        <f>TEXT(Table2[[#This Row],[Start_Date]],"MMM")</f>
        <v>Nov</v>
      </c>
      <c r="T534">
        <f>YEAR(Table2[[#This Row],[Start_Date]])</f>
        <v>2025</v>
      </c>
      <c r="U534">
        <f>Table2[[#This Row],[Campaign_Cost (₹)]]/Table2[[#This Row],[Reach]]</f>
        <v>0.39115280591170914</v>
      </c>
      <c r="V534">
        <f>Table2[[#This Row],[Revenue_Generated (₹)]]/Table2[[#This Row],[Reach]]</f>
        <v>0.74129482725451812</v>
      </c>
    </row>
    <row r="535" spans="1:22" x14ac:dyDescent="0.3">
      <c r="A535" t="s">
        <v>586</v>
      </c>
      <c r="B535" t="s">
        <v>75</v>
      </c>
      <c r="C535" t="s">
        <v>33</v>
      </c>
      <c r="D535" t="s">
        <v>72</v>
      </c>
      <c r="E535">
        <v>1608882</v>
      </c>
      <c r="F535">
        <v>971774</v>
      </c>
      <c r="G535">
        <v>2914808</v>
      </c>
      <c r="H535">
        <v>103261</v>
      </c>
      <c r="I535">
        <v>4386</v>
      </c>
      <c r="J535">
        <v>8446</v>
      </c>
      <c r="K535">
        <f t="shared" si="16"/>
        <v>11.946501964448524</v>
      </c>
      <c r="L535">
        <v>389928</v>
      </c>
      <c r="M535">
        <v>1474442</v>
      </c>
      <c r="N535">
        <f t="shared" si="17"/>
        <v>278.13186024086497</v>
      </c>
      <c r="O535" s="4">
        <v>45675</v>
      </c>
      <c r="P535" s="4">
        <v>45705</v>
      </c>
      <c r="Q535" t="s">
        <v>34</v>
      </c>
      <c r="R535">
        <f>Table2[[#This Row],[End_Date]]-Table2[[#This Row],[Start_Date]]</f>
        <v>30</v>
      </c>
      <c r="S535" t="str">
        <f>TEXT(Table2[[#This Row],[Start_Date]],"MMM")</f>
        <v>Jan</v>
      </c>
      <c r="T535">
        <f>YEAR(Table2[[#This Row],[Start_Date]])</f>
        <v>2025</v>
      </c>
      <c r="U535">
        <f>Table2[[#This Row],[Campaign_Cost (₹)]]/Table2[[#This Row],[Reach]]</f>
        <v>0.40125378946133566</v>
      </c>
      <c r="V535">
        <f>Table2[[#This Row],[Revenue_Generated (₹)]]/Table2[[#This Row],[Reach]]</f>
        <v>1.5172684183771123</v>
      </c>
    </row>
    <row r="536" spans="1:22" x14ac:dyDescent="0.3">
      <c r="A536" t="s">
        <v>587</v>
      </c>
      <c r="B536" t="s">
        <v>80</v>
      </c>
      <c r="C536" t="s">
        <v>37</v>
      </c>
      <c r="D536" t="s">
        <v>46</v>
      </c>
      <c r="E536">
        <v>1539155</v>
      </c>
      <c r="F536">
        <v>1283313</v>
      </c>
      <c r="G536">
        <v>2161595</v>
      </c>
      <c r="H536">
        <v>156883</v>
      </c>
      <c r="I536">
        <v>13454</v>
      </c>
      <c r="J536">
        <v>6600</v>
      </c>
      <c r="K536">
        <f t="shared" si="16"/>
        <v>13.787517152869174</v>
      </c>
      <c r="L536">
        <v>34297</v>
      </c>
      <c r="M536">
        <v>139170</v>
      </c>
      <c r="N536">
        <f t="shared" si="17"/>
        <v>305.77893110184561</v>
      </c>
      <c r="O536" s="4">
        <v>46023</v>
      </c>
      <c r="P536" s="4">
        <v>46038</v>
      </c>
      <c r="Q536" t="s">
        <v>25</v>
      </c>
      <c r="R536">
        <f>Table2[[#This Row],[End_Date]]-Table2[[#This Row],[Start_Date]]</f>
        <v>15</v>
      </c>
      <c r="S536" t="str">
        <f>TEXT(Table2[[#This Row],[Start_Date]],"MMM")</f>
        <v>Jan</v>
      </c>
      <c r="T536">
        <f>YEAR(Table2[[#This Row],[Start_Date]])</f>
        <v>2026</v>
      </c>
      <c r="U536">
        <f>Table2[[#This Row],[Campaign_Cost (₹)]]/Table2[[#This Row],[Reach]]</f>
        <v>2.6725358505680221E-2</v>
      </c>
      <c r="V536">
        <f>Table2[[#This Row],[Revenue_Generated (₹)]]/Table2[[#This Row],[Reach]]</f>
        <v>0.10844587407748538</v>
      </c>
    </row>
    <row r="537" spans="1:22" x14ac:dyDescent="0.3">
      <c r="A537" t="s">
        <v>588</v>
      </c>
      <c r="B537" t="s">
        <v>57</v>
      </c>
      <c r="C537" t="s">
        <v>28</v>
      </c>
      <c r="D537" t="s">
        <v>51</v>
      </c>
      <c r="E537">
        <v>1232596</v>
      </c>
      <c r="F537">
        <v>884954</v>
      </c>
      <c r="G537">
        <v>1588827</v>
      </c>
      <c r="H537">
        <v>54203</v>
      </c>
      <c r="I537">
        <v>5476</v>
      </c>
      <c r="J537">
        <v>3677</v>
      </c>
      <c r="K537">
        <f t="shared" si="16"/>
        <v>7.1592421752995072</v>
      </c>
      <c r="L537">
        <v>334797</v>
      </c>
      <c r="M537">
        <v>850362</v>
      </c>
      <c r="N537">
        <f t="shared" si="17"/>
        <v>153.99331535228811</v>
      </c>
      <c r="O537" s="4">
        <v>46103</v>
      </c>
      <c r="P537" s="4">
        <v>46127</v>
      </c>
      <c r="Q537" t="s">
        <v>54</v>
      </c>
      <c r="R537">
        <f>Table2[[#This Row],[End_Date]]-Table2[[#This Row],[Start_Date]]</f>
        <v>24</v>
      </c>
      <c r="S537" t="str">
        <f>TEXT(Table2[[#This Row],[Start_Date]],"MMM")</f>
        <v>Mar</v>
      </c>
      <c r="T537">
        <f>YEAR(Table2[[#This Row],[Start_Date]])</f>
        <v>2026</v>
      </c>
      <c r="U537">
        <f>Table2[[#This Row],[Campaign_Cost (₹)]]/Table2[[#This Row],[Reach]]</f>
        <v>0.378321359076291</v>
      </c>
      <c r="V537">
        <f>Table2[[#This Row],[Revenue_Generated (₹)]]/Table2[[#This Row],[Reach]]</f>
        <v>0.96091096260370601</v>
      </c>
    </row>
    <row r="538" spans="1:22" x14ac:dyDescent="0.3">
      <c r="A538" t="s">
        <v>589</v>
      </c>
      <c r="B538" t="s">
        <v>49</v>
      </c>
      <c r="C538" t="s">
        <v>19</v>
      </c>
      <c r="D538" t="s">
        <v>51</v>
      </c>
      <c r="E538">
        <v>337944</v>
      </c>
      <c r="F538">
        <v>282087</v>
      </c>
      <c r="G538">
        <v>749822</v>
      </c>
      <c r="H538">
        <v>37389</v>
      </c>
      <c r="I538">
        <v>1336</v>
      </c>
      <c r="J538">
        <v>2637</v>
      </c>
      <c r="K538">
        <f t="shared" si="16"/>
        <v>14.662852240620802</v>
      </c>
      <c r="L538">
        <v>479602</v>
      </c>
      <c r="M538">
        <v>730825</v>
      </c>
      <c r="N538">
        <f t="shared" si="17"/>
        <v>52.381558041876389</v>
      </c>
      <c r="O538" s="4">
        <v>46005</v>
      </c>
      <c r="P538" s="4">
        <v>46028</v>
      </c>
      <c r="Q538" t="s">
        <v>78</v>
      </c>
      <c r="R538">
        <f>Table2[[#This Row],[End_Date]]-Table2[[#This Row],[Start_Date]]</f>
        <v>23</v>
      </c>
      <c r="S538" t="str">
        <f>TEXT(Table2[[#This Row],[Start_Date]],"MMM")</f>
        <v>Dec</v>
      </c>
      <c r="T538">
        <f>YEAR(Table2[[#This Row],[Start_Date]])</f>
        <v>2025</v>
      </c>
      <c r="U538">
        <f>Table2[[#This Row],[Campaign_Cost (₹)]]/Table2[[#This Row],[Reach]]</f>
        <v>1.7001917848039789</v>
      </c>
      <c r="V538">
        <f>Table2[[#This Row],[Revenue_Generated (₹)]]/Table2[[#This Row],[Reach]]</f>
        <v>2.5907787313842894</v>
      </c>
    </row>
    <row r="539" spans="1:22" x14ac:dyDescent="0.3">
      <c r="A539" t="s">
        <v>590</v>
      </c>
      <c r="B539" t="s">
        <v>45</v>
      </c>
      <c r="C539" t="s">
        <v>28</v>
      </c>
      <c r="D539" t="s">
        <v>46</v>
      </c>
      <c r="E539">
        <v>1767355</v>
      </c>
      <c r="F539">
        <v>1354758</v>
      </c>
      <c r="G539">
        <v>1733077</v>
      </c>
      <c r="H539">
        <v>88088</v>
      </c>
      <c r="I539">
        <v>6428</v>
      </c>
      <c r="J539">
        <v>1919</v>
      </c>
      <c r="K539">
        <f t="shared" si="16"/>
        <v>7.1182454726231557</v>
      </c>
      <c r="L539">
        <v>360889</v>
      </c>
      <c r="M539">
        <v>1579483</v>
      </c>
      <c r="N539">
        <f t="shared" si="17"/>
        <v>337.66448963531724</v>
      </c>
      <c r="O539" s="4">
        <v>45774</v>
      </c>
      <c r="P539" s="4">
        <v>45783</v>
      </c>
      <c r="Q539" t="s">
        <v>54</v>
      </c>
      <c r="R539">
        <f>Table2[[#This Row],[End_Date]]-Table2[[#This Row],[Start_Date]]</f>
        <v>9</v>
      </c>
      <c r="S539" t="str">
        <f>TEXT(Table2[[#This Row],[Start_Date]],"MMM")</f>
        <v>Apr</v>
      </c>
      <c r="T539">
        <f>YEAR(Table2[[#This Row],[Start_Date]])</f>
        <v>2025</v>
      </c>
      <c r="U539">
        <f>Table2[[#This Row],[Campaign_Cost (₹)]]/Table2[[#This Row],[Reach]]</f>
        <v>0.26638632139466972</v>
      </c>
      <c r="V539">
        <f>Table2[[#This Row],[Revenue_Generated (₹)]]/Table2[[#This Row],[Reach]]</f>
        <v>1.1658783339902772</v>
      </c>
    </row>
    <row r="540" spans="1:22" x14ac:dyDescent="0.3">
      <c r="A540" t="s">
        <v>591</v>
      </c>
      <c r="B540" t="s">
        <v>75</v>
      </c>
      <c r="C540" t="s">
        <v>37</v>
      </c>
      <c r="D540" t="s">
        <v>40</v>
      </c>
      <c r="E540">
        <v>530093</v>
      </c>
      <c r="F540">
        <v>383807</v>
      </c>
      <c r="G540">
        <v>1121486</v>
      </c>
      <c r="H540">
        <v>38239</v>
      </c>
      <c r="I540">
        <v>4499</v>
      </c>
      <c r="J540">
        <v>1534</v>
      </c>
      <c r="K540">
        <f t="shared" si="16"/>
        <v>11.534964187729772</v>
      </c>
      <c r="L540">
        <v>493459</v>
      </c>
      <c r="M540">
        <v>2391712</v>
      </c>
      <c r="N540">
        <f t="shared" si="17"/>
        <v>384.6830233109539</v>
      </c>
      <c r="O540" s="4">
        <v>45791</v>
      </c>
      <c r="P540" s="4">
        <v>45804</v>
      </c>
      <c r="Q540" t="s">
        <v>25</v>
      </c>
      <c r="R540">
        <f>Table2[[#This Row],[End_Date]]-Table2[[#This Row],[Start_Date]]</f>
        <v>13</v>
      </c>
      <c r="S540" t="str">
        <f>TEXT(Table2[[#This Row],[Start_Date]],"MMM")</f>
        <v>May</v>
      </c>
      <c r="T540">
        <f>YEAR(Table2[[#This Row],[Start_Date]])</f>
        <v>2025</v>
      </c>
      <c r="U540">
        <f>Table2[[#This Row],[Campaign_Cost (₹)]]/Table2[[#This Row],[Reach]]</f>
        <v>1.2856956751700725</v>
      </c>
      <c r="V540">
        <f>Table2[[#This Row],[Revenue_Generated (₹)]]/Table2[[#This Row],[Reach]]</f>
        <v>6.2315486689924882</v>
      </c>
    </row>
    <row r="541" spans="1:22" x14ac:dyDescent="0.3">
      <c r="A541" t="s">
        <v>592</v>
      </c>
      <c r="B541" t="s">
        <v>57</v>
      </c>
      <c r="C541" t="s">
        <v>43</v>
      </c>
      <c r="D541" t="s">
        <v>46</v>
      </c>
      <c r="E541">
        <v>488371</v>
      </c>
      <c r="F541">
        <v>305810</v>
      </c>
      <c r="G541">
        <v>516942</v>
      </c>
      <c r="H541">
        <v>21694</v>
      </c>
      <c r="I541">
        <v>971</v>
      </c>
      <c r="J541">
        <v>1859</v>
      </c>
      <c r="K541">
        <f t="shared" si="16"/>
        <v>8.0193584251659527</v>
      </c>
      <c r="L541">
        <v>127620</v>
      </c>
      <c r="M541">
        <v>373426</v>
      </c>
      <c r="N541">
        <f t="shared" si="17"/>
        <v>192.60774173327064</v>
      </c>
      <c r="O541" s="4">
        <v>45878</v>
      </c>
      <c r="P541" s="4">
        <v>45899</v>
      </c>
      <c r="Q541" t="s">
        <v>47</v>
      </c>
      <c r="R541">
        <f>Table2[[#This Row],[End_Date]]-Table2[[#This Row],[Start_Date]]</f>
        <v>21</v>
      </c>
      <c r="S541" t="str">
        <f>TEXT(Table2[[#This Row],[Start_Date]],"MMM")</f>
        <v>Aug</v>
      </c>
      <c r="T541">
        <f>YEAR(Table2[[#This Row],[Start_Date]])</f>
        <v>2025</v>
      </c>
      <c r="U541">
        <f>Table2[[#This Row],[Campaign_Cost (₹)]]/Table2[[#This Row],[Reach]]</f>
        <v>0.41731794251332527</v>
      </c>
      <c r="V541">
        <f>Table2[[#This Row],[Revenue_Generated (₹)]]/Table2[[#This Row],[Reach]]</f>
        <v>1.2211046074359897</v>
      </c>
    </row>
    <row r="542" spans="1:22" x14ac:dyDescent="0.3">
      <c r="A542" t="s">
        <v>593</v>
      </c>
      <c r="B542" t="s">
        <v>103</v>
      </c>
      <c r="C542" t="s">
        <v>19</v>
      </c>
      <c r="D542" t="s">
        <v>46</v>
      </c>
      <c r="E542">
        <v>1458827</v>
      </c>
      <c r="F542">
        <v>725376</v>
      </c>
      <c r="G542">
        <v>1030390</v>
      </c>
      <c r="H542">
        <v>66425</v>
      </c>
      <c r="I542">
        <v>5321</v>
      </c>
      <c r="J542">
        <v>4103</v>
      </c>
      <c r="K542">
        <f t="shared" si="16"/>
        <v>10.456508073054527</v>
      </c>
      <c r="L542">
        <v>122988</v>
      </c>
      <c r="M542">
        <v>407607</v>
      </c>
      <c r="N542">
        <f t="shared" si="17"/>
        <v>231.42013855010245</v>
      </c>
      <c r="O542" s="4">
        <v>45790</v>
      </c>
      <c r="P542" s="4">
        <v>45819</v>
      </c>
      <c r="Q542" t="s">
        <v>54</v>
      </c>
      <c r="R542">
        <f>Table2[[#This Row],[End_Date]]-Table2[[#This Row],[Start_Date]]</f>
        <v>29</v>
      </c>
      <c r="S542" t="str">
        <f>TEXT(Table2[[#This Row],[Start_Date]],"MMM")</f>
        <v>May</v>
      </c>
      <c r="T542">
        <f>YEAR(Table2[[#This Row],[Start_Date]])</f>
        <v>2025</v>
      </c>
      <c r="U542">
        <f>Table2[[#This Row],[Campaign_Cost (₹)]]/Table2[[#This Row],[Reach]]</f>
        <v>0.16955068819481206</v>
      </c>
      <c r="V542">
        <f>Table2[[#This Row],[Revenue_Generated (₹)]]/Table2[[#This Row],[Reach]]</f>
        <v>0.56192512572789832</v>
      </c>
    </row>
    <row r="543" spans="1:22" x14ac:dyDescent="0.3">
      <c r="A543" t="s">
        <v>594</v>
      </c>
      <c r="B543" t="s">
        <v>36</v>
      </c>
      <c r="C543" t="s">
        <v>19</v>
      </c>
      <c r="D543" t="s">
        <v>58</v>
      </c>
      <c r="E543">
        <v>1636494</v>
      </c>
      <c r="F543">
        <v>631693</v>
      </c>
      <c r="G543">
        <v>1044766</v>
      </c>
      <c r="H543">
        <v>37589</v>
      </c>
      <c r="I543">
        <v>2988</v>
      </c>
      <c r="J543">
        <v>997</v>
      </c>
      <c r="K543">
        <f t="shared" si="16"/>
        <v>6.581361515799605</v>
      </c>
      <c r="L543">
        <v>143538</v>
      </c>
      <c r="M543">
        <v>319114</v>
      </c>
      <c r="N543">
        <f t="shared" si="17"/>
        <v>122.32022182279256</v>
      </c>
      <c r="O543" s="4">
        <v>46049</v>
      </c>
      <c r="P543" s="4">
        <v>46068</v>
      </c>
      <c r="Q543" t="s">
        <v>41</v>
      </c>
      <c r="R543">
        <f>Table2[[#This Row],[End_Date]]-Table2[[#This Row],[Start_Date]]</f>
        <v>19</v>
      </c>
      <c r="S543" t="str">
        <f>TEXT(Table2[[#This Row],[Start_Date]],"MMM")</f>
        <v>Jan</v>
      </c>
      <c r="T543">
        <f>YEAR(Table2[[#This Row],[Start_Date]])</f>
        <v>2026</v>
      </c>
      <c r="U543">
        <f>Table2[[#This Row],[Campaign_Cost (₹)]]/Table2[[#This Row],[Reach]]</f>
        <v>0.22722746650667333</v>
      </c>
      <c r="V543">
        <f>Table2[[#This Row],[Revenue_Generated (₹)]]/Table2[[#This Row],[Reach]]</f>
        <v>0.50517260757994786</v>
      </c>
    </row>
    <row r="544" spans="1:22" x14ac:dyDescent="0.3">
      <c r="A544" t="s">
        <v>595</v>
      </c>
      <c r="B544" t="s">
        <v>57</v>
      </c>
      <c r="C544" t="s">
        <v>33</v>
      </c>
      <c r="D544" t="s">
        <v>72</v>
      </c>
      <c r="E544">
        <v>1412937</v>
      </c>
      <c r="F544">
        <v>510498</v>
      </c>
      <c r="G544">
        <v>1389163</v>
      </c>
      <c r="H544">
        <v>74708</v>
      </c>
      <c r="I544">
        <v>4235</v>
      </c>
      <c r="J544">
        <v>6011</v>
      </c>
      <c r="K544">
        <f t="shared" si="16"/>
        <v>16.641397223887264</v>
      </c>
      <c r="L544">
        <v>112704</v>
      </c>
      <c r="M544">
        <v>503541</v>
      </c>
      <c r="N544">
        <f t="shared" si="17"/>
        <v>346.78183560476998</v>
      </c>
      <c r="O544" s="4">
        <v>45765</v>
      </c>
      <c r="P544" s="4">
        <v>45782</v>
      </c>
      <c r="Q544" t="s">
        <v>54</v>
      </c>
      <c r="R544">
        <f>Table2[[#This Row],[End_Date]]-Table2[[#This Row],[Start_Date]]</f>
        <v>17</v>
      </c>
      <c r="S544" t="str">
        <f>TEXT(Table2[[#This Row],[Start_Date]],"MMM")</f>
        <v>Apr</v>
      </c>
      <c r="T544">
        <f>YEAR(Table2[[#This Row],[Start_Date]])</f>
        <v>2025</v>
      </c>
      <c r="U544">
        <f>Table2[[#This Row],[Campaign_Cost (₹)]]/Table2[[#This Row],[Reach]]</f>
        <v>0.22077265728758977</v>
      </c>
      <c r="V544">
        <f>Table2[[#This Row],[Revenue_Generated (₹)]]/Table2[[#This Row],[Reach]]</f>
        <v>0.98637213074292163</v>
      </c>
    </row>
    <row r="545" spans="1:22" x14ac:dyDescent="0.3">
      <c r="A545" t="s">
        <v>596</v>
      </c>
      <c r="B545" t="s">
        <v>27</v>
      </c>
      <c r="C545" t="s">
        <v>28</v>
      </c>
      <c r="D545" t="s">
        <v>29</v>
      </c>
      <c r="E545">
        <v>914432</v>
      </c>
      <c r="F545">
        <v>659017</v>
      </c>
      <c r="G545">
        <v>1957191</v>
      </c>
      <c r="H545">
        <v>81835</v>
      </c>
      <c r="I545">
        <v>3888</v>
      </c>
      <c r="J545">
        <v>2451</v>
      </c>
      <c r="K545">
        <f t="shared" si="16"/>
        <v>13.379624501340635</v>
      </c>
      <c r="L545">
        <v>32905</v>
      </c>
      <c r="M545">
        <v>60164</v>
      </c>
      <c r="N545">
        <f t="shared" si="17"/>
        <v>82.841513447804289</v>
      </c>
      <c r="O545" s="4">
        <v>45723</v>
      </c>
      <c r="P545" s="4">
        <v>45751</v>
      </c>
      <c r="Q545" t="s">
        <v>34</v>
      </c>
      <c r="R545">
        <f>Table2[[#This Row],[End_Date]]-Table2[[#This Row],[Start_Date]]</f>
        <v>28</v>
      </c>
      <c r="S545" t="str">
        <f>TEXT(Table2[[#This Row],[Start_Date]],"MMM")</f>
        <v>Mar</v>
      </c>
      <c r="T545">
        <f>YEAR(Table2[[#This Row],[Start_Date]])</f>
        <v>2025</v>
      </c>
      <c r="U545">
        <f>Table2[[#This Row],[Campaign_Cost (₹)]]/Table2[[#This Row],[Reach]]</f>
        <v>4.9930426680950567E-2</v>
      </c>
      <c r="V545">
        <f>Table2[[#This Row],[Revenue_Generated (₹)]]/Table2[[#This Row],[Reach]]</f>
        <v>9.1293547814396289E-2</v>
      </c>
    </row>
    <row r="546" spans="1:22" x14ac:dyDescent="0.3">
      <c r="A546" t="s">
        <v>597</v>
      </c>
      <c r="B546" t="s">
        <v>63</v>
      </c>
      <c r="C546" t="s">
        <v>37</v>
      </c>
      <c r="D546" t="s">
        <v>20</v>
      </c>
      <c r="E546">
        <v>1795784</v>
      </c>
      <c r="F546">
        <v>1239335</v>
      </c>
      <c r="G546">
        <v>2960997</v>
      </c>
      <c r="H546">
        <v>143445</v>
      </c>
      <c r="I546">
        <v>13603</v>
      </c>
      <c r="J546">
        <v>6605</v>
      </c>
      <c r="K546">
        <f t="shared" si="16"/>
        <v>13.204904243001286</v>
      </c>
      <c r="L546">
        <v>472862</v>
      </c>
      <c r="M546">
        <v>1999765</v>
      </c>
      <c r="N546">
        <f t="shared" si="17"/>
        <v>322.90668313376841</v>
      </c>
      <c r="O546" s="4">
        <v>45847</v>
      </c>
      <c r="P546" s="4">
        <v>45861</v>
      </c>
      <c r="Q546" t="s">
        <v>21</v>
      </c>
      <c r="R546">
        <f>Table2[[#This Row],[End_Date]]-Table2[[#This Row],[Start_Date]]</f>
        <v>14</v>
      </c>
      <c r="S546" t="str">
        <f>TEXT(Table2[[#This Row],[Start_Date]],"MMM")</f>
        <v>Jul</v>
      </c>
      <c r="T546">
        <f>YEAR(Table2[[#This Row],[Start_Date]])</f>
        <v>2025</v>
      </c>
      <c r="U546">
        <f>Table2[[#This Row],[Campaign_Cost (₹)]]/Table2[[#This Row],[Reach]]</f>
        <v>0.38154494144036921</v>
      </c>
      <c r="V546">
        <f>Table2[[#This Row],[Revenue_Generated (₹)]]/Table2[[#This Row],[Reach]]</f>
        <v>1.6135790565101447</v>
      </c>
    </row>
    <row r="547" spans="1:22" x14ac:dyDescent="0.3">
      <c r="A547" t="s">
        <v>598</v>
      </c>
      <c r="B547" t="s">
        <v>36</v>
      </c>
      <c r="C547" t="s">
        <v>33</v>
      </c>
      <c r="D547" t="s">
        <v>29</v>
      </c>
      <c r="E547">
        <v>243147</v>
      </c>
      <c r="F547">
        <v>187222</v>
      </c>
      <c r="G547">
        <v>259600</v>
      </c>
      <c r="H547">
        <v>26319</v>
      </c>
      <c r="I547">
        <v>3514</v>
      </c>
      <c r="J547">
        <v>2403</v>
      </c>
      <c r="K547">
        <f t="shared" si="16"/>
        <v>17.218061979895523</v>
      </c>
      <c r="L547">
        <v>278541</v>
      </c>
      <c r="M547">
        <v>452498</v>
      </c>
      <c r="N547">
        <f t="shared" si="17"/>
        <v>62.452924345069484</v>
      </c>
      <c r="O547" s="4">
        <v>45986</v>
      </c>
      <c r="P547" s="4">
        <v>46015</v>
      </c>
      <c r="Q547" t="s">
        <v>78</v>
      </c>
      <c r="R547">
        <f>Table2[[#This Row],[End_Date]]-Table2[[#This Row],[Start_Date]]</f>
        <v>29</v>
      </c>
      <c r="S547" t="str">
        <f>TEXT(Table2[[#This Row],[Start_Date]],"MMM")</f>
        <v>Nov</v>
      </c>
      <c r="T547">
        <f>YEAR(Table2[[#This Row],[Start_Date]])</f>
        <v>2025</v>
      </c>
      <c r="U547">
        <f>Table2[[#This Row],[Campaign_Cost (₹)]]/Table2[[#This Row],[Reach]]</f>
        <v>1.4877578489707406</v>
      </c>
      <c r="V547">
        <f>Table2[[#This Row],[Revenue_Generated (₹)]]/Table2[[#This Row],[Reach]]</f>
        <v>2.4169061328262704</v>
      </c>
    </row>
    <row r="548" spans="1:22" x14ac:dyDescent="0.3">
      <c r="A548" t="s">
        <v>599</v>
      </c>
      <c r="B548" t="s">
        <v>18</v>
      </c>
      <c r="C548" t="s">
        <v>37</v>
      </c>
      <c r="D548" t="s">
        <v>29</v>
      </c>
      <c r="E548">
        <v>944674</v>
      </c>
      <c r="F548">
        <v>582490</v>
      </c>
      <c r="G548">
        <v>1596373</v>
      </c>
      <c r="H548">
        <v>73676</v>
      </c>
      <c r="I548">
        <v>7556</v>
      </c>
      <c r="J548">
        <v>3714</v>
      </c>
      <c r="K548">
        <f t="shared" si="16"/>
        <v>14.583254648148467</v>
      </c>
      <c r="L548">
        <v>357581</v>
      </c>
      <c r="M548">
        <v>1311480</v>
      </c>
      <c r="N548">
        <f t="shared" si="17"/>
        <v>266.76445336860741</v>
      </c>
      <c r="O548" s="4">
        <v>46100</v>
      </c>
      <c r="P548" s="4">
        <v>46117</v>
      </c>
      <c r="Q548" t="s">
        <v>21</v>
      </c>
      <c r="R548">
        <f>Table2[[#This Row],[End_Date]]-Table2[[#This Row],[Start_Date]]</f>
        <v>17</v>
      </c>
      <c r="S548" t="str">
        <f>TEXT(Table2[[#This Row],[Start_Date]],"MMM")</f>
        <v>Mar</v>
      </c>
      <c r="T548">
        <f>YEAR(Table2[[#This Row],[Start_Date]])</f>
        <v>2026</v>
      </c>
      <c r="U548">
        <f>Table2[[#This Row],[Campaign_Cost (₹)]]/Table2[[#This Row],[Reach]]</f>
        <v>0.6138835001459253</v>
      </c>
      <c r="V548">
        <f>Table2[[#This Row],[Revenue_Generated (₹)]]/Table2[[#This Row],[Reach]]</f>
        <v>2.2515064636302768</v>
      </c>
    </row>
    <row r="549" spans="1:22" x14ac:dyDescent="0.3">
      <c r="A549" t="s">
        <v>600</v>
      </c>
      <c r="B549" t="s">
        <v>49</v>
      </c>
      <c r="C549" t="s">
        <v>37</v>
      </c>
      <c r="D549" t="s">
        <v>40</v>
      </c>
      <c r="E549">
        <v>1283900</v>
      </c>
      <c r="F549">
        <v>864397</v>
      </c>
      <c r="G549">
        <v>2159018</v>
      </c>
      <c r="H549">
        <v>82925</v>
      </c>
      <c r="I549">
        <v>10774</v>
      </c>
      <c r="J549">
        <v>2292</v>
      </c>
      <c r="K549">
        <f t="shared" si="16"/>
        <v>11.104966815016711</v>
      </c>
      <c r="L549">
        <v>30902</v>
      </c>
      <c r="M549">
        <v>92123</v>
      </c>
      <c r="N549">
        <f t="shared" si="17"/>
        <v>198.11339071904729</v>
      </c>
      <c r="O549" s="4">
        <v>46098</v>
      </c>
      <c r="P549" s="4">
        <v>46122</v>
      </c>
      <c r="Q549" t="s">
        <v>21</v>
      </c>
      <c r="R549">
        <f>Table2[[#This Row],[End_Date]]-Table2[[#This Row],[Start_Date]]</f>
        <v>24</v>
      </c>
      <c r="S549" t="str">
        <f>TEXT(Table2[[#This Row],[Start_Date]],"MMM")</f>
        <v>Mar</v>
      </c>
      <c r="T549">
        <f>YEAR(Table2[[#This Row],[Start_Date]])</f>
        <v>2026</v>
      </c>
      <c r="U549">
        <f>Table2[[#This Row],[Campaign_Cost (₹)]]/Table2[[#This Row],[Reach]]</f>
        <v>3.5749777012183057E-2</v>
      </c>
      <c r="V549">
        <f>Table2[[#This Row],[Revenue_Generated (₹)]]/Table2[[#This Row],[Reach]]</f>
        <v>0.10657487242551744</v>
      </c>
    </row>
    <row r="550" spans="1:22" x14ac:dyDescent="0.3">
      <c r="A550" t="s">
        <v>601</v>
      </c>
      <c r="B550" t="s">
        <v>103</v>
      </c>
      <c r="C550" t="s">
        <v>28</v>
      </c>
      <c r="D550" t="s">
        <v>46</v>
      </c>
      <c r="E550">
        <v>1565575</v>
      </c>
      <c r="F550">
        <v>663608</v>
      </c>
      <c r="G550">
        <v>1614855</v>
      </c>
      <c r="H550">
        <v>53524</v>
      </c>
      <c r="I550">
        <v>6203</v>
      </c>
      <c r="J550">
        <v>4064</v>
      </c>
      <c r="K550">
        <f t="shared" si="16"/>
        <v>9.6127533121963573</v>
      </c>
      <c r="L550">
        <v>18722</v>
      </c>
      <c r="M550">
        <v>24811</v>
      </c>
      <c r="N550">
        <f t="shared" si="17"/>
        <v>32.523234697147743</v>
      </c>
      <c r="O550" s="4">
        <v>45956</v>
      </c>
      <c r="P550" s="4">
        <v>45970</v>
      </c>
      <c r="Q550" t="s">
        <v>34</v>
      </c>
      <c r="R550">
        <f>Table2[[#This Row],[End_Date]]-Table2[[#This Row],[Start_Date]]</f>
        <v>14</v>
      </c>
      <c r="S550" t="str">
        <f>TEXT(Table2[[#This Row],[Start_Date]],"MMM")</f>
        <v>Oct</v>
      </c>
      <c r="T550">
        <f>YEAR(Table2[[#This Row],[Start_Date]])</f>
        <v>2025</v>
      </c>
      <c r="U550">
        <f>Table2[[#This Row],[Campaign_Cost (₹)]]/Table2[[#This Row],[Reach]]</f>
        <v>2.8212438668611589E-2</v>
      </c>
      <c r="V550">
        <f>Table2[[#This Row],[Revenue_Generated (₹)]]/Table2[[#This Row],[Reach]]</f>
        <v>3.7388036310593002E-2</v>
      </c>
    </row>
    <row r="551" spans="1:22" x14ac:dyDescent="0.3">
      <c r="A551" t="s">
        <v>602</v>
      </c>
      <c r="B551" t="s">
        <v>63</v>
      </c>
      <c r="C551" t="s">
        <v>37</v>
      </c>
      <c r="D551" t="s">
        <v>46</v>
      </c>
      <c r="E551">
        <v>1844106</v>
      </c>
      <c r="F551">
        <v>1530399</v>
      </c>
      <c r="G551">
        <v>3523829</v>
      </c>
      <c r="H551">
        <v>140732</v>
      </c>
      <c r="I551">
        <v>13019</v>
      </c>
      <c r="J551">
        <v>11295</v>
      </c>
      <c r="K551">
        <f t="shared" si="16"/>
        <v>10.784507830964344</v>
      </c>
      <c r="L551">
        <v>444832</v>
      </c>
      <c r="M551">
        <v>2029470</v>
      </c>
      <c r="N551">
        <f t="shared" si="17"/>
        <v>356.23291489820878</v>
      </c>
      <c r="O551" s="4">
        <v>45780</v>
      </c>
      <c r="P551" s="4">
        <v>45790</v>
      </c>
      <c r="Q551" t="s">
        <v>78</v>
      </c>
      <c r="R551">
        <f>Table2[[#This Row],[End_Date]]-Table2[[#This Row],[Start_Date]]</f>
        <v>10</v>
      </c>
      <c r="S551" t="str">
        <f>TEXT(Table2[[#This Row],[Start_Date]],"MMM")</f>
        <v>May</v>
      </c>
      <c r="T551">
        <f>YEAR(Table2[[#This Row],[Start_Date]])</f>
        <v>2025</v>
      </c>
      <c r="U551">
        <f>Table2[[#This Row],[Campaign_Cost (₹)]]/Table2[[#This Row],[Reach]]</f>
        <v>0.29066406865137784</v>
      </c>
      <c r="V551">
        <f>Table2[[#This Row],[Revenue_Generated (₹)]]/Table2[[#This Row],[Reach]]</f>
        <v>1.3261051529699117</v>
      </c>
    </row>
    <row r="552" spans="1:22" x14ac:dyDescent="0.3">
      <c r="A552" t="s">
        <v>603</v>
      </c>
      <c r="B552" t="s">
        <v>23</v>
      </c>
      <c r="C552" t="s">
        <v>37</v>
      </c>
      <c r="D552" t="s">
        <v>58</v>
      </c>
      <c r="E552">
        <v>1603050</v>
      </c>
      <c r="F552">
        <v>615821</v>
      </c>
      <c r="G552">
        <v>1716999</v>
      </c>
      <c r="H552">
        <v>42602</v>
      </c>
      <c r="I552">
        <v>5810</v>
      </c>
      <c r="J552">
        <v>1297</v>
      </c>
      <c r="K552">
        <f t="shared" si="16"/>
        <v>8.0719884511895508</v>
      </c>
      <c r="L552">
        <v>127748</v>
      </c>
      <c r="M552">
        <v>430088</v>
      </c>
      <c r="N552">
        <f t="shared" si="17"/>
        <v>236.66906722610136</v>
      </c>
      <c r="O552" s="4">
        <v>45687</v>
      </c>
      <c r="P552" s="4">
        <v>45716</v>
      </c>
      <c r="Q552" t="s">
        <v>25</v>
      </c>
      <c r="R552">
        <f>Table2[[#This Row],[End_Date]]-Table2[[#This Row],[Start_Date]]</f>
        <v>29</v>
      </c>
      <c r="S552" t="str">
        <f>TEXT(Table2[[#This Row],[Start_Date]],"MMM")</f>
        <v>Jan</v>
      </c>
      <c r="T552">
        <f>YEAR(Table2[[#This Row],[Start_Date]])</f>
        <v>2025</v>
      </c>
      <c r="U552">
        <f>Table2[[#This Row],[Campaign_Cost (₹)]]/Table2[[#This Row],[Reach]]</f>
        <v>0.20744339670131418</v>
      </c>
      <c r="V552">
        <f>Table2[[#This Row],[Revenue_Generated (₹)]]/Table2[[#This Row],[Reach]]</f>
        <v>0.69839774869645566</v>
      </c>
    </row>
    <row r="553" spans="1:22" x14ac:dyDescent="0.3">
      <c r="A553" t="s">
        <v>604</v>
      </c>
      <c r="B553" t="s">
        <v>61</v>
      </c>
      <c r="C553" t="s">
        <v>28</v>
      </c>
      <c r="D553" t="s">
        <v>72</v>
      </c>
      <c r="E553">
        <v>1924471</v>
      </c>
      <c r="F553">
        <v>1156182</v>
      </c>
      <c r="G553">
        <v>1736819</v>
      </c>
      <c r="H553">
        <v>35330</v>
      </c>
      <c r="I553">
        <v>4579</v>
      </c>
      <c r="J553">
        <v>1692</v>
      </c>
      <c r="K553">
        <f t="shared" si="16"/>
        <v>3.5981359336159877</v>
      </c>
      <c r="L553">
        <v>223924</v>
      </c>
      <c r="M553">
        <v>751114</v>
      </c>
      <c r="N553">
        <f t="shared" si="17"/>
        <v>235.43255747485756</v>
      </c>
      <c r="O553" s="4">
        <v>45937</v>
      </c>
      <c r="P553" s="4">
        <v>45967</v>
      </c>
      <c r="Q553" t="s">
        <v>21</v>
      </c>
      <c r="R553">
        <f>Table2[[#This Row],[End_Date]]-Table2[[#This Row],[Start_Date]]</f>
        <v>30</v>
      </c>
      <c r="S553" t="str">
        <f>TEXT(Table2[[#This Row],[Start_Date]],"MMM")</f>
        <v>Oct</v>
      </c>
      <c r="T553">
        <f>YEAR(Table2[[#This Row],[Start_Date]])</f>
        <v>2025</v>
      </c>
      <c r="U553">
        <f>Table2[[#This Row],[Campaign_Cost (₹)]]/Table2[[#This Row],[Reach]]</f>
        <v>0.19367539020673216</v>
      </c>
      <c r="V553">
        <f>Table2[[#This Row],[Revenue_Generated (₹)]]/Table2[[#This Row],[Reach]]</f>
        <v>0.64965031456985145</v>
      </c>
    </row>
    <row r="554" spans="1:22" x14ac:dyDescent="0.3">
      <c r="A554" t="s">
        <v>605</v>
      </c>
      <c r="B554" t="s">
        <v>53</v>
      </c>
      <c r="C554" t="s">
        <v>19</v>
      </c>
      <c r="D554" t="s">
        <v>40</v>
      </c>
      <c r="E554">
        <v>73966</v>
      </c>
      <c r="F554">
        <v>37806</v>
      </c>
      <c r="G554">
        <v>54545</v>
      </c>
      <c r="H554">
        <v>2486</v>
      </c>
      <c r="I554">
        <v>298</v>
      </c>
      <c r="J554">
        <v>76</v>
      </c>
      <c r="K554">
        <f t="shared" si="16"/>
        <v>7.5649367825212934</v>
      </c>
      <c r="L554">
        <v>334065</v>
      </c>
      <c r="M554">
        <v>760381</v>
      </c>
      <c r="N554">
        <f t="shared" si="17"/>
        <v>127.61468576474637</v>
      </c>
      <c r="O554" s="4">
        <v>46053</v>
      </c>
      <c r="P554" s="4">
        <v>46081</v>
      </c>
      <c r="Q554" t="s">
        <v>25</v>
      </c>
      <c r="R554">
        <f>Table2[[#This Row],[End_Date]]-Table2[[#This Row],[Start_Date]]</f>
        <v>28</v>
      </c>
      <c r="S554" t="str">
        <f>TEXT(Table2[[#This Row],[Start_Date]],"MMM")</f>
        <v>Jan</v>
      </c>
      <c r="T554">
        <f>YEAR(Table2[[#This Row],[Start_Date]])</f>
        <v>2026</v>
      </c>
      <c r="U554">
        <f>Table2[[#This Row],[Campaign_Cost (₹)]]/Table2[[#This Row],[Reach]]</f>
        <v>8.8362958260593558</v>
      </c>
      <c r="V554">
        <f>Table2[[#This Row],[Revenue_Generated (₹)]]/Table2[[#This Row],[Reach]]</f>
        <v>20.112706977728404</v>
      </c>
    </row>
    <row r="555" spans="1:22" x14ac:dyDescent="0.3">
      <c r="A555" t="s">
        <v>606</v>
      </c>
      <c r="B555" t="s">
        <v>39</v>
      </c>
      <c r="C555" t="s">
        <v>28</v>
      </c>
      <c r="D555" t="s">
        <v>40</v>
      </c>
      <c r="E555">
        <v>1541654</v>
      </c>
      <c r="F555">
        <v>979097</v>
      </c>
      <c r="G555">
        <v>2862794</v>
      </c>
      <c r="H555">
        <v>51795</v>
      </c>
      <c r="I555">
        <v>7498</v>
      </c>
      <c r="J555">
        <v>3056</v>
      </c>
      <c r="K555">
        <f t="shared" si="16"/>
        <v>6.3680105239828126</v>
      </c>
      <c r="L555">
        <v>436250</v>
      </c>
      <c r="M555">
        <v>1015452</v>
      </c>
      <c r="N555">
        <f t="shared" si="17"/>
        <v>132.76836676217764</v>
      </c>
      <c r="O555" s="4">
        <v>46113</v>
      </c>
      <c r="P555" s="4">
        <v>46129</v>
      </c>
      <c r="Q555" t="s">
        <v>25</v>
      </c>
      <c r="R555">
        <f>Table2[[#This Row],[End_Date]]-Table2[[#This Row],[Start_Date]]</f>
        <v>16</v>
      </c>
      <c r="S555" t="str">
        <f>TEXT(Table2[[#This Row],[Start_Date]],"MMM")</f>
        <v>Apr</v>
      </c>
      <c r="T555">
        <f>YEAR(Table2[[#This Row],[Start_Date]])</f>
        <v>2026</v>
      </c>
      <c r="U555">
        <f>Table2[[#This Row],[Campaign_Cost (₹)]]/Table2[[#This Row],[Reach]]</f>
        <v>0.44556361627091084</v>
      </c>
      <c r="V555">
        <f>Table2[[#This Row],[Revenue_Generated (₹)]]/Table2[[#This Row],[Reach]]</f>
        <v>1.0371311524802955</v>
      </c>
    </row>
    <row r="556" spans="1:22" x14ac:dyDescent="0.3">
      <c r="A556" t="s">
        <v>607</v>
      </c>
      <c r="B556" t="s">
        <v>27</v>
      </c>
      <c r="C556" t="s">
        <v>37</v>
      </c>
      <c r="D556" t="s">
        <v>46</v>
      </c>
      <c r="E556">
        <v>1832214</v>
      </c>
      <c r="F556">
        <v>1273689</v>
      </c>
      <c r="G556">
        <v>3380102</v>
      </c>
      <c r="H556">
        <v>41618</v>
      </c>
      <c r="I556">
        <v>5335</v>
      </c>
      <c r="J556">
        <v>3144</v>
      </c>
      <c r="K556">
        <f t="shared" si="16"/>
        <v>3.9332207469798353</v>
      </c>
      <c r="L556">
        <v>73723</v>
      </c>
      <c r="M556">
        <v>145632</v>
      </c>
      <c r="N556">
        <f t="shared" si="17"/>
        <v>97.53943816719341</v>
      </c>
      <c r="O556" s="4">
        <v>46009</v>
      </c>
      <c r="P556" s="4">
        <v>46019</v>
      </c>
      <c r="Q556" t="s">
        <v>34</v>
      </c>
      <c r="R556">
        <f>Table2[[#This Row],[End_Date]]-Table2[[#This Row],[Start_Date]]</f>
        <v>10</v>
      </c>
      <c r="S556" t="str">
        <f>TEXT(Table2[[#This Row],[Start_Date]],"MMM")</f>
        <v>Dec</v>
      </c>
      <c r="T556">
        <f>YEAR(Table2[[#This Row],[Start_Date]])</f>
        <v>2025</v>
      </c>
      <c r="U556">
        <f>Table2[[#This Row],[Campaign_Cost (₹)]]/Table2[[#This Row],[Reach]]</f>
        <v>5.788147656138979E-2</v>
      </c>
      <c r="V556">
        <f>Table2[[#This Row],[Revenue_Generated (₹)]]/Table2[[#This Row],[Reach]]</f>
        <v>0.11433874360224514</v>
      </c>
    </row>
    <row r="557" spans="1:22" x14ac:dyDescent="0.3">
      <c r="A557" t="s">
        <v>608</v>
      </c>
      <c r="B557" t="s">
        <v>103</v>
      </c>
      <c r="C557" t="s">
        <v>19</v>
      </c>
      <c r="D557" t="s">
        <v>20</v>
      </c>
      <c r="E557">
        <v>223478</v>
      </c>
      <c r="F557">
        <v>172611</v>
      </c>
      <c r="G557">
        <v>356852</v>
      </c>
      <c r="H557">
        <v>11150</v>
      </c>
      <c r="I557">
        <v>1213</v>
      </c>
      <c r="J557">
        <v>543</v>
      </c>
      <c r="K557">
        <f t="shared" si="16"/>
        <v>7.4769278898795557</v>
      </c>
      <c r="L557">
        <v>12496</v>
      </c>
      <c r="M557">
        <v>25855</v>
      </c>
      <c r="N557">
        <f t="shared" si="17"/>
        <v>106.90620998719591</v>
      </c>
      <c r="O557" s="4">
        <v>45892</v>
      </c>
      <c r="P557" s="4">
        <v>45922</v>
      </c>
      <c r="Q557" t="s">
        <v>54</v>
      </c>
      <c r="R557">
        <f>Table2[[#This Row],[End_Date]]-Table2[[#This Row],[Start_Date]]</f>
        <v>30</v>
      </c>
      <c r="S557" t="str">
        <f>TEXT(Table2[[#This Row],[Start_Date]],"MMM")</f>
        <v>Aug</v>
      </c>
      <c r="T557">
        <f>YEAR(Table2[[#This Row],[Start_Date]])</f>
        <v>2025</v>
      </c>
      <c r="U557">
        <f>Table2[[#This Row],[Campaign_Cost (₹)]]/Table2[[#This Row],[Reach]]</f>
        <v>7.2393995747663822E-2</v>
      </c>
      <c r="V557">
        <f>Table2[[#This Row],[Revenue_Generated (₹)]]/Table2[[#This Row],[Reach]]</f>
        <v>0.14978767285978298</v>
      </c>
    </row>
    <row r="558" spans="1:22" x14ac:dyDescent="0.3">
      <c r="A558" t="s">
        <v>609</v>
      </c>
      <c r="B558" t="s">
        <v>61</v>
      </c>
      <c r="C558" t="s">
        <v>19</v>
      </c>
      <c r="D558" t="s">
        <v>51</v>
      </c>
      <c r="E558">
        <v>595104</v>
      </c>
      <c r="F558">
        <v>483433</v>
      </c>
      <c r="G558">
        <v>1259087</v>
      </c>
      <c r="H558">
        <v>61437</v>
      </c>
      <c r="I558">
        <v>2634</v>
      </c>
      <c r="J558">
        <v>5574</v>
      </c>
      <c r="K558">
        <f t="shared" si="16"/>
        <v>14.406339658235993</v>
      </c>
      <c r="L558">
        <v>202876</v>
      </c>
      <c r="M558">
        <v>618010</v>
      </c>
      <c r="N558">
        <f t="shared" si="17"/>
        <v>204.62449969439461</v>
      </c>
      <c r="O558" s="4">
        <v>45720</v>
      </c>
      <c r="P558" s="4">
        <v>45738</v>
      </c>
      <c r="Q558" t="s">
        <v>25</v>
      </c>
      <c r="R558">
        <f>Table2[[#This Row],[End_Date]]-Table2[[#This Row],[Start_Date]]</f>
        <v>18</v>
      </c>
      <c r="S558" t="str">
        <f>TEXT(Table2[[#This Row],[Start_Date]],"MMM")</f>
        <v>Mar</v>
      </c>
      <c r="T558">
        <f>YEAR(Table2[[#This Row],[Start_Date]])</f>
        <v>2025</v>
      </c>
      <c r="U558">
        <f>Table2[[#This Row],[Campaign_Cost (₹)]]/Table2[[#This Row],[Reach]]</f>
        <v>0.419656912126396</v>
      </c>
      <c r="V558">
        <f>Table2[[#This Row],[Revenue_Generated (₹)]]/Table2[[#This Row],[Reach]]</f>
        <v>1.2783777689979789</v>
      </c>
    </row>
    <row r="559" spans="1:22" x14ac:dyDescent="0.3">
      <c r="A559" t="s">
        <v>610</v>
      </c>
      <c r="B559" t="s">
        <v>103</v>
      </c>
      <c r="C559" t="s">
        <v>43</v>
      </c>
      <c r="D559" t="s">
        <v>29</v>
      </c>
      <c r="E559">
        <v>1365114</v>
      </c>
      <c r="F559">
        <v>756039</v>
      </c>
      <c r="G559">
        <v>892698</v>
      </c>
      <c r="H559">
        <v>71870</v>
      </c>
      <c r="I559">
        <v>4175</v>
      </c>
      <c r="J559">
        <v>5390</v>
      </c>
      <c r="K559">
        <f t="shared" si="16"/>
        <v>10.771269736085042</v>
      </c>
      <c r="L559">
        <v>51004</v>
      </c>
      <c r="M559">
        <v>217055</v>
      </c>
      <c r="N559">
        <f t="shared" si="17"/>
        <v>325.56466159516901</v>
      </c>
      <c r="O559" s="4">
        <v>45667</v>
      </c>
      <c r="P559" s="4">
        <v>45694</v>
      </c>
      <c r="Q559" t="s">
        <v>21</v>
      </c>
      <c r="R559">
        <f>Table2[[#This Row],[End_Date]]-Table2[[#This Row],[Start_Date]]</f>
        <v>27</v>
      </c>
      <c r="S559" t="str">
        <f>TEXT(Table2[[#This Row],[Start_Date]],"MMM")</f>
        <v>Jan</v>
      </c>
      <c r="T559">
        <f>YEAR(Table2[[#This Row],[Start_Date]])</f>
        <v>2025</v>
      </c>
      <c r="U559">
        <f>Table2[[#This Row],[Campaign_Cost (₹)]]/Table2[[#This Row],[Reach]]</f>
        <v>6.7462128276451344E-2</v>
      </c>
      <c r="V559">
        <f>Table2[[#This Row],[Revenue_Generated (₹)]]/Table2[[#This Row],[Reach]]</f>
        <v>0.287094977904579</v>
      </c>
    </row>
    <row r="560" spans="1:22" x14ac:dyDescent="0.3">
      <c r="A560" t="s">
        <v>611</v>
      </c>
      <c r="B560" t="s">
        <v>27</v>
      </c>
      <c r="C560" t="s">
        <v>19</v>
      </c>
      <c r="D560" t="s">
        <v>40</v>
      </c>
      <c r="E560">
        <v>415762</v>
      </c>
      <c r="F560">
        <v>324310</v>
      </c>
      <c r="G560">
        <v>794400</v>
      </c>
      <c r="H560">
        <v>25505</v>
      </c>
      <c r="I560">
        <v>952</v>
      </c>
      <c r="J560">
        <v>1192</v>
      </c>
      <c r="K560">
        <f t="shared" si="16"/>
        <v>8.5254848755820056</v>
      </c>
      <c r="L560">
        <v>89159</v>
      </c>
      <c r="M560">
        <v>104415</v>
      </c>
      <c r="N560">
        <f t="shared" si="17"/>
        <v>17.111003936787089</v>
      </c>
      <c r="O560" s="4">
        <v>45780</v>
      </c>
      <c r="P560" s="4">
        <v>45810</v>
      </c>
      <c r="Q560" t="s">
        <v>78</v>
      </c>
      <c r="R560">
        <f>Table2[[#This Row],[End_Date]]-Table2[[#This Row],[Start_Date]]</f>
        <v>30</v>
      </c>
      <c r="S560" t="str">
        <f>TEXT(Table2[[#This Row],[Start_Date]],"MMM")</f>
        <v>May</v>
      </c>
      <c r="T560">
        <f>YEAR(Table2[[#This Row],[Start_Date]])</f>
        <v>2025</v>
      </c>
      <c r="U560">
        <f>Table2[[#This Row],[Campaign_Cost (₹)]]/Table2[[#This Row],[Reach]]</f>
        <v>0.27491905892510254</v>
      </c>
      <c r="V560">
        <f>Table2[[#This Row],[Revenue_Generated (₹)]]/Table2[[#This Row],[Reach]]</f>
        <v>0.32196046992075483</v>
      </c>
    </row>
    <row r="561" spans="1:22" x14ac:dyDescent="0.3">
      <c r="A561" t="s">
        <v>612</v>
      </c>
      <c r="B561" t="s">
        <v>49</v>
      </c>
      <c r="C561" t="s">
        <v>33</v>
      </c>
      <c r="D561" t="s">
        <v>58</v>
      </c>
      <c r="E561">
        <v>1078710</v>
      </c>
      <c r="F561">
        <v>805247</v>
      </c>
      <c r="G561">
        <v>1046321</v>
      </c>
      <c r="H561">
        <v>85802</v>
      </c>
      <c r="I561">
        <v>6911</v>
      </c>
      <c r="J561">
        <v>7891</v>
      </c>
      <c r="K561">
        <f t="shared" si="16"/>
        <v>12.493557877272439</v>
      </c>
      <c r="L561">
        <v>266465</v>
      </c>
      <c r="M561">
        <v>1024738</v>
      </c>
      <c r="N561">
        <f t="shared" si="17"/>
        <v>284.56757923179407</v>
      </c>
      <c r="O561" s="4">
        <v>46149</v>
      </c>
      <c r="P561" s="4">
        <v>46156</v>
      </c>
      <c r="Q561" t="s">
        <v>78</v>
      </c>
      <c r="R561">
        <f>Table2[[#This Row],[End_Date]]-Table2[[#This Row],[Start_Date]]</f>
        <v>7</v>
      </c>
      <c r="S561" t="str">
        <f>TEXT(Table2[[#This Row],[Start_Date]],"MMM")</f>
        <v>May</v>
      </c>
      <c r="T561">
        <f>YEAR(Table2[[#This Row],[Start_Date]])</f>
        <v>2026</v>
      </c>
      <c r="U561">
        <f>Table2[[#This Row],[Campaign_Cost (₹)]]/Table2[[#This Row],[Reach]]</f>
        <v>0.33091088821193992</v>
      </c>
      <c r="V561">
        <f>Table2[[#This Row],[Revenue_Generated (₹)]]/Table2[[#This Row],[Reach]]</f>
        <v>1.2725759922110855</v>
      </c>
    </row>
    <row r="562" spans="1:22" x14ac:dyDescent="0.3">
      <c r="A562" t="s">
        <v>613</v>
      </c>
      <c r="B562" t="s">
        <v>61</v>
      </c>
      <c r="C562" t="s">
        <v>28</v>
      </c>
      <c r="D562" t="s">
        <v>72</v>
      </c>
      <c r="E562">
        <v>571028</v>
      </c>
      <c r="F562">
        <v>286348</v>
      </c>
      <c r="G562">
        <v>374726</v>
      </c>
      <c r="H562">
        <v>32915</v>
      </c>
      <c r="I562">
        <v>4569</v>
      </c>
      <c r="J562">
        <v>1305</v>
      </c>
      <c r="K562">
        <f t="shared" si="16"/>
        <v>13.546104739687372</v>
      </c>
      <c r="L562">
        <v>444410</v>
      </c>
      <c r="M562">
        <v>1629103</v>
      </c>
      <c r="N562">
        <f t="shared" si="17"/>
        <v>266.57658468531309</v>
      </c>
      <c r="O562" s="4">
        <v>45908</v>
      </c>
      <c r="P562" s="4">
        <v>45915</v>
      </c>
      <c r="Q562" t="s">
        <v>21</v>
      </c>
      <c r="R562">
        <f>Table2[[#This Row],[End_Date]]-Table2[[#This Row],[Start_Date]]</f>
        <v>7</v>
      </c>
      <c r="S562" t="str">
        <f>TEXT(Table2[[#This Row],[Start_Date]],"MMM")</f>
        <v>Sep</v>
      </c>
      <c r="T562">
        <f>YEAR(Table2[[#This Row],[Start_Date]])</f>
        <v>2025</v>
      </c>
      <c r="U562">
        <f>Table2[[#This Row],[Campaign_Cost (₹)]]/Table2[[#This Row],[Reach]]</f>
        <v>1.5519926802352382</v>
      </c>
      <c r="V562">
        <f>Table2[[#This Row],[Revenue_Generated (₹)]]/Table2[[#This Row],[Reach]]</f>
        <v>5.6892417617723892</v>
      </c>
    </row>
    <row r="563" spans="1:22" x14ac:dyDescent="0.3">
      <c r="A563" t="s">
        <v>614</v>
      </c>
      <c r="B563" t="s">
        <v>103</v>
      </c>
      <c r="C563" t="s">
        <v>28</v>
      </c>
      <c r="D563" t="s">
        <v>29</v>
      </c>
      <c r="E563">
        <v>1503403</v>
      </c>
      <c r="F563">
        <v>1330619</v>
      </c>
      <c r="G563">
        <v>3796078</v>
      </c>
      <c r="H563">
        <v>91495</v>
      </c>
      <c r="I563">
        <v>7376</v>
      </c>
      <c r="J563">
        <v>7569</v>
      </c>
      <c r="K563">
        <f t="shared" si="16"/>
        <v>7.9992845435094493</v>
      </c>
      <c r="L563">
        <v>12248</v>
      </c>
      <c r="M563">
        <v>41132</v>
      </c>
      <c r="N563">
        <f t="shared" si="17"/>
        <v>235.82625734813848</v>
      </c>
      <c r="O563" s="4">
        <v>45713</v>
      </c>
      <c r="P563" s="4">
        <v>45742</v>
      </c>
      <c r="Q563" t="s">
        <v>34</v>
      </c>
      <c r="R563">
        <f>Table2[[#This Row],[End_Date]]-Table2[[#This Row],[Start_Date]]</f>
        <v>29</v>
      </c>
      <c r="S563" t="str">
        <f>TEXT(Table2[[#This Row],[Start_Date]],"MMM")</f>
        <v>Feb</v>
      </c>
      <c r="T563">
        <f>YEAR(Table2[[#This Row],[Start_Date]])</f>
        <v>2025</v>
      </c>
      <c r="U563">
        <f>Table2[[#This Row],[Campaign_Cost (₹)]]/Table2[[#This Row],[Reach]]</f>
        <v>9.2047385464960295E-3</v>
      </c>
      <c r="V563">
        <f>Table2[[#This Row],[Revenue_Generated (₹)]]/Table2[[#This Row],[Reach]]</f>
        <v>3.0911928959379057E-2</v>
      </c>
    </row>
    <row r="564" spans="1:22" x14ac:dyDescent="0.3">
      <c r="A564" t="s">
        <v>615</v>
      </c>
      <c r="B564" t="s">
        <v>39</v>
      </c>
      <c r="C564" t="s">
        <v>28</v>
      </c>
      <c r="D564" t="s">
        <v>72</v>
      </c>
      <c r="E564">
        <v>141713</v>
      </c>
      <c r="F564">
        <v>91126</v>
      </c>
      <c r="G564">
        <v>233555</v>
      </c>
      <c r="H564">
        <v>6919</v>
      </c>
      <c r="I564">
        <v>510</v>
      </c>
      <c r="J564">
        <v>550</v>
      </c>
      <c r="K564">
        <f t="shared" si="16"/>
        <v>8.7560081645194554</v>
      </c>
      <c r="L564">
        <v>470550</v>
      </c>
      <c r="M564">
        <v>1480858</v>
      </c>
      <c r="N564">
        <f t="shared" si="17"/>
        <v>214.70789501647008</v>
      </c>
      <c r="O564" s="4">
        <v>45956</v>
      </c>
      <c r="P564" s="4">
        <v>45971</v>
      </c>
      <c r="Q564" t="s">
        <v>30</v>
      </c>
      <c r="R564">
        <f>Table2[[#This Row],[End_Date]]-Table2[[#This Row],[Start_Date]]</f>
        <v>15</v>
      </c>
      <c r="S564" t="str">
        <f>TEXT(Table2[[#This Row],[Start_Date]],"MMM")</f>
        <v>Oct</v>
      </c>
      <c r="T564">
        <f>YEAR(Table2[[#This Row],[Start_Date]])</f>
        <v>2025</v>
      </c>
      <c r="U564">
        <f>Table2[[#This Row],[Campaign_Cost (₹)]]/Table2[[#This Row],[Reach]]</f>
        <v>5.1637293417904875</v>
      </c>
      <c r="V564">
        <f>Table2[[#This Row],[Revenue_Generated (₹)]]/Table2[[#This Row],[Reach]]</f>
        <v>16.25066391589667</v>
      </c>
    </row>
    <row r="565" spans="1:22" x14ac:dyDescent="0.3">
      <c r="A565" t="s">
        <v>616</v>
      </c>
      <c r="B565" t="s">
        <v>63</v>
      </c>
      <c r="C565" t="s">
        <v>43</v>
      </c>
      <c r="D565" t="s">
        <v>24</v>
      </c>
      <c r="E565">
        <v>483075</v>
      </c>
      <c r="F565">
        <v>142253</v>
      </c>
      <c r="G565">
        <v>272229</v>
      </c>
      <c r="H565">
        <v>9149</v>
      </c>
      <c r="I565">
        <v>535</v>
      </c>
      <c r="J565">
        <v>781</v>
      </c>
      <c r="K565">
        <f t="shared" si="16"/>
        <v>7.3566111083773285</v>
      </c>
      <c r="L565">
        <v>141668</v>
      </c>
      <c r="M565">
        <v>357529</v>
      </c>
      <c r="N565">
        <f t="shared" si="17"/>
        <v>152.37103650789169</v>
      </c>
      <c r="O565" s="4">
        <v>45796</v>
      </c>
      <c r="P565" s="4">
        <v>45805</v>
      </c>
      <c r="Q565" t="s">
        <v>21</v>
      </c>
      <c r="R565">
        <f>Table2[[#This Row],[End_Date]]-Table2[[#This Row],[Start_Date]]</f>
        <v>9</v>
      </c>
      <c r="S565" t="str">
        <f>TEXT(Table2[[#This Row],[Start_Date]],"MMM")</f>
        <v>May</v>
      </c>
      <c r="T565">
        <f>YEAR(Table2[[#This Row],[Start_Date]])</f>
        <v>2025</v>
      </c>
      <c r="U565">
        <f>Table2[[#This Row],[Campaign_Cost (₹)]]/Table2[[#This Row],[Reach]]</f>
        <v>0.9958876086971804</v>
      </c>
      <c r="V565">
        <f>Table2[[#This Row],[Revenue_Generated (₹)]]/Table2[[#This Row],[Reach]]</f>
        <v>2.5133318805227307</v>
      </c>
    </row>
    <row r="566" spans="1:22" x14ac:dyDescent="0.3">
      <c r="A566" t="s">
        <v>617</v>
      </c>
      <c r="B566" t="s">
        <v>32</v>
      </c>
      <c r="C566" t="s">
        <v>28</v>
      </c>
      <c r="D566" t="s">
        <v>72</v>
      </c>
      <c r="E566">
        <v>1348097</v>
      </c>
      <c r="F566">
        <v>658205</v>
      </c>
      <c r="G566">
        <v>1038274</v>
      </c>
      <c r="H566">
        <v>23937</v>
      </c>
      <c r="I566">
        <v>1087</v>
      </c>
      <c r="J566">
        <v>542</v>
      </c>
      <c r="K566">
        <f t="shared" si="16"/>
        <v>3.8842002111804073</v>
      </c>
      <c r="L566">
        <v>282984</v>
      </c>
      <c r="M566">
        <v>1270131</v>
      </c>
      <c r="N566">
        <f t="shared" si="17"/>
        <v>348.83491646170808</v>
      </c>
      <c r="O566" s="4">
        <v>45908</v>
      </c>
      <c r="P566" s="4">
        <v>45916</v>
      </c>
      <c r="Q566" t="s">
        <v>47</v>
      </c>
      <c r="R566">
        <f>Table2[[#This Row],[End_Date]]-Table2[[#This Row],[Start_Date]]</f>
        <v>8</v>
      </c>
      <c r="S566" t="str">
        <f>TEXT(Table2[[#This Row],[Start_Date]],"MMM")</f>
        <v>Sep</v>
      </c>
      <c r="T566">
        <f>YEAR(Table2[[#This Row],[Start_Date]])</f>
        <v>2025</v>
      </c>
      <c r="U566">
        <f>Table2[[#This Row],[Campaign_Cost (₹)]]/Table2[[#This Row],[Reach]]</f>
        <v>0.42993292363321456</v>
      </c>
      <c r="V566">
        <f>Table2[[#This Row],[Revenue_Generated (₹)]]/Table2[[#This Row],[Reach]]</f>
        <v>1.9296890786305179</v>
      </c>
    </row>
    <row r="567" spans="1:22" x14ac:dyDescent="0.3">
      <c r="A567" t="s">
        <v>618</v>
      </c>
      <c r="B567" t="s">
        <v>45</v>
      </c>
      <c r="C567" t="s">
        <v>28</v>
      </c>
      <c r="D567" t="s">
        <v>20</v>
      </c>
      <c r="E567">
        <v>1413650</v>
      </c>
      <c r="F567">
        <v>1138346</v>
      </c>
      <c r="G567">
        <v>2373308</v>
      </c>
      <c r="H567">
        <v>73632</v>
      </c>
      <c r="I567">
        <v>8459</v>
      </c>
      <c r="J567">
        <v>5857</v>
      </c>
      <c r="K567">
        <f t="shared" si="16"/>
        <v>7.7259462413009752</v>
      </c>
      <c r="L567">
        <v>86551</v>
      </c>
      <c r="M567">
        <v>101439</v>
      </c>
      <c r="N567">
        <f t="shared" si="17"/>
        <v>17.201418816651454</v>
      </c>
      <c r="O567" s="4">
        <v>46114</v>
      </c>
      <c r="P567" s="4">
        <v>46136</v>
      </c>
      <c r="Q567" t="s">
        <v>78</v>
      </c>
      <c r="R567">
        <f>Table2[[#This Row],[End_Date]]-Table2[[#This Row],[Start_Date]]</f>
        <v>22</v>
      </c>
      <c r="S567" t="str">
        <f>TEXT(Table2[[#This Row],[Start_Date]],"MMM")</f>
        <v>Apr</v>
      </c>
      <c r="T567">
        <f>YEAR(Table2[[#This Row],[Start_Date]])</f>
        <v>2026</v>
      </c>
      <c r="U567">
        <f>Table2[[#This Row],[Campaign_Cost (₹)]]/Table2[[#This Row],[Reach]]</f>
        <v>7.6032243272256411E-2</v>
      </c>
      <c r="V567">
        <f>Table2[[#This Row],[Revenue_Generated (₹)]]/Table2[[#This Row],[Reach]]</f>
        <v>8.911086787321254E-2</v>
      </c>
    </row>
    <row r="568" spans="1:22" x14ac:dyDescent="0.3">
      <c r="A568" t="s">
        <v>619</v>
      </c>
      <c r="B568" t="s">
        <v>36</v>
      </c>
      <c r="C568" t="s">
        <v>19</v>
      </c>
      <c r="D568" t="s">
        <v>58</v>
      </c>
      <c r="E568">
        <v>863437</v>
      </c>
      <c r="F568">
        <v>367476</v>
      </c>
      <c r="G568">
        <v>752206</v>
      </c>
      <c r="H568">
        <v>20062</v>
      </c>
      <c r="I568">
        <v>847</v>
      </c>
      <c r="J568">
        <v>1298</v>
      </c>
      <c r="K568">
        <f t="shared" si="16"/>
        <v>6.0431157408919223</v>
      </c>
      <c r="L568">
        <v>449288</v>
      </c>
      <c r="M568">
        <v>633733</v>
      </c>
      <c r="N568">
        <f t="shared" si="17"/>
        <v>41.052732323142394</v>
      </c>
      <c r="O568" s="4">
        <v>46101</v>
      </c>
      <c r="P568" s="4">
        <v>46131</v>
      </c>
      <c r="Q568" t="s">
        <v>25</v>
      </c>
      <c r="R568">
        <f>Table2[[#This Row],[End_Date]]-Table2[[#This Row],[Start_Date]]</f>
        <v>30</v>
      </c>
      <c r="S568" t="str">
        <f>TEXT(Table2[[#This Row],[Start_Date]],"MMM")</f>
        <v>Mar</v>
      </c>
      <c r="T568">
        <f>YEAR(Table2[[#This Row],[Start_Date]])</f>
        <v>2026</v>
      </c>
      <c r="U568">
        <f>Table2[[#This Row],[Campaign_Cost (₹)]]/Table2[[#This Row],[Reach]]</f>
        <v>1.2226322263222633</v>
      </c>
      <c r="V568">
        <f>Table2[[#This Row],[Revenue_Generated (₹)]]/Table2[[#This Row],[Reach]]</f>
        <v>1.7245561614908185</v>
      </c>
    </row>
    <row r="569" spans="1:22" x14ac:dyDescent="0.3">
      <c r="A569" t="s">
        <v>620</v>
      </c>
      <c r="B569" t="s">
        <v>75</v>
      </c>
      <c r="C569" t="s">
        <v>37</v>
      </c>
      <c r="D569" t="s">
        <v>72</v>
      </c>
      <c r="E569">
        <v>311871</v>
      </c>
      <c r="F569">
        <v>182266</v>
      </c>
      <c r="G569">
        <v>358432</v>
      </c>
      <c r="H569">
        <v>14130</v>
      </c>
      <c r="I569">
        <v>862</v>
      </c>
      <c r="J569">
        <v>945</v>
      </c>
      <c r="K569">
        <f t="shared" si="16"/>
        <v>8.7438139861521069</v>
      </c>
      <c r="L569">
        <v>300000</v>
      </c>
      <c r="M569">
        <v>493774</v>
      </c>
      <c r="N569">
        <f t="shared" si="17"/>
        <v>64.591333333333338</v>
      </c>
      <c r="O569" s="4">
        <v>45818</v>
      </c>
      <c r="P569" s="4">
        <v>45838</v>
      </c>
      <c r="Q569" t="s">
        <v>34</v>
      </c>
      <c r="R569">
        <f>Table2[[#This Row],[End_Date]]-Table2[[#This Row],[Start_Date]]</f>
        <v>20</v>
      </c>
      <c r="S569" t="str">
        <f>TEXT(Table2[[#This Row],[Start_Date]],"MMM")</f>
        <v>Jun</v>
      </c>
      <c r="T569">
        <f>YEAR(Table2[[#This Row],[Start_Date]])</f>
        <v>2025</v>
      </c>
      <c r="U569">
        <f>Table2[[#This Row],[Campaign_Cost (₹)]]/Table2[[#This Row],[Reach]]</f>
        <v>1.6459460349160018</v>
      </c>
      <c r="V569">
        <f>Table2[[#This Row],[Revenue_Generated (₹)]]/Table2[[#This Row],[Reach]]</f>
        <v>2.7090845248153799</v>
      </c>
    </row>
    <row r="570" spans="1:22" x14ac:dyDescent="0.3">
      <c r="A570" t="s">
        <v>621</v>
      </c>
      <c r="B570" t="s">
        <v>80</v>
      </c>
      <c r="C570" t="s">
        <v>33</v>
      </c>
      <c r="D570" t="s">
        <v>24</v>
      </c>
      <c r="E570">
        <v>1821305</v>
      </c>
      <c r="F570">
        <v>1063614</v>
      </c>
      <c r="G570">
        <v>1379480</v>
      </c>
      <c r="H570">
        <v>37643</v>
      </c>
      <c r="I570">
        <v>3550</v>
      </c>
      <c r="J570">
        <v>2927</v>
      </c>
      <c r="K570">
        <f t="shared" si="16"/>
        <v>4.1481214049457797</v>
      </c>
      <c r="L570">
        <v>317287</v>
      </c>
      <c r="M570">
        <v>920109</v>
      </c>
      <c r="N570">
        <f t="shared" si="17"/>
        <v>189.99265649081116</v>
      </c>
      <c r="O570" s="4">
        <v>45751</v>
      </c>
      <c r="P570" s="4">
        <v>45767</v>
      </c>
      <c r="Q570" t="s">
        <v>25</v>
      </c>
      <c r="R570">
        <f>Table2[[#This Row],[End_Date]]-Table2[[#This Row],[Start_Date]]</f>
        <v>16</v>
      </c>
      <c r="S570" t="str">
        <f>TEXT(Table2[[#This Row],[Start_Date]],"MMM")</f>
        <v>Apr</v>
      </c>
      <c r="T570">
        <f>YEAR(Table2[[#This Row],[Start_Date]])</f>
        <v>2025</v>
      </c>
      <c r="U570">
        <f>Table2[[#This Row],[Campaign_Cost (₹)]]/Table2[[#This Row],[Reach]]</f>
        <v>0.29831028925907332</v>
      </c>
      <c r="V570">
        <f>Table2[[#This Row],[Revenue_Generated (₹)]]/Table2[[#This Row],[Reach]]</f>
        <v>0.86507793240780961</v>
      </c>
    </row>
    <row r="571" spans="1:22" x14ac:dyDescent="0.3">
      <c r="A571" t="s">
        <v>622</v>
      </c>
      <c r="B571" t="s">
        <v>53</v>
      </c>
      <c r="C571" t="s">
        <v>43</v>
      </c>
      <c r="D571" t="s">
        <v>72</v>
      </c>
      <c r="E571">
        <v>1437631</v>
      </c>
      <c r="F571">
        <v>879546</v>
      </c>
      <c r="G571">
        <v>1454737</v>
      </c>
      <c r="H571">
        <v>118071</v>
      </c>
      <c r="I571">
        <v>14145</v>
      </c>
      <c r="J571">
        <v>5695</v>
      </c>
      <c r="K571">
        <f t="shared" si="16"/>
        <v>15.67979389366787</v>
      </c>
      <c r="L571">
        <v>225660</v>
      </c>
      <c r="M571">
        <v>1075097</v>
      </c>
      <c r="N571">
        <f t="shared" si="17"/>
        <v>376.42338030665604</v>
      </c>
      <c r="O571" s="4">
        <v>45835</v>
      </c>
      <c r="P571" s="4">
        <v>45842</v>
      </c>
      <c r="Q571" t="s">
        <v>78</v>
      </c>
      <c r="R571">
        <f>Table2[[#This Row],[End_Date]]-Table2[[#This Row],[Start_Date]]</f>
        <v>7</v>
      </c>
      <c r="S571" t="str">
        <f>TEXT(Table2[[#This Row],[Start_Date]],"MMM")</f>
        <v>Jun</v>
      </c>
      <c r="T571">
        <f>YEAR(Table2[[#This Row],[Start_Date]])</f>
        <v>2025</v>
      </c>
      <c r="U571">
        <f>Table2[[#This Row],[Campaign_Cost (₹)]]/Table2[[#This Row],[Reach]]</f>
        <v>0.25656418197570108</v>
      </c>
      <c r="V571">
        <f>Table2[[#This Row],[Revenue_Generated (₹)]]/Table2[[#This Row],[Reach]]</f>
        <v>1.2223317484247556</v>
      </c>
    </row>
    <row r="572" spans="1:22" x14ac:dyDescent="0.3">
      <c r="A572" t="s">
        <v>623</v>
      </c>
      <c r="B572" t="s">
        <v>23</v>
      </c>
      <c r="C572" t="s">
        <v>43</v>
      </c>
      <c r="D572" t="s">
        <v>29</v>
      </c>
      <c r="E572">
        <v>1085129</v>
      </c>
      <c r="F572">
        <v>451893</v>
      </c>
      <c r="G572">
        <v>550970</v>
      </c>
      <c r="H572">
        <v>53051</v>
      </c>
      <c r="I572">
        <v>5950</v>
      </c>
      <c r="J572">
        <v>4896</v>
      </c>
      <c r="K572">
        <f t="shared" si="16"/>
        <v>14.139851690555066</v>
      </c>
      <c r="L572">
        <v>203278</v>
      </c>
      <c r="M572">
        <v>572968</v>
      </c>
      <c r="N572">
        <f t="shared" si="17"/>
        <v>181.86424502405575</v>
      </c>
      <c r="O572" s="4">
        <v>45865</v>
      </c>
      <c r="P572" s="4">
        <v>45892</v>
      </c>
      <c r="Q572" t="s">
        <v>41</v>
      </c>
      <c r="R572">
        <f>Table2[[#This Row],[End_Date]]-Table2[[#This Row],[Start_Date]]</f>
        <v>27</v>
      </c>
      <c r="S572" t="str">
        <f>TEXT(Table2[[#This Row],[Start_Date]],"MMM")</f>
        <v>Jul</v>
      </c>
      <c r="T572">
        <f>YEAR(Table2[[#This Row],[Start_Date]])</f>
        <v>2025</v>
      </c>
      <c r="U572">
        <f>Table2[[#This Row],[Campaign_Cost (₹)]]/Table2[[#This Row],[Reach]]</f>
        <v>0.4498365763576776</v>
      </c>
      <c r="V572">
        <f>Table2[[#This Row],[Revenue_Generated (₹)]]/Table2[[#This Row],[Reach]]</f>
        <v>1.2679284697926279</v>
      </c>
    </row>
    <row r="573" spans="1:22" x14ac:dyDescent="0.3">
      <c r="A573" t="s">
        <v>624</v>
      </c>
      <c r="B573" t="s">
        <v>18</v>
      </c>
      <c r="C573" t="s">
        <v>37</v>
      </c>
      <c r="D573" t="s">
        <v>40</v>
      </c>
      <c r="E573">
        <v>970329</v>
      </c>
      <c r="F573">
        <v>336329</v>
      </c>
      <c r="G573">
        <v>810250</v>
      </c>
      <c r="H573">
        <v>29472</v>
      </c>
      <c r="I573">
        <v>1327</v>
      </c>
      <c r="J573">
        <v>1161</v>
      </c>
      <c r="K573">
        <f t="shared" si="16"/>
        <v>9.502600132608249</v>
      </c>
      <c r="L573">
        <v>193757</v>
      </c>
      <c r="M573">
        <v>389106</v>
      </c>
      <c r="N573">
        <f t="shared" si="17"/>
        <v>100.82164773401736</v>
      </c>
      <c r="O573" s="4">
        <v>45986</v>
      </c>
      <c r="P573" s="4">
        <v>46010</v>
      </c>
      <c r="Q573" t="s">
        <v>78</v>
      </c>
      <c r="R573">
        <f>Table2[[#This Row],[End_Date]]-Table2[[#This Row],[Start_Date]]</f>
        <v>24</v>
      </c>
      <c r="S573" t="str">
        <f>TEXT(Table2[[#This Row],[Start_Date]],"MMM")</f>
        <v>Nov</v>
      </c>
      <c r="T573">
        <f>YEAR(Table2[[#This Row],[Start_Date]])</f>
        <v>2025</v>
      </c>
      <c r="U573">
        <f>Table2[[#This Row],[Campaign_Cost (₹)]]/Table2[[#This Row],[Reach]]</f>
        <v>0.57609364639980498</v>
      </c>
      <c r="V573">
        <f>Table2[[#This Row],[Revenue_Generated (₹)]]/Table2[[#This Row],[Reach]]</f>
        <v>1.1569207531910719</v>
      </c>
    </row>
    <row r="574" spans="1:22" x14ac:dyDescent="0.3">
      <c r="A574" t="s">
        <v>625</v>
      </c>
      <c r="B574" t="s">
        <v>18</v>
      </c>
      <c r="C574" t="s">
        <v>19</v>
      </c>
      <c r="D574" t="s">
        <v>51</v>
      </c>
      <c r="E574">
        <v>816374</v>
      </c>
      <c r="F574">
        <v>707739</v>
      </c>
      <c r="G574">
        <v>2109322</v>
      </c>
      <c r="H574">
        <v>32014</v>
      </c>
      <c r="I574">
        <v>2375</v>
      </c>
      <c r="J574">
        <v>3187</v>
      </c>
      <c r="K574">
        <f t="shared" si="16"/>
        <v>5.309301875408873</v>
      </c>
      <c r="L574">
        <v>387838</v>
      </c>
      <c r="M574">
        <v>821604</v>
      </c>
      <c r="N574">
        <f t="shared" si="17"/>
        <v>111.842057766387</v>
      </c>
      <c r="O574" s="4">
        <v>45983</v>
      </c>
      <c r="P574" s="4">
        <v>45995</v>
      </c>
      <c r="Q574" t="s">
        <v>25</v>
      </c>
      <c r="R574">
        <f>Table2[[#This Row],[End_Date]]-Table2[[#This Row],[Start_Date]]</f>
        <v>12</v>
      </c>
      <c r="S574" t="str">
        <f>TEXT(Table2[[#This Row],[Start_Date]],"MMM")</f>
        <v>Nov</v>
      </c>
      <c r="T574">
        <f>YEAR(Table2[[#This Row],[Start_Date]])</f>
        <v>2025</v>
      </c>
      <c r="U574">
        <f>Table2[[#This Row],[Campaign_Cost (₹)]]/Table2[[#This Row],[Reach]]</f>
        <v>0.54799580071184428</v>
      </c>
      <c r="V574">
        <f>Table2[[#This Row],[Revenue_Generated (₹)]]/Table2[[#This Row],[Reach]]</f>
        <v>1.1608855807013603</v>
      </c>
    </row>
    <row r="575" spans="1:22" x14ac:dyDescent="0.3">
      <c r="A575" t="s">
        <v>626</v>
      </c>
      <c r="B575" t="s">
        <v>32</v>
      </c>
      <c r="C575" t="s">
        <v>19</v>
      </c>
      <c r="D575" t="s">
        <v>72</v>
      </c>
      <c r="E575">
        <v>1802309</v>
      </c>
      <c r="F575">
        <v>1050586</v>
      </c>
      <c r="G575">
        <v>1768415</v>
      </c>
      <c r="H575">
        <v>107267</v>
      </c>
      <c r="I575">
        <v>9971</v>
      </c>
      <c r="J575">
        <v>2919</v>
      </c>
      <c r="K575">
        <f t="shared" si="16"/>
        <v>11.4371407957083</v>
      </c>
      <c r="L575">
        <v>148106</v>
      </c>
      <c r="M575">
        <v>439068</v>
      </c>
      <c r="N575">
        <f t="shared" si="17"/>
        <v>196.45524151621137</v>
      </c>
      <c r="O575" s="4">
        <v>45980</v>
      </c>
      <c r="P575" s="4">
        <v>46004</v>
      </c>
      <c r="Q575" t="s">
        <v>41</v>
      </c>
      <c r="R575">
        <f>Table2[[#This Row],[End_Date]]-Table2[[#This Row],[Start_Date]]</f>
        <v>24</v>
      </c>
      <c r="S575" t="str">
        <f>TEXT(Table2[[#This Row],[Start_Date]],"MMM")</f>
        <v>Nov</v>
      </c>
      <c r="T575">
        <f>YEAR(Table2[[#This Row],[Start_Date]])</f>
        <v>2025</v>
      </c>
      <c r="U575">
        <f>Table2[[#This Row],[Campaign_Cost (₹)]]/Table2[[#This Row],[Reach]]</f>
        <v>0.14097465604910023</v>
      </c>
      <c r="V575">
        <f>Table2[[#This Row],[Revenue_Generated (₹)]]/Table2[[#This Row],[Reach]]</f>
        <v>0.41792675706700833</v>
      </c>
    </row>
    <row r="576" spans="1:22" x14ac:dyDescent="0.3">
      <c r="A576" t="s">
        <v>627</v>
      </c>
      <c r="B576" t="s">
        <v>23</v>
      </c>
      <c r="C576" t="s">
        <v>43</v>
      </c>
      <c r="D576" t="s">
        <v>24</v>
      </c>
      <c r="E576">
        <v>1977364</v>
      </c>
      <c r="F576">
        <v>521616</v>
      </c>
      <c r="G576">
        <v>1014797</v>
      </c>
      <c r="H576">
        <v>50720</v>
      </c>
      <c r="I576">
        <v>6983</v>
      </c>
      <c r="J576">
        <v>2739</v>
      </c>
      <c r="K576">
        <f t="shared" si="16"/>
        <v>11.587451305174689</v>
      </c>
      <c r="L576">
        <v>282121</v>
      </c>
      <c r="M576">
        <v>1266560</v>
      </c>
      <c r="N576">
        <f t="shared" si="17"/>
        <v>348.94212057946771</v>
      </c>
      <c r="O576" s="4">
        <v>45692</v>
      </c>
      <c r="P576" s="4">
        <v>45704</v>
      </c>
      <c r="Q576" t="s">
        <v>30</v>
      </c>
      <c r="R576">
        <f>Table2[[#This Row],[End_Date]]-Table2[[#This Row],[Start_Date]]</f>
        <v>12</v>
      </c>
      <c r="S576" t="str">
        <f>TEXT(Table2[[#This Row],[Start_Date]],"MMM")</f>
        <v>Feb</v>
      </c>
      <c r="T576">
        <f>YEAR(Table2[[#This Row],[Start_Date]])</f>
        <v>2025</v>
      </c>
      <c r="U576">
        <f>Table2[[#This Row],[Campaign_Cost (₹)]]/Table2[[#This Row],[Reach]]</f>
        <v>0.54085955952271403</v>
      </c>
      <c r="V576">
        <f>Table2[[#This Row],[Revenue_Generated (₹)]]/Table2[[#This Row],[Reach]]</f>
        <v>2.4281463758780406</v>
      </c>
    </row>
    <row r="577" spans="1:22" x14ac:dyDescent="0.3">
      <c r="A577" t="s">
        <v>628</v>
      </c>
      <c r="B577" t="s">
        <v>32</v>
      </c>
      <c r="C577" t="s">
        <v>19</v>
      </c>
      <c r="D577" t="s">
        <v>51</v>
      </c>
      <c r="E577">
        <v>1269104</v>
      </c>
      <c r="F577">
        <v>602827</v>
      </c>
      <c r="G577">
        <v>948575</v>
      </c>
      <c r="H577">
        <v>20722</v>
      </c>
      <c r="I577">
        <v>2968</v>
      </c>
      <c r="J577">
        <v>1855</v>
      </c>
      <c r="K577">
        <f t="shared" si="16"/>
        <v>4.2375341515890961</v>
      </c>
      <c r="L577">
        <v>288287</v>
      </c>
      <c r="M577">
        <v>574984</v>
      </c>
      <c r="N577">
        <f t="shared" si="17"/>
        <v>99.448466285333708</v>
      </c>
      <c r="O577" s="4">
        <v>45900</v>
      </c>
      <c r="P577" s="4">
        <v>45907</v>
      </c>
      <c r="Q577" t="s">
        <v>41</v>
      </c>
      <c r="R577">
        <f>Table2[[#This Row],[End_Date]]-Table2[[#This Row],[Start_Date]]</f>
        <v>7</v>
      </c>
      <c r="S577" t="str">
        <f>TEXT(Table2[[#This Row],[Start_Date]],"MMM")</f>
        <v>Aug</v>
      </c>
      <c r="T577">
        <f>YEAR(Table2[[#This Row],[Start_Date]])</f>
        <v>2025</v>
      </c>
      <c r="U577">
        <f>Table2[[#This Row],[Campaign_Cost (₹)]]/Table2[[#This Row],[Reach]]</f>
        <v>0.47822509608892766</v>
      </c>
      <c r="V577">
        <f>Table2[[#This Row],[Revenue_Generated (₹)]]/Table2[[#This Row],[Reach]]</f>
        <v>0.95381261954092966</v>
      </c>
    </row>
    <row r="578" spans="1:22" x14ac:dyDescent="0.3">
      <c r="A578" t="s">
        <v>629</v>
      </c>
      <c r="B578" t="s">
        <v>63</v>
      </c>
      <c r="C578" t="s">
        <v>28</v>
      </c>
      <c r="D578" t="s">
        <v>46</v>
      </c>
      <c r="E578">
        <v>1908144</v>
      </c>
      <c r="F578">
        <v>1049391</v>
      </c>
      <c r="G578">
        <v>2831520</v>
      </c>
      <c r="H578">
        <v>107745</v>
      </c>
      <c r="I578">
        <v>9208</v>
      </c>
      <c r="J578">
        <v>8109</v>
      </c>
      <c r="K578">
        <f t="shared" ref="K578:K641" si="18">((H578+I578+J578)/F578)*100</f>
        <v>11.917578862406861</v>
      </c>
      <c r="L578">
        <v>382389</v>
      </c>
      <c r="M578">
        <v>1211667</v>
      </c>
      <c r="N578">
        <f t="shared" ref="N578:N641" si="19">((M578-L578)/L578)*100</f>
        <v>216.86764002102569</v>
      </c>
      <c r="O578" s="4">
        <v>46043</v>
      </c>
      <c r="P578" s="4">
        <v>46069</v>
      </c>
      <c r="Q578" t="s">
        <v>25</v>
      </c>
      <c r="R578">
        <f>Table2[[#This Row],[End_Date]]-Table2[[#This Row],[Start_Date]]</f>
        <v>26</v>
      </c>
      <c r="S578" t="str">
        <f>TEXT(Table2[[#This Row],[Start_Date]],"MMM")</f>
        <v>Jan</v>
      </c>
      <c r="T578">
        <f>YEAR(Table2[[#This Row],[Start_Date]])</f>
        <v>2026</v>
      </c>
      <c r="U578">
        <f>Table2[[#This Row],[Campaign_Cost (₹)]]/Table2[[#This Row],[Reach]]</f>
        <v>0.36439134698124914</v>
      </c>
      <c r="V578">
        <f>Table2[[#This Row],[Revenue_Generated (₹)]]/Table2[[#This Row],[Reach]]</f>
        <v>1.1546382616203112</v>
      </c>
    </row>
    <row r="579" spans="1:22" x14ac:dyDescent="0.3">
      <c r="A579" t="s">
        <v>630</v>
      </c>
      <c r="B579" t="s">
        <v>61</v>
      </c>
      <c r="C579" t="s">
        <v>37</v>
      </c>
      <c r="D579" t="s">
        <v>58</v>
      </c>
      <c r="E579">
        <v>1257318</v>
      </c>
      <c r="F579">
        <v>1050727</v>
      </c>
      <c r="G579">
        <v>2108689</v>
      </c>
      <c r="H579">
        <v>47019</v>
      </c>
      <c r="I579">
        <v>4452</v>
      </c>
      <c r="J579">
        <v>3352</v>
      </c>
      <c r="K579">
        <f t="shared" si="18"/>
        <v>5.2176255107178173</v>
      </c>
      <c r="L579">
        <v>50888</v>
      </c>
      <c r="M579">
        <v>149226</v>
      </c>
      <c r="N579">
        <f t="shared" si="19"/>
        <v>193.24398679452918</v>
      </c>
      <c r="O579" s="4">
        <v>46112</v>
      </c>
      <c r="P579" s="4">
        <v>46121</v>
      </c>
      <c r="Q579" t="s">
        <v>47</v>
      </c>
      <c r="R579">
        <f>Table2[[#This Row],[End_Date]]-Table2[[#This Row],[Start_Date]]</f>
        <v>9</v>
      </c>
      <c r="S579" t="str">
        <f>TEXT(Table2[[#This Row],[Start_Date]],"MMM")</f>
        <v>Mar</v>
      </c>
      <c r="T579">
        <f>YEAR(Table2[[#This Row],[Start_Date]])</f>
        <v>2026</v>
      </c>
      <c r="U579">
        <f>Table2[[#This Row],[Campaign_Cost (₹)]]/Table2[[#This Row],[Reach]]</f>
        <v>4.8431229044271253E-2</v>
      </c>
      <c r="V579">
        <f>Table2[[#This Row],[Revenue_Generated (₹)]]/Table2[[#This Row],[Reach]]</f>
        <v>0.14202166690301096</v>
      </c>
    </row>
    <row r="580" spans="1:22" x14ac:dyDescent="0.3">
      <c r="A580" t="s">
        <v>631</v>
      </c>
      <c r="B580" t="s">
        <v>53</v>
      </c>
      <c r="C580" t="s">
        <v>19</v>
      </c>
      <c r="D580" t="s">
        <v>24</v>
      </c>
      <c r="E580">
        <v>1656087</v>
      </c>
      <c r="F580">
        <v>781221</v>
      </c>
      <c r="G580">
        <v>2001384</v>
      </c>
      <c r="H580">
        <v>42867</v>
      </c>
      <c r="I580">
        <v>4567</v>
      </c>
      <c r="J580">
        <v>2904</v>
      </c>
      <c r="K580">
        <f t="shared" si="18"/>
        <v>6.4435031828381462</v>
      </c>
      <c r="L580">
        <v>97764</v>
      </c>
      <c r="M580">
        <v>225771</v>
      </c>
      <c r="N580">
        <f t="shared" si="19"/>
        <v>130.9346998895299</v>
      </c>
      <c r="O580" s="4">
        <v>46044</v>
      </c>
      <c r="P580" s="4">
        <v>46058</v>
      </c>
      <c r="Q580" t="s">
        <v>41</v>
      </c>
      <c r="R580">
        <f>Table2[[#This Row],[End_Date]]-Table2[[#This Row],[Start_Date]]</f>
        <v>14</v>
      </c>
      <c r="S580" t="str">
        <f>TEXT(Table2[[#This Row],[Start_Date]],"MMM")</f>
        <v>Jan</v>
      </c>
      <c r="T580">
        <f>YEAR(Table2[[#This Row],[Start_Date]])</f>
        <v>2026</v>
      </c>
      <c r="U580">
        <f>Table2[[#This Row],[Campaign_Cost (₹)]]/Table2[[#This Row],[Reach]]</f>
        <v>0.12514256529202364</v>
      </c>
      <c r="V580">
        <f>Table2[[#This Row],[Revenue_Generated (₹)]]/Table2[[#This Row],[Reach]]</f>
        <v>0.28899760759119381</v>
      </c>
    </row>
    <row r="581" spans="1:22" x14ac:dyDescent="0.3">
      <c r="A581" t="s">
        <v>632</v>
      </c>
      <c r="B581" t="s">
        <v>27</v>
      </c>
      <c r="C581" t="s">
        <v>33</v>
      </c>
      <c r="D581" t="s">
        <v>72</v>
      </c>
      <c r="E581">
        <v>1306472</v>
      </c>
      <c r="F581">
        <v>815064</v>
      </c>
      <c r="G581">
        <v>2320719</v>
      </c>
      <c r="H581">
        <v>41767</v>
      </c>
      <c r="I581">
        <v>3972</v>
      </c>
      <c r="J581">
        <v>2772</v>
      </c>
      <c r="K581">
        <f t="shared" si="18"/>
        <v>5.9518025578359488</v>
      </c>
      <c r="L581">
        <v>360811</v>
      </c>
      <c r="M581">
        <v>1801298</v>
      </c>
      <c r="N581">
        <f t="shared" si="19"/>
        <v>399.23588804110739</v>
      </c>
      <c r="O581" s="4">
        <v>46121</v>
      </c>
      <c r="P581" s="4">
        <v>46132</v>
      </c>
      <c r="Q581" t="s">
        <v>47</v>
      </c>
      <c r="R581">
        <f>Table2[[#This Row],[End_Date]]-Table2[[#This Row],[Start_Date]]</f>
        <v>11</v>
      </c>
      <c r="S581" t="str">
        <f>TEXT(Table2[[#This Row],[Start_Date]],"MMM")</f>
        <v>Apr</v>
      </c>
      <c r="T581">
        <f>YEAR(Table2[[#This Row],[Start_Date]])</f>
        <v>2026</v>
      </c>
      <c r="U581">
        <f>Table2[[#This Row],[Campaign_Cost (₹)]]/Table2[[#This Row],[Reach]]</f>
        <v>0.44267812098191062</v>
      </c>
      <c r="V581">
        <f>Table2[[#This Row],[Revenue_Generated (₹)]]/Table2[[#This Row],[Reach]]</f>
        <v>2.2100080484477291</v>
      </c>
    </row>
    <row r="582" spans="1:22" x14ac:dyDescent="0.3">
      <c r="A582" t="s">
        <v>633</v>
      </c>
      <c r="B582" t="s">
        <v>23</v>
      </c>
      <c r="C582" t="s">
        <v>33</v>
      </c>
      <c r="D582" t="s">
        <v>20</v>
      </c>
      <c r="E582">
        <v>1466212</v>
      </c>
      <c r="F582">
        <v>510535</v>
      </c>
      <c r="G582">
        <v>1387018</v>
      </c>
      <c r="H582">
        <v>22216</v>
      </c>
      <c r="I582">
        <v>1863</v>
      </c>
      <c r="J582">
        <v>1425</v>
      </c>
      <c r="K582">
        <f t="shared" si="18"/>
        <v>4.9955438902327955</v>
      </c>
      <c r="L582">
        <v>87903</v>
      </c>
      <c r="M582">
        <v>305385</v>
      </c>
      <c r="N582">
        <f t="shared" si="19"/>
        <v>247.41135114842496</v>
      </c>
      <c r="O582" s="4">
        <v>45968</v>
      </c>
      <c r="P582" s="4">
        <v>45990</v>
      </c>
      <c r="Q582" t="s">
        <v>54</v>
      </c>
      <c r="R582">
        <f>Table2[[#This Row],[End_Date]]-Table2[[#This Row],[Start_Date]]</f>
        <v>22</v>
      </c>
      <c r="S582" t="str">
        <f>TEXT(Table2[[#This Row],[Start_Date]],"MMM")</f>
        <v>Nov</v>
      </c>
      <c r="T582">
        <f>YEAR(Table2[[#This Row],[Start_Date]])</f>
        <v>2025</v>
      </c>
      <c r="U582">
        <f>Table2[[#This Row],[Campaign_Cost (₹)]]/Table2[[#This Row],[Reach]]</f>
        <v>0.17217820521609684</v>
      </c>
      <c r="V582">
        <f>Table2[[#This Row],[Revenue_Generated (₹)]]/Table2[[#This Row],[Reach]]</f>
        <v>0.59816662912434992</v>
      </c>
    </row>
    <row r="583" spans="1:22" x14ac:dyDescent="0.3">
      <c r="A583" t="s">
        <v>634</v>
      </c>
      <c r="B583" t="s">
        <v>80</v>
      </c>
      <c r="C583" t="s">
        <v>43</v>
      </c>
      <c r="D583" t="s">
        <v>24</v>
      </c>
      <c r="E583">
        <v>1433269</v>
      </c>
      <c r="F583">
        <v>869375</v>
      </c>
      <c r="G583">
        <v>1534475</v>
      </c>
      <c r="H583">
        <v>37585</v>
      </c>
      <c r="I583">
        <v>1468</v>
      </c>
      <c r="J583">
        <v>3216</v>
      </c>
      <c r="K583">
        <f t="shared" si="18"/>
        <v>4.8619985621854784</v>
      </c>
      <c r="L583">
        <v>393752</v>
      </c>
      <c r="M583">
        <v>1352360</v>
      </c>
      <c r="N583">
        <f t="shared" si="19"/>
        <v>243.45476340437637</v>
      </c>
      <c r="O583" s="4">
        <v>45751</v>
      </c>
      <c r="P583" s="4">
        <v>45759</v>
      </c>
      <c r="Q583" t="s">
        <v>34</v>
      </c>
      <c r="R583">
        <f>Table2[[#This Row],[End_Date]]-Table2[[#This Row],[Start_Date]]</f>
        <v>8</v>
      </c>
      <c r="S583" t="str">
        <f>TEXT(Table2[[#This Row],[Start_Date]],"MMM")</f>
        <v>Apr</v>
      </c>
      <c r="T583">
        <f>YEAR(Table2[[#This Row],[Start_Date]])</f>
        <v>2025</v>
      </c>
      <c r="U583">
        <f>Table2[[#This Row],[Campaign_Cost (₹)]]/Table2[[#This Row],[Reach]]</f>
        <v>0.45291387491013657</v>
      </c>
      <c r="V583">
        <f>Table2[[#This Row],[Revenue_Generated (₹)]]/Table2[[#This Row],[Reach]]</f>
        <v>1.5555542774982027</v>
      </c>
    </row>
    <row r="584" spans="1:22" x14ac:dyDescent="0.3">
      <c r="A584" t="s">
        <v>635</v>
      </c>
      <c r="B584" t="s">
        <v>45</v>
      </c>
      <c r="C584" t="s">
        <v>43</v>
      </c>
      <c r="D584" t="s">
        <v>40</v>
      </c>
      <c r="E584">
        <v>494449</v>
      </c>
      <c r="F584">
        <v>337239</v>
      </c>
      <c r="G584">
        <v>756358</v>
      </c>
      <c r="H584">
        <v>18223</v>
      </c>
      <c r="I584">
        <v>2692</v>
      </c>
      <c r="J584">
        <v>618</v>
      </c>
      <c r="K584">
        <f t="shared" si="18"/>
        <v>6.3850859479478936</v>
      </c>
      <c r="L584">
        <v>289082</v>
      </c>
      <c r="M584">
        <v>1229569</v>
      </c>
      <c r="N584">
        <f t="shared" si="19"/>
        <v>325.33571789319296</v>
      </c>
      <c r="O584" s="4">
        <v>46069</v>
      </c>
      <c r="P584" s="4">
        <v>46090</v>
      </c>
      <c r="Q584" t="s">
        <v>30</v>
      </c>
      <c r="R584">
        <f>Table2[[#This Row],[End_Date]]-Table2[[#This Row],[Start_Date]]</f>
        <v>21</v>
      </c>
      <c r="S584" t="str">
        <f>TEXT(Table2[[#This Row],[Start_Date]],"MMM")</f>
        <v>Feb</v>
      </c>
      <c r="T584">
        <f>YEAR(Table2[[#This Row],[Start_Date]])</f>
        <v>2026</v>
      </c>
      <c r="U584">
        <f>Table2[[#This Row],[Campaign_Cost (₹)]]/Table2[[#This Row],[Reach]]</f>
        <v>0.85720216226474399</v>
      </c>
      <c r="V584">
        <f>Table2[[#This Row],[Revenue_Generated (₹)]]/Table2[[#This Row],[Reach]]</f>
        <v>3.6459869706647217</v>
      </c>
    </row>
    <row r="585" spans="1:22" x14ac:dyDescent="0.3">
      <c r="A585" t="s">
        <v>636</v>
      </c>
      <c r="B585" t="s">
        <v>57</v>
      </c>
      <c r="C585" t="s">
        <v>19</v>
      </c>
      <c r="D585" t="s">
        <v>24</v>
      </c>
      <c r="E585">
        <v>1634472</v>
      </c>
      <c r="F585">
        <v>1147013</v>
      </c>
      <c r="G585">
        <v>1706706</v>
      </c>
      <c r="H585">
        <v>127784</v>
      </c>
      <c r="I585">
        <v>9686</v>
      </c>
      <c r="J585">
        <v>11401</v>
      </c>
      <c r="K585">
        <f t="shared" si="18"/>
        <v>12.979015930944113</v>
      </c>
      <c r="L585">
        <v>270430</v>
      </c>
      <c r="M585">
        <v>1132377</v>
      </c>
      <c r="N585">
        <f t="shared" si="19"/>
        <v>318.73201937654846</v>
      </c>
      <c r="O585" s="4">
        <v>45822</v>
      </c>
      <c r="P585" s="4">
        <v>45837</v>
      </c>
      <c r="Q585" t="s">
        <v>41</v>
      </c>
      <c r="R585">
        <f>Table2[[#This Row],[End_Date]]-Table2[[#This Row],[Start_Date]]</f>
        <v>15</v>
      </c>
      <c r="S585" t="str">
        <f>TEXT(Table2[[#This Row],[Start_Date]],"MMM")</f>
        <v>Jun</v>
      </c>
      <c r="T585">
        <f>YEAR(Table2[[#This Row],[Start_Date]])</f>
        <v>2025</v>
      </c>
      <c r="U585">
        <f>Table2[[#This Row],[Campaign_Cost (₹)]]/Table2[[#This Row],[Reach]]</f>
        <v>0.23576890584500787</v>
      </c>
      <c r="V585">
        <f>Table2[[#This Row],[Revenue_Generated (₹)]]/Table2[[#This Row],[Reach]]</f>
        <v>0.98723990050679455</v>
      </c>
    </row>
    <row r="586" spans="1:22" x14ac:dyDescent="0.3">
      <c r="A586" t="s">
        <v>637</v>
      </c>
      <c r="B586" t="s">
        <v>49</v>
      </c>
      <c r="C586" t="s">
        <v>37</v>
      </c>
      <c r="D586" t="s">
        <v>29</v>
      </c>
      <c r="E586">
        <v>434066</v>
      </c>
      <c r="F586">
        <v>115454</v>
      </c>
      <c r="G586">
        <v>236468</v>
      </c>
      <c r="H586">
        <v>6314</v>
      </c>
      <c r="I586">
        <v>893</v>
      </c>
      <c r="J586">
        <v>359</v>
      </c>
      <c r="K586">
        <f t="shared" si="18"/>
        <v>6.5532593067368818</v>
      </c>
      <c r="L586">
        <v>319733</v>
      </c>
      <c r="M586">
        <v>694875</v>
      </c>
      <c r="N586">
        <f t="shared" si="19"/>
        <v>117.32977202853631</v>
      </c>
      <c r="O586" s="4">
        <v>46028</v>
      </c>
      <c r="P586" s="4">
        <v>46049</v>
      </c>
      <c r="Q586" t="s">
        <v>41</v>
      </c>
      <c r="R586">
        <f>Table2[[#This Row],[End_Date]]-Table2[[#This Row],[Start_Date]]</f>
        <v>21</v>
      </c>
      <c r="S586" t="str">
        <f>TEXT(Table2[[#This Row],[Start_Date]],"MMM")</f>
        <v>Jan</v>
      </c>
      <c r="T586">
        <f>YEAR(Table2[[#This Row],[Start_Date]])</f>
        <v>2026</v>
      </c>
      <c r="U586">
        <f>Table2[[#This Row],[Campaign_Cost (₹)]]/Table2[[#This Row],[Reach]]</f>
        <v>2.7693540284442291</v>
      </c>
      <c r="V586">
        <f>Table2[[#This Row],[Revenue_Generated (₹)]]/Table2[[#This Row],[Reach]]</f>
        <v>6.0186307966809292</v>
      </c>
    </row>
    <row r="587" spans="1:22" x14ac:dyDescent="0.3">
      <c r="A587" t="s">
        <v>638</v>
      </c>
      <c r="B587" t="s">
        <v>103</v>
      </c>
      <c r="C587" t="s">
        <v>33</v>
      </c>
      <c r="D587" t="s">
        <v>40</v>
      </c>
      <c r="E587">
        <v>1836150</v>
      </c>
      <c r="F587">
        <v>1102857</v>
      </c>
      <c r="G587">
        <v>1436617</v>
      </c>
      <c r="H587">
        <v>130102</v>
      </c>
      <c r="I587">
        <v>14467</v>
      </c>
      <c r="J587">
        <v>4563</v>
      </c>
      <c r="K587">
        <f t="shared" si="18"/>
        <v>13.522333357815203</v>
      </c>
      <c r="L587">
        <v>343461</v>
      </c>
      <c r="M587">
        <v>943860</v>
      </c>
      <c r="N587">
        <f t="shared" si="19"/>
        <v>174.80849354075133</v>
      </c>
      <c r="O587" s="4">
        <v>45946</v>
      </c>
      <c r="P587" s="4">
        <v>45957</v>
      </c>
      <c r="Q587" t="s">
        <v>34</v>
      </c>
      <c r="R587">
        <f>Table2[[#This Row],[End_Date]]-Table2[[#This Row],[Start_Date]]</f>
        <v>11</v>
      </c>
      <c r="S587" t="str">
        <f>TEXT(Table2[[#This Row],[Start_Date]],"MMM")</f>
        <v>Oct</v>
      </c>
      <c r="T587">
        <f>YEAR(Table2[[#This Row],[Start_Date]])</f>
        <v>2025</v>
      </c>
      <c r="U587">
        <f>Table2[[#This Row],[Campaign_Cost (₹)]]/Table2[[#This Row],[Reach]]</f>
        <v>0.31142840821611506</v>
      </c>
      <c r="V587">
        <f>Table2[[#This Row],[Revenue_Generated (₹)]]/Table2[[#This Row],[Reach]]</f>
        <v>0.85583171707664729</v>
      </c>
    </row>
    <row r="588" spans="1:22" x14ac:dyDescent="0.3">
      <c r="A588" t="s">
        <v>639</v>
      </c>
      <c r="B588" t="s">
        <v>32</v>
      </c>
      <c r="C588" t="s">
        <v>37</v>
      </c>
      <c r="D588" t="s">
        <v>29</v>
      </c>
      <c r="E588">
        <v>1654752</v>
      </c>
      <c r="F588">
        <v>915190</v>
      </c>
      <c r="G588">
        <v>1969394</v>
      </c>
      <c r="H588">
        <v>134929</v>
      </c>
      <c r="I588">
        <v>13512</v>
      </c>
      <c r="J588">
        <v>4390</v>
      </c>
      <c r="K588">
        <f t="shared" si="18"/>
        <v>16.699373900501534</v>
      </c>
      <c r="L588">
        <v>241499</v>
      </c>
      <c r="M588">
        <v>690363</v>
      </c>
      <c r="N588">
        <f t="shared" si="19"/>
        <v>185.86577998252579</v>
      </c>
      <c r="O588" s="4">
        <v>45879</v>
      </c>
      <c r="P588" s="4">
        <v>45904</v>
      </c>
      <c r="Q588" t="s">
        <v>47</v>
      </c>
      <c r="R588">
        <f>Table2[[#This Row],[End_Date]]-Table2[[#This Row],[Start_Date]]</f>
        <v>25</v>
      </c>
      <c r="S588" t="str">
        <f>TEXT(Table2[[#This Row],[Start_Date]],"MMM")</f>
        <v>Aug</v>
      </c>
      <c r="T588">
        <f>YEAR(Table2[[#This Row],[Start_Date]])</f>
        <v>2025</v>
      </c>
      <c r="U588">
        <f>Table2[[#This Row],[Campaign_Cost (₹)]]/Table2[[#This Row],[Reach]]</f>
        <v>0.2638785388826364</v>
      </c>
      <c r="V588">
        <f>Table2[[#This Row],[Revenue_Generated (₹)]]/Table2[[#This Row],[Reach]]</f>
        <v>0.75433844338334122</v>
      </c>
    </row>
    <row r="589" spans="1:22" x14ac:dyDescent="0.3">
      <c r="A589" t="s">
        <v>640</v>
      </c>
      <c r="B589" t="s">
        <v>39</v>
      </c>
      <c r="C589" t="s">
        <v>37</v>
      </c>
      <c r="D589" t="s">
        <v>72</v>
      </c>
      <c r="E589">
        <v>1195434</v>
      </c>
      <c r="F589">
        <v>377914</v>
      </c>
      <c r="G589">
        <v>964234</v>
      </c>
      <c r="H589">
        <v>33487</v>
      </c>
      <c r="I589">
        <v>1071</v>
      </c>
      <c r="J589">
        <v>1151</v>
      </c>
      <c r="K589">
        <f t="shared" si="18"/>
        <v>9.448975163661574</v>
      </c>
      <c r="L589">
        <v>202518</v>
      </c>
      <c r="M589">
        <v>287640</v>
      </c>
      <c r="N589">
        <f t="shared" si="19"/>
        <v>42.031819393831661</v>
      </c>
      <c r="O589" s="4">
        <v>45840</v>
      </c>
      <c r="P589" s="4">
        <v>45853</v>
      </c>
      <c r="Q589" t="s">
        <v>47</v>
      </c>
      <c r="R589">
        <f>Table2[[#This Row],[End_Date]]-Table2[[#This Row],[Start_Date]]</f>
        <v>13</v>
      </c>
      <c r="S589" t="str">
        <f>TEXT(Table2[[#This Row],[Start_Date]],"MMM")</f>
        <v>Jul</v>
      </c>
      <c r="T589">
        <f>YEAR(Table2[[#This Row],[Start_Date]])</f>
        <v>2025</v>
      </c>
      <c r="U589">
        <f>Table2[[#This Row],[Campaign_Cost (₹)]]/Table2[[#This Row],[Reach]]</f>
        <v>0.53588382542059831</v>
      </c>
      <c r="V589">
        <f>Table2[[#This Row],[Revenue_Generated (₹)]]/Table2[[#This Row],[Reach]]</f>
        <v>0.76112554708214042</v>
      </c>
    </row>
    <row r="590" spans="1:22" x14ac:dyDescent="0.3">
      <c r="A590" t="s">
        <v>641</v>
      </c>
      <c r="B590" t="s">
        <v>75</v>
      </c>
      <c r="C590" t="s">
        <v>19</v>
      </c>
      <c r="D590" t="s">
        <v>51</v>
      </c>
      <c r="E590">
        <v>1707041</v>
      </c>
      <c r="F590">
        <v>1236008</v>
      </c>
      <c r="G590">
        <v>2154125</v>
      </c>
      <c r="H590">
        <v>75934</v>
      </c>
      <c r="I590">
        <v>11316</v>
      </c>
      <c r="J590">
        <v>6333</v>
      </c>
      <c r="K590">
        <f t="shared" si="18"/>
        <v>7.5713911236820479</v>
      </c>
      <c r="L590">
        <v>432243</v>
      </c>
      <c r="M590">
        <v>487868</v>
      </c>
      <c r="N590">
        <f t="shared" si="19"/>
        <v>12.86891864067203</v>
      </c>
      <c r="O590" s="4">
        <v>45671</v>
      </c>
      <c r="P590" s="4">
        <v>45699</v>
      </c>
      <c r="Q590" t="s">
        <v>41</v>
      </c>
      <c r="R590">
        <f>Table2[[#This Row],[End_Date]]-Table2[[#This Row],[Start_Date]]</f>
        <v>28</v>
      </c>
      <c r="S590" t="str">
        <f>TEXT(Table2[[#This Row],[Start_Date]],"MMM")</f>
        <v>Jan</v>
      </c>
      <c r="T590">
        <f>YEAR(Table2[[#This Row],[Start_Date]])</f>
        <v>2025</v>
      </c>
      <c r="U590">
        <f>Table2[[#This Row],[Campaign_Cost (₹)]]/Table2[[#This Row],[Reach]]</f>
        <v>0.34970890156050771</v>
      </c>
      <c r="V590">
        <f>Table2[[#This Row],[Revenue_Generated (₹)]]/Table2[[#This Row],[Reach]]</f>
        <v>0.39471265558151725</v>
      </c>
    </row>
    <row r="591" spans="1:22" x14ac:dyDescent="0.3">
      <c r="A591" t="s">
        <v>642</v>
      </c>
      <c r="B591" t="s">
        <v>32</v>
      </c>
      <c r="C591" t="s">
        <v>37</v>
      </c>
      <c r="D591" t="s">
        <v>46</v>
      </c>
      <c r="E591">
        <v>1125193</v>
      </c>
      <c r="F591">
        <v>564195</v>
      </c>
      <c r="G591">
        <v>712087</v>
      </c>
      <c r="H591">
        <v>80842</v>
      </c>
      <c r="I591">
        <v>3515</v>
      </c>
      <c r="J591">
        <v>3337</v>
      </c>
      <c r="K591">
        <f t="shared" si="18"/>
        <v>15.543207578939905</v>
      </c>
      <c r="L591">
        <v>170420</v>
      </c>
      <c r="M591">
        <v>411745</v>
      </c>
      <c r="N591">
        <f t="shared" si="19"/>
        <v>141.60603215585027</v>
      </c>
      <c r="O591" s="4">
        <v>46130</v>
      </c>
      <c r="P591" s="4">
        <v>46137</v>
      </c>
      <c r="Q591" t="s">
        <v>25</v>
      </c>
      <c r="R591">
        <f>Table2[[#This Row],[End_Date]]-Table2[[#This Row],[Start_Date]]</f>
        <v>7</v>
      </c>
      <c r="S591" t="str">
        <f>TEXT(Table2[[#This Row],[Start_Date]],"MMM")</f>
        <v>Apr</v>
      </c>
      <c r="T591">
        <f>YEAR(Table2[[#This Row],[Start_Date]])</f>
        <v>2026</v>
      </c>
      <c r="U591">
        <f>Table2[[#This Row],[Campaign_Cost (₹)]]/Table2[[#This Row],[Reach]]</f>
        <v>0.30205868538359965</v>
      </c>
      <c r="V591">
        <f>Table2[[#This Row],[Revenue_Generated (₹)]]/Table2[[#This Row],[Reach]]</f>
        <v>0.72979200453743831</v>
      </c>
    </row>
    <row r="592" spans="1:22" x14ac:dyDescent="0.3">
      <c r="A592" t="s">
        <v>643</v>
      </c>
      <c r="B592" t="s">
        <v>75</v>
      </c>
      <c r="C592" t="s">
        <v>19</v>
      </c>
      <c r="D592" t="s">
        <v>29</v>
      </c>
      <c r="E592">
        <v>262584</v>
      </c>
      <c r="F592">
        <v>152615</v>
      </c>
      <c r="G592">
        <v>429352</v>
      </c>
      <c r="H592">
        <v>6175</v>
      </c>
      <c r="I592">
        <v>424</v>
      </c>
      <c r="J592">
        <v>227</v>
      </c>
      <c r="K592">
        <f t="shared" si="18"/>
        <v>4.4726927235199687</v>
      </c>
      <c r="L592">
        <v>387909</v>
      </c>
      <c r="M592">
        <v>1383402</v>
      </c>
      <c r="N592">
        <f t="shared" si="19"/>
        <v>256.63054994857043</v>
      </c>
      <c r="O592" s="4">
        <v>45791</v>
      </c>
      <c r="P592" s="4">
        <v>45820</v>
      </c>
      <c r="Q592" t="s">
        <v>47</v>
      </c>
      <c r="R592">
        <f>Table2[[#This Row],[End_Date]]-Table2[[#This Row],[Start_Date]]</f>
        <v>29</v>
      </c>
      <c r="S592" t="str">
        <f>TEXT(Table2[[#This Row],[Start_Date]],"MMM")</f>
        <v>May</v>
      </c>
      <c r="T592">
        <f>YEAR(Table2[[#This Row],[Start_Date]])</f>
        <v>2025</v>
      </c>
      <c r="U592">
        <f>Table2[[#This Row],[Campaign_Cost (₹)]]/Table2[[#This Row],[Reach]]</f>
        <v>2.5417488451331782</v>
      </c>
      <c r="V592">
        <f>Table2[[#This Row],[Revenue_Generated (₹)]]/Table2[[#This Row],[Reach]]</f>
        <v>9.0646528847098917</v>
      </c>
    </row>
    <row r="593" spans="1:22" x14ac:dyDescent="0.3">
      <c r="A593" t="s">
        <v>644</v>
      </c>
      <c r="B593" t="s">
        <v>27</v>
      </c>
      <c r="C593" t="s">
        <v>33</v>
      </c>
      <c r="D593" t="s">
        <v>58</v>
      </c>
      <c r="E593">
        <v>287799</v>
      </c>
      <c r="F593">
        <v>226231</v>
      </c>
      <c r="G593">
        <v>339849</v>
      </c>
      <c r="H593">
        <v>19155</v>
      </c>
      <c r="I593">
        <v>2402</v>
      </c>
      <c r="J593">
        <v>1592</v>
      </c>
      <c r="K593">
        <f t="shared" si="18"/>
        <v>10.232461510579896</v>
      </c>
      <c r="L593">
        <v>185108</v>
      </c>
      <c r="M593">
        <v>312326</v>
      </c>
      <c r="N593">
        <f t="shared" si="19"/>
        <v>68.726365148994091</v>
      </c>
      <c r="O593" s="4">
        <v>45934</v>
      </c>
      <c r="P593" s="4">
        <v>45959</v>
      </c>
      <c r="Q593" t="s">
        <v>41</v>
      </c>
      <c r="R593">
        <f>Table2[[#This Row],[End_Date]]-Table2[[#This Row],[Start_Date]]</f>
        <v>25</v>
      </c>
      <c r="S593" t="str">
        <f>TEXT(Table2[[#This Row],[Start_Date]],"MMM")</f>
        <v>Oct</v>
      </c>
      <c r="T593">
        <f>YEAR(Table2[[#This Row],[Start_Date]])</f>
        <v>2025</v>
      </c>
      <c r="U593">
        <f>Table2[[#This Row],[Campaign_Cost (₹)]]/Table2[[#This Row],[Reach]]</f>
        <v>0.81822561894700552</v>
      </c>
      <c r="V593">
        <f>Table2[[#This Row],[Revenue_Generated (₹)]]/Table2[[#This Row],[Reach]]</f>
        <v>1.3805623455671416</v>
      </c>
    </row>
    <row r="594" spans="1:22" x14ac:dyDescent="0.3">
      <c r="A594" t="s">
        <v>645</v>
      </c>
      <c r="B594" t="s">
        <v>49</v>
      </c>
      <c r="C594" t="s">
        <v>43</v>
      </c>
      <c r="D594" t="s">
        <v>24</v>
      </c>
      <c r="E594">
        <v>1829923</v>
      </c>
      <c r="F594">
        <v>1326086</v>
      </c>
      <c r="G594">
        <v>3951720</v>
      </c>
      <c r="H594">
        <v>142714</v>
      </c>
      <c r="I594">
        <v>17103</v>
      </c>
      <c r="J594">
        <v>11823</v>
      </c>
      <c r="K594">
        <f t="shared" si="18"/>
        <v>12.943353598484563</v>
      </c>
      <c r="L594">
        <v>459765</v>
      </c>
      <c r="M594">
        <v>1339344</v>
      </c>
      <c r="N594">
        <f t="shared" si="19"/>
        <v>191.31056082998924</v>
      </c>
      <c r="O594" s="4">
        <v>46008</v>
      </c>
      <c r="P594" s="4">
        <v>46016</v>
      </c>
      <c r="Q594" t="s">
        <v>41</v>
      </c>
      <c r="R594">
        <f>Table2[[#This Row],[End_Date]]-Table2[[#This Row],[Start_Date]]</f>
        <v>8</v>
      </c>
      <c r="S594" t="str">
        <f>TEXT(Table2[[#This Row],[Start_Date]],"MMM")</f>
        <v>Dec</v>
      </c>
      <c r="T594">
        <f>YEAR(Table2[[#This Row],[Start_Date]])</f>
        <v>2025</v>
      </c>
      <c r="U594">
        <f>Table2[[#This Row],[Campaign_Cost (₹)]]/Table2[[#This Row],[Reach]]</f>
        <v>0.34670828287154831</v>
      </c>
      <c r="V594">
        <f>Table2[[#This Row],[Revenue_Generated (₹)]]/Table2[[#This Row],[Reach]]</f>
        <v>1.0099978432771328</v>
      </c>
    </row>
    <row r="595" spans="1:22" x14ac:dyDescent="0.3">
      <c r="A595" t="s">
        <v>646</v>
      </c>
      <c r="B595" t="s">
        <v>63</v>
      </c>
      <c r="C595" t="s">
        <v>43</v>
      </c>
      <c r="D595" t="s">
        <v>58</v>
      </c>
      <c r="E595">
        <v>728024</v>
      </c>
      <c r="F595">
        <v>253003</v>
      </c>
      <c r="G595">
        <v>437312</v>
      </c>
      <c r="H595">
        <v>36611</v>
      </c>
      <c r="I595">
        <v>2991</v>
      </c>
      <c r="J595">
        <v>947</v>
      </c>
      <c r="K595">
        <f t="shared" si="18"/>
        <v>16.027082682814036</v>
      </c>
      <c r="L595">
        <v>285165</v>
      </c>
      <c r="M595">
        <v>534152</v>
      </c>
      <c r="N595">
        <f t="shared" si="19"/>
        <v>87.31330983816386</v>
      </c>
      <c r="O595" s="4">
        <v>45946</v>
      </c>
      <c r="P595" s="4">
        <v>45975</v>
      </c>
      <c r="Q595" t="s">
        <v>47</v>
      </c>
      <c r="R595">
        <f>Table2[[#This Row],[End_Date]]-Table2[[#This Row],[Start_Date]]</f>
        <v>29</v>
      </c>
      <c r="S595" t="str">
        <f>TEXT(Table2[[#This Row],[Start_Date]],"MMM")</f>
        <v>Oct</v>
      </c>
      <c r="T595">
        <f>YEAR(Table2[[#This Row],[Start_Date]])</f>
        <v>2025</v>
      </c>
      <c r="U595">
        <f>Table2[[#This Row],[Campaign_Cost (₹)]]/Table2[[#This Row],[Reach]]</f>
        <v>1.1271210222803683</v>
      </c>
      <c r="V595">
        <f>Table2[[#This Row],[Revenue_Generated (₹)]]/Table2[[#This Row],[Reach]]</f>
        <v>2.1112476927151063</v>
      </c>
    </row>
    <row r="596" spans="1:22" x14ac:dyDescent="0.3">
      <c r="A596" t="s">
        <v>647</v>
      </c>
      <c r="B596" t="s">
        <v>75</v>
      </c>
      <c r="C596" t="s">
        <v>19</v>
      </c>
      <c r="D596" t="s">
        <v>46</v>
      </c>
      <c r="E596">
        <v>1841155</v>
      </c>
      <c r="F596">
        <v>887576</v>
      </c>
      <c r="G596">
        <v>1219516</v>
      </c>
      <c r="H596">
        <v>124575</v>
      </c>
      <c r="I596">
        <v>16408</v>
      </c>
      <c r="J596">
        <v>4753</v>
      </c>
      <c r="K596">
        <f t="shared" si="18"/>
        <v>16.419551677828149</v>
      </c>
      <c r="L596">
        <v>189302</v>
      </c>
      <c r="M596">
        <v>249236</v>
      </c>
      <c r="N596">
        <f t="shared" si="19"/>
        <v>31.660521283451835</v>
      </c>
      <c r="O596" s="4">
        <v>46060</v>
      </c>
      <c r="P596" s="4">
        <v>46071</v>
      </c>
      <c r="Q596" t="s">
        <v>34</v>
      </c>
      <c r="R596">
        <f>Table2[[#This Row],[End_Date]]-Table2[[#This Row],[Start_Date]]</f>
        <v>11</v>
      </c>
      <c r="S596" t="str">
        <f>TEXT(Table2[[#This Row],[Start_Date]],"MMM")</f>
        <v>Feb</v>
      </c>
      <c r="T596">
        <f>YEAR(Table2[[#This Row],[Start_Date]])</f>
        <v>2026</v>
      </c>
      <c r="U596">
        <f>Table2[[#This Row],[Campaign_Cost (₹)]]/Table2[[#This Row],[Reach]]</f>
        <v>0.21327976421174075</v>
      </c>
      <c r="V596">
        <f>Table2[[#This Row],[Revenue_Generated (₹)]]/Table2[[#This Row],[Reach]]</f>
        <v>0.28080524935329482</v>
      </c>
    </row>
    <row r="597" spans="1:22" x14ac:dyDescent="0.3">
      <c r="A597" t="s">
        <v>648</v>
      </c>
      <c r="B597" t="s">
        <v>57</v>
      </c>
      <c r="C597" t="s">
        <v>19</v>
      </c>
      <c r="D597" t="s">
        <v>58</v>
      </c>
      <c r="E597">
        <v>1531544</v>
      </c>
      <c r="F597">
        <v>561365</v>
      </c>
      <c r="G597">
        <v>904473</v>
      </c>
      <c r="H597">
        <v>20719</v>
      </c>
      <c r="I597">
        <v>1111</v>
      </c>
      <c r="J597">
        <v>1092</v>
      </c>
      <c r="K597">
        <f t="shared" si="18"/>
        <v>4.0832613362072809</v>
      </c>
      <c r="L597">
        <v>230104</v>
      </c>
      <c r="M597">
        <v>773737</v>
      </c>
      <c r="N597">
        <f t="shared" si="19"/>
        <v>236.25534540903246</v>
      </c>
      <c r="O597" s="4">
        <v>45824</v>
      </c>
      <c r="P597" s="4">
        <v>45839</v>
      </c>
      <c r="Q597" t="s">
        <v>21</v>
      </c>
      <c r="R597">
        <f>Table2[[#This Row],[End_Date]]-Table2[[#This Row],[Start_Date]]</f>
        <v>15</v>
      </c>
      <c r="S597" t="str">
        <f>TEXT(Table2[[#This Row],[Start_Date]],"MMM")</f>
        <v>Jun</v>
      </c>
      <c r="T597">
        <f>YEAR(Table2[[#This Row],[Start_Date]])</f>
        <v>2025</v>
      </c>
      <c r="U597">
        <f>Table2[[#This Row],[Campaign_Cost (₹)]]/Table2[[#This Row],[Reach]]</f>
        <v>0.40990086663757092</v>
      </c>
      <c r="V597">
        <f>Table2[[#This Row],[Revenue_Generated (₹)]]/Table2[[#This Row],[Reach]]</f>
        <v>1.3783135749467814</v>
      </c>
    </row>
    <row r="598" spans="1:22" x14ac:dyDescent="0.3">
      <c r="A598" t="s">
        <v>649</v>
      </c>
      <c r="B598" t="s">
        <v>49</v>
      </c>
      <c r="C598" t="s">
        <v>37</v>
      </c>
      <c r="D598" t="s">
        <v>46</v>
      </c>
      <c r="E598">
        <v>1861718</v>
      </c>
      <c r="F598">
        <v>1167892</v>
      </c>
      <c r="G598">
        <v>1682575</v>
      </c>
      <c r="H598">
        <v>55720</v>
      </c>
      <c r="I598">
        <v>3978</v>
      </c>
      <c r="J598">
        <v>3895</v>
      </c>
      <c r="K598">
        <f t="shared" si="18"/>
        <v>5.4451096505498793</v>
      </c>
      <c r="L598">
        <v>112376</v>
      </c>
      <c r="M598">
        <v>128560</v>
      </c>
      <c r="N598">
        <f t="shared" si="19"/>
        <v>14.401651598206023</v>
      </c>
      <c r="O598" s="4">
        <v>45702</v>
      </c>
      <c r="P598" s="4">
        <v>45713</v>
      </c>
      <c r="Q598" t="s">
        <v>30</v>
      </c>
      <c r="R598">
        <f>Table2[[#This Row],[End_Date]]-Table2[[#This Row],[Start_Date]]</f>
        <v>11</v>
      </c>
      <c r="S598" t="str">
        <f>TEXT(Table2[[#This Row],[Start_Date]],"MMM")</f>
        <v>Feb</v>
      </c>
      <c r="T598">
        <f>YEAR(Table2[[#This Row],[Start_Date]])</f>
        <v>2025</v>
      </c>
      <c r="U598">
        <f>Table2[[#This Row],[Campaign_Cost (₹)]]/Table2[[#This Row],[Reach]]</f>
        <v>9.6221225935274837E-2</v>
      </c>
      <c r="V598">
        <f>Table2[[#This Row],[Revenue_Generated (₹)]]/Table2[[#This Row],[Reach]]</f>
        <v>0.11007867165799577</v>
      </c>
    </row>
    <row r="599" spans="1:22" x14ac:dyDescent="0.3">
      <c r="A599" t="s">
        <v>650</v>
      </c>
      <c r="B599" t="s">
        <v>57</v>
      </c>
      <c r="C599" t="s">
        <v>37</v>
      </c>
      <c r="D599" t="s">
        <v>51</v>
      </c>
      <c r="E599">
        <v>1850497</v>
      </c>
      <c r="F599">
        <v>1357995</v>
      </c>
      <c r="G599">
        <v>2473396</v>
      </c>
      <c r="H599">
        <v>86302</v>
      </c>
      <c r="I599">
        <v>2851</v>
      </c>
      <c r="J599">
        <v>3936</v>
      </c>
      <c r="K599">
        <f t="shared" si="18"/>
        <v>6.8548853272655643</v>
      </c>
      <c r="L599">
        <v>225747</v>
      </c>
      <c r="M599">
        <v>1111531</v>
      </c>
      <c r="N599">
        <f t="shared" si="19"/>
        <v>392.37907923471852</v>
      </c>
      <c r="O599" s="4">
        <v>46116</v>
      </c>
      <c r="P599" s="4">
        <v>46140</v>
      </c>
      <c r="Q599" t="s">
        <v>21</v>
      </c>
      <c r="R599">
        <f>Table2[[#This Row],[End_Date]]-Table2[[#This Row],[Start_Date]]</f>
        <v>24</v>
      </c>
      <c r="S599" t="str">
        <f>TEXT(Table2[[#This Row],[Start_Date]],"MMM")</f>
        <v>Apr</v>
      </c>
      <c r="T599">
        <f>YEAR(Table2[[#This Row],[Start_Date]])</f>
        <v>2026</v>
      </c>
      <c r="U599">
        <f>Table2[[#This Row],[Campaign_Cost (₹)]]/Table2[[#This Row],[Reach]]</f>
        <v>0.16623551633106159</v>
      </c>
      <c r="V599">
        <f>Table2[[#This Row],[Revenue_Generated (₹)]]/Table2[[#This Row],[Reach]]</f>
        <v>0.81850890467196125</v>
      </c>
    </row>
    <row r="600" spans="1:22" x14ac:dyDescent="0.3">
      <c r="A600" t="s">
        <v>651</v>
      </c>
      <c r="B600" t="s">
        <v>103</v>
      </c>
      <c r="C600" t="s">
        <v>43</v>
      </c>
      <c r="D600" t="s">
        <v>29</v>
      </c>
      <c r="E600">
        <v>1517458</v>
      </c>
      <c r="F600">
        <v>663124</v>
      </c>
      <c r="G600">
        <v>747052</v>
      </c>
      <c r="H600">
        <v>76770</v>
      </c>
      <c r="I600">
        <v>4808</v>
      </c>
      <c r="J600">
        <v>1675</v>
      </c>
      <c r="K600">
        <f t="shared" si="18"/>
        <v>12.554665492426755</v>
      </c>
      <c r="L600">
        <v>192728</v>
      </c>
      <c r="M600">
        <v>484745</v>
      </c>
      <c r="N600">
        <f t="shared" si="19"/>
        <v>151.51768295213981</v>
      </c>
      <c r="O600" s="4">
        <v>46035</v>
      </c>
      <c r="P600" s="4">
        <v>46058</v>
      </c>
      <c r="Q600" t="s">
        <v>41</v>
      </c>
      <c r="R600">
        <f>Table2[[#This Row],[End_Date]]-Table2[[#This Row],[Start_Date]]</f>
        <v>23</v>
      </c>
      <c r="S600" t="str">
        <f>TEXT(Table2[[#This Row],[Start_Date]],"MMM")</f>
        <v>Jan</v>
      </c>
      <c r="T600">
        <f>YEAR(Table2[[#This Row],[Start_Date]])</f>
        <v>2026</v>
      </c>
      <c r="U600">
        <f>Table2[[#This Row],[Campaign_Cost (₹)]]/Table2[[#This Row],[Reach]]</f>
        <v>0.29063644205306999</v>
      </c>
      <c r="V600">
        <f>Table2[[#This Row],[Revenue_Generated (₹)]]/Table2[[#This Row],[Reach]]</f>
        <v>0.73100204486642018</v>
      </c>
    </row>
    <row r="601" spans="1:22" x14ac:dyDescent="0.3">
      <c r="A601" t="s">
        <v>652</v>
      </c>
      <c r="B601" t="s">
        <v>75</v>
      </c>
      <c r="C601" t="s">
        <v>19</v>
      </c>
      <c r="D601" t="s">
        <v>72</v>
      </c>
      <c r="E601">
        <v>1471199</v>
      </c>
      <c r="F601">
        <v>1201511</v>
      </c>
      <c r="G601">
        <v>2715808</v>
      </c>
      <c r="H601">
        <v>143679</v>
      </c>
      <c r="I601">
        <v>8665</v>
      </c>
      <c r="J601">
        <v>6736</v>
      </c>
      <c r="K601">
        <f t="shared" si="18"/>
        <v>13.239995305910639</v>
      </c>
      <c r="L601">
        <v>47935</v>
      </c>
      <c r="M601">
        <v>235370</v>
      </c>
      <c r="N601">
        <f t="shared" si="19"/>
        <v>391.01908834880567</v>
      </c>
      <c r="O601" s="4">
        <v>46145</v>
      </c>
      <c r="P601" s="4">
        <v>46165</v>
      </c>
      <c r="Q601" t="s">
        <v>54</v>
      </c>
      <c r="R601">
        <f>Table2[[#This Row],[End_Date]]-Table2[[#This Row],[Start_Date]]</f>
        <v>20</v>
      </c>
      <c r="S601" t="str">
        <f>TEXT(Table2[[#This Row],[Start_Date]],"MMM")</f>
        <v>May</v>
      </c>
      <c r="T601">
        <f>YEAR(Table2[[#This Row],[Start_Date]])</f>
        <v>2026</v>
      </c>
      <c r="U601">
        <f>Table2[[#This Row],[Campaign_Cost (₹)]]/Table2[[#This Row],[Reach]]</f>
        <v>3.9895598126026312E-2</v>
      </c>
      <c r="V601">
        <f>Table2[[#This Row],[Revenue_Generated (₹)]]/Table2[[#This Row],[Reach]]</f>
        <v>0.19589500220971759</v>
      </c>
    </row>
    <row r="602" spans="1:22" x14ac:dyDescent="0.3">
      <c r="A602" t="s">
        <v>653</v>
      </c>
      <c r="B602" t="s">
        <v>39</v>
      </c>
      <c r="C602" t="s">
        <v>43</v>
      </c>
      <c r="D602" t="s">
        <v>40</v>
      </c>
      <c r="E602">
        <v>733417</v>
      </c>
      <c r="F602">
        <v>538524</v>
      </c>
      <c r="G602">
        <v>1206677</v>
      </c>
      <c r="H602">
        <v>75663</v>
      </c>
      <c r="I602">
        <v>4493</v>
      </c>
      <c r="J602">
        <v>2180</v>
      </c>
      <c r="K602">
        <f t="shared" si="18"/>
        <v>15.289197881617161</v>
      </c>
      <c r="L602">
        <v>450693</v>
      </c>
      <c r="M602">
        <v>989775</v>
      </c>
      <c r="N602">
        <f t="shared" si="19"/>
        <v>119.61179783133973</v>
      </c>
      <c r="O602" s="4">
        <v>45746</v>
      </c>
      <c r="P602" s="4">
        <v>45760</v>
      </c>
      <c r="Q602" t="s">
        <v>78</v>
      </c>
      <c r="R602">
        <f>Table2[[#This Row],[End_Date]]-Table2[[#This Row],[Start_Date]]</f>
        <v>14</v>
      </c>
      <c r="S602" t="str">
        <f>TEXT(Table2[[#This Row],[Start_Date]],"MMM")</f>
        <v>Mar</v>
      </c>
      <c r="T602">
        <f>YEAR(Table2[[#This Row],[Start_Date]])</f>
        <v>2025</v>
      </c>
      <c r="U602">
        <f>Table2[[#This Row],[Campaign_Cost (₹)]]/Table2[[#This Row],[Reach]]</f>
        <v>0.83690420482652583</v>
      </c>
      <c r="V602">
        <f>Table2[[#This Row],[Revenue_Generated (₹)]]/Table2[[#This Row],[Reach]]</f>
        <v>1.8379403703456114</v>
      </c>
    </row>
    <row r="603" spans="1:22" x14ac:dyDescent="0.3">
      <c r="A603" t="s">
        <v>654</v>
      </c>
      <c r="B603" t="s">
        <v>53</v>
      </c>
      <c r="C603" t="s">
        <v>43</v>
      </c>
      <c r="D603" t="s">
        <v>46</v>
      </c>
      <c r="E603">
        <v>1548708</v>
      </c>
      <c r="F603">
        <v>751515</v>
      </c>
      <c r="G603">
        <v>1633711</v>
      </c>
      <c r="H603">
        <v>29929</v>
      </c>
      <c r="I603">
        <v>3023</v>
      </c>
      <c r="J603">
        <v>1461</v>
      </c>
      <c r="K603">
        <f t="shared" si="18"/>
        <v>4.5791501167641364</v>
      </c>
      <c r="L603">
        <v>48235</v>
      </c>
      <c r="M603">
        <v>197682</v>
      </c>
      <c r="N603">
        <f t="shared" si="19"/>
        <v>309.83103555509484</v>
      </c>
      <c r="O603" s="4">
        <v>45842</v>
      </c>
      <c r="P603" s="4">
        <v>45849</v>
      </c>
      <c r="Q603" t="s">
        <v>41</v>
      </c>
      <c r="R603">
        <f>Table2[[#This Row],[End_Date]]-Table2[[#This Row],[Start_Date]]</f>
        <v>7</v>
      </c>
      <c r="S603" t="str">
        <f>TEXT(Table2[[#This Row],[Start_Date]],"MMM")</f>
        <v>Jul</v>
      </c>
      <c r="T603">
        <f>YEAR(Table2[[#This Row],[Start_Date]])</f>
        <v>2025</v>
      </c>
      <c r="U603">
        <f>Table2[[#This Row],[Campaign_Cost (₹)]]/Table2[[#This Row],[Reach]]</f>
        <v>6.418368229509723E-2</v>
      </c>
      <c r="V603">
        <f>Table2[[#This Row],[Revenue_Generated (₹)]]/Table2[[#This Row],[Reach]]</f>
        <v>0.26304464980738906</v>
      </c>
    </row>
    <row r="604" spans="1:22" x14ac:dyDescent="0.3">
      <c r="A604" t="s">
        <v>655</v>
      </c>
      <c r="B604" t="s">
        <v>63</v>
      </c>
      <c r="C604" t="s">
        <v>19</v>
      </c>
      <c r="D604" t="s">
        <v>29</v>
      </c>
      <c r="E604">
        <v>1824256</v>
      </c>
      <c r="F604">
        <v>743902</v>
      </c>
      <c r="G604">
        <v>1273520</v>
      </c>
      <c r="H604">
        <v>55422</v>
      </c>
      <c r="I604">
        <v>6034</v>
      </c>
      <c r="J604">
        <v>4270</v>
      </c>
      <c r="K604">
        <f t="shared" si="18"/>
        <v>8.835303574933258</v>
      </c>
      <c r="L604">
        <v>175523</v>
      </c>
      <c r="M604">
        <v>519693</v>
      </c>
      <c r="N604">
        <f t="shared" si="19"/>
        <v>196.08256467813334</v>
      </c>
      <c r="O604" s="4">
        <v>46101</v>
      </c>
      <c r="P604" s="4">
        <v>46115</v>
      </c>
      <c r="Q604" t="s">
        <v>78</v>
      </c>
      <c r="R604">
        <f>Table2[[#This Row],[End_Date]]-Table2[[#This Row],[Start_Date]]</f>
        <v>14</v>
      </c>
      <c r="S604" t="str">
        <f>TEXT(Table2[[#This Row],[Start_Date]],"MMM")</f>
        <v>Mar</v>
      </c>
      <c r="T604">
        <f>YEAR(Table2[[#This Row],[Start_Date]])</f>
        <v>2026</v>
      </c>
      <c r="U604">
        <f>Table2[[#This Row],[Campaign_Cost (₹)]]/Table2[[#This Row],[Reach]]</f>
        <v>0.23594909006831544</v>
      </c>
      <c r="V604">
        <f>Table2[[#This Row],[Revenue_Generated (₹)]]/Table2[[#This Row],[Reach]]</f>
        <v>0.69860411720898719</v>
      </c>
    </row>
    <row r="605" spans="1:22" x14ac:dyDescent="0.3">
      <c r="A605" t="s">
        <v>656</v>
      </c>
      <c r="B605" t="s">
        <v>36</v>
      </c>
      <c r="C605" t="s">
        <v>28</v>
      </c>
      <c r="D605" t="s">
        <v>58</v>
      </c>
      <c r="E605">
        <v>174031</v>
      </c>
      <c r="F605">
        <v>113231</v>
      </c>
      <c r="G605">
        <v>190235</v>
      </c>
      <c r="H605">
        <v>2800</v>
      </c>
      <c r="I605">
        <v>127</v>
      </c>
      <c r="J605">
        <v>245</v>
      </c>
      <c r="K605">
        <f t="shared" si="18"/>
        <v>2.80135298637299</v>
      </c>
      <c r="L605">
        <v>260276</v>
      </c>
      <c r="M605">
        <v>891448</v>
      </c>
      <c r="N605">
        <f t="shared" si="19"/>
        <v>242.50103736034055</v>
      </c>
      <c r="O605" s="4">
        <v>45894</v>
      </c>
      <c r="P605" s="4">
        <v>45923</v>
      </c>
      <c r="Q605" t="s">
        <v>78</v>
      </c>
      <c r="R605">
        <f>Table2[[#This Row],[End_Date]]-Table2[[#This Row],[Start_Date]]</f>
        <v>29</v>
      </c>
      <c r="S605" t="str">
        <f>TEXT(Table2[[#This Row],[Start_Date]],"MMM")</f>
        <v>Aug</v>
      </c>
      <c r="T605">
        <f>YEAR(Table2[[#This Row],[Start_Date]])</f>
        <v>2025</v>
      </c>
      <c r="U605">
        <f>Table2[[#This Row],[Campaign_Cost (₹)]]/Table2[[#This Row],[Reach]]</f>
        <v>2.2986284674691562</v>
      </c>
      <c r="V605">
        <f>Table2[[#This Row],[Revenue_Generated (₹)]]/Table2[[#This Row],[Reach]]</f>
        <v>7.8728263461419576</v>
      </c>
    </row>
    <row r="606" spans="1:22" x14ac:dyDescent="0.3">
      <c r="A606" t="s">
        <v>657</v>
      </c>
      <c r="B606" t="s">
        <v>49</v>
      </c>
      <c r="C606" t="s">
        <v>28</v>
      </c>
      <c r="D606" t="s">
        <v>24</v>
      </c>
      <c r="E606">
        <v>852234</v>
      </c>
      <c r="F606">
        <v>384038</v>
      </c>
      <c r="G606">
        <v>917494</v>
      </c>
      <c r="H606">
        <v>31602</v>
      </c>
      <c r="I606">
        <v>1667</v>
      </c>
      <c r="J606">
        <v>2075</v>
      </c>
      <c r="K606">
        <f t="shared" si="18"/>
        <v>9.2032559277988124</v>
      </c>
      <c r="L606">
        <v>346708</v>
      </c>
      <c r="M606">
        <v>997965</v>
      </c>
      <c r="N606">
        <f t="shared" si="19"/>
        <v>187.84019982232886</v>
      </c>
      <c r="O606" s="4">
        <v>45672</v>
      </c>
      <c r="P606" s="4">
        <v>45683</v>
      </c>
      <c r="Q606" t="s">
        <v>21</v>
      </c>
      <c r="R606">
        <f>Table2[[#This Row],[End_Date]]-Table2[[#This Row],[Start_Date]]</f>
        <v>11</v>
      </c>
      <c r="S606" t="str">
        <f>TEXT(Table2[[#This Row],[Start_Date]],"MMM")</f>
        <v>Jan</v>
      </c>
      <c r="T606">
        <f>YEAR(Table2[[#This Row],[Start_Date]])</f>
        <v>2025</v>
      </c>
      <c r="U606">
        <f>Table2[[#This Row],[Campaign_Cost (₹)]]/Table2[[#This Row],[Reach]]</f>
        <v>0.90279607747150026</v>
      </c>
      <c r="V606">
        <f>Table2[[#This Row],[Revenue_Generated (₹)]]/Table2[[#This Row],[Reach]]</f>
        <v>2.5986100333821134</v>
      </c>
    </row>
    <row r="607" spans="1:22" x14ac:dyDescent="0.3">
      <c r="A607" t="s">
        <v>658</v>
      </c>
      <c r="B607" t="s">
        <v>49</v>
      </c>
      <c r="C607" t="s">
        <v>19</v>
      </c>
      <c r="D607" t="s">
        <v>24</v>
      </c>
      <c r="E607">
        <v>1106257</v>
      </c>
      <c r="F607">
        <v>673085</v>
      </c>
      <c r="G607">
        <v>1373417</v>
      </c>
      <c r="H607">
        <v>21407</v>
      </c>
      <c r="I607">
        <v>2221</v>
      </c>
      <c r="J607">
        <v>1640</v>
      </c>
      <c r="K607">
        <f t="shared" si="18"/>
        <v>3.7540578084491556</v>
      </c>
      <c r="L607">
        <v>390940</v>
      </c>
      <c r="M607">
        <v>835004</v>
      </c>
      <c r="N607">
        <f t="shared" si="19"/>
        <v>113.5887860029672</v>
      </c>
      <c r="O607" s="4">
        <v>45918</v>
      </c>
      <c r="P607" s="4">
        <v>45925</v>
      </c>
      <c r="Q607" t="s">
        <v>25</v>
      </c>
      <c r="R607">
        <f>Table2[[#This Row],[End_Date]]-Table2[[#This Row],[Start_Date]]</f>
        <v>7</v>
      </c>
      <c r="S607" t="str">
        <f>TEXT(Table2[[#This Row],[Start_Date]],"MMM")</f>
        <v>Sep</v>
      </c>
      <c r="T607">
        <f>YEAR(Table2[[#This Row],[Start_Date]])</f>
        <v>2025</v>
      </c>
      <c r="U607">
        <f>Table2[[#This Row],[Campaign_Cost (₹)]]/Table2[[#This Row],[Reach]]</f>
        <v>0.58081817303906635</v>
      </c>
      <c r="V607">
        <f>Table2[[#This Row],[Revenue_Generated (₹)]]/Table2[[#This Row],[Reach]]</f>
        <v>1.2405624846787553</v>
      </c>
    </row>
    <row r="608" spans="1:22" x14ac:dyDescent="0.3">
      <c r="A608" t="s">
        <v>659</v>
      </c>
      <c r="B608" t="s">
        <v>53</v>
      </c>
      <c r="C608" t="s">
        <v>43</v>
      </c>
      <c r="D608" t="s">
        <v>46</v>
      </c>
      <c r="E608">
        <v>92659</v>
      </c>
      <c r="F608">
        <v>64568</v>
      </c>
      <c r="G608">
        <v>151102</v>
      </c>
      <c r="H608">
        <v>2430</v>
      </c>
      <c r="I608">
        <v>187</v>
      </c>
      <c r="J608">
        <v>205</v>
      </c>
      <c r="K608">
        <f t="shared" si="18"/>
        <v>4.3705860488167509</v>
      </c>
      <c r="L608">
        <v>468174</v>
      </c>
      <c r="M608">
        <v>2126106</v>
      </c>
      <c r="N608">
        <f t="shared" si="19"/>
        <v>354.12731164054389</v>
      </c>
      <c r="O608" s="4">
        <v>46073</v>
      </c>
      <c r="P608" s="4">
        <v>46098</v>
      </c>
      <c r="Q608" t="s">
        <v>41</v>
      </c>
      <c r="R608">
        <f>Table2[[#This Row],[End_Date]]-Table2[[#This Row],[Start_Date]]</f>
        <v>25</v>
      </c>
      <c r="S608" t="str">
        <f>TEXT(Table2[[#This Row],[Start_Date]],"MMM")</f>
        <v>Feb</v>
      </c>
      <c r="T608">
        <f>YEAR(Table2[[#This Row],[Start_Date]])</f>
        <v>2026</v>
      </c>
      <c r="U608">
        <f>Table2[[#This Row],[Campaign_Cost (₹)]]/Table2[[#This Row],[Reach]]</f>
        <v>7.2508673026886381</v>
      </c>
      <c r="V608">
        <f>Table2[[#This Row],[Revenue_Generated (₹)]]/Table2[[#This Row],[Reach]]</f>
        <v>32.928168752323131</v>
      </c>
    </row>
    <row r="609" spans="1:22" x14ac:dyDescent="0.3">
      <c r="A609" t="s">
        <v>660</v>
      </c>
      <c r="B609" t="s">
        <v>18</v>
      </c>
      <c r="C609" t="s">
        <v>28</v>
      </c>
      <c r="D609" t="s">
        <v>24</v>
      </c>
      <c r="E609">
        <v>1994899</v>
      </c>
      <c r="F609">
        <v>1529872</v>
      </c>
      <c r="G609">
        <v>2288108</v>
      </c>
      <c r="H609">
        <v>101685</v>
      </c>
      <c r="I609">
        <v>5931</v>
      </c>
      <c r="J609">
        <v>9621</v>
      </c>
      <c r="K609">
        <f t="shared" si="18"/>
        <v>7.6631901230952648</v>
      </c>
      <c r="L609">
        <v>148458</v>
      </c>
      <c r="M609">
        <v>192617</v>
      </c>
      <c r="N609">
        <f t="shared" si="19"/>
        <v>29.745113095959802</v>
      </c>
      <c r="O609" s="4">
        <v>46023</v>
      </c>
      <c r="P609" s="4">
        <v>46039</v>
      </c>
      <c r="Q609" t="s">
        <v>34</v>
      </c>
      <c r="R609">
        <f>Table2[[#This Row],[End_Date]]-Table2[[#This Row],[Start_Date]]</f>
        <v>16</v>
      </c>
      <c r="S609" t="str">
        <f>TEXT(Table2[[#This Row],[Start_Date]],"MMM")</f>
        <v>Jan</v>
      </c>
      <c r="T609">
        <f>YEAR(Table2[[#This Row],[Start_Date]])</f>
        <v>2026</v>
      </c>
      <c r="U609">
        <f>Table2[[#This Row],[Campaign_Cost (₹)]]/Table2[[#This Row],[Reach]]</f>
        <v>9.7039490885511989E-2</v>
      </c>
      <c r="V609">
        <f>Table2[[#This Row],[Revenue_Generated (₹)]]/Table2[[#This Row],[Reach]]</f>
        <v>0.12590399719715115</v>
      </c>
    </row>
    <row r="610" spans="1:22" x14ac:dyDescent="0.3">
      <c r="A610" t="s">
        <v>661</v>
      </c>
      <c r="B610" t="s">
        <v>63</v>
      </c>
      <c r="C610" t="s">
        <v>33</v>
      </c>
      <c r="D610" t="s">
        <v>72</v>
      </c>
      <c r="E610">
        <v>53925</v>
      </c>
      <c r="F610">
        <v>21040</v>
      </c>
      <c r="G610">
        <v>52179</v>
      </c>
      <c r="H610">
        <v>1172</v>
      </c>
      <c r="I610">
        <v>117</v>
      </c>
      <c r="J610">
        <v>113</v>
      </c>
      <c r="K610">
        <f t="shared" si="18"/>
        <v>6.663498098859316</v>
      </c>
      <c r="L610">
        <v>303996</v>
      </c>
      <c r="M610">
        <v>532458</v>
      </c>
      <c r="N610">
        <f t="shared" si="19"/>
        <v>75.152962538980773</v>
      </c>
      <c r="O610" s="4">
        <v>45716</v>
      </c>
      <c r="P610" s="4">
        <v>45746</v>
      </c>
      <c r="Q610" t="s">
        <v>25</v>
      </c>
      <c r="R610">
        <f>Table2[[#This Row],[End_Date]]-Table2[[#This Row],[Start_Date]]</f>
        <v>30</v>
      </c>
      <c r="S610" t="str">
        <f>TEXT(Table2[[#This Row],[Start_Date]],"MMM")</f>
        <v>Feb</v>
      </c>
      <c r="T610">
        <f>YEAR(Table2[[#This Row],[Start_Date]])</f>
        <v>2025</v>
      </c>
      <c r="U610">
        <f>Table2[[#This Row],[Campaign_Cost (₹)]]/Table2[[#This Row],[Reach]]</f>
        <v>14.448479087452471</v>
      </c>
      <c r="V610">
        <f>Table2[[#This Row],[Revenue_Generated (₹)]]/Table2[[#This Row],[Reach]]</f>
        <v>25.3069391634981</v>
      </c>
    </row>
    <row r="611" spans="1:22" x14ac:dyDescent="0.3">
      <c r="A611" t="s">
        <v>662</v>
      </c>
      <c r="B611" t="s">
        <v>39</v>
      </c>
      <c r="C611" t="s">
        <v>43</v>
      </c>
      <c r="D611" t="s">
        <v>40</v>
      </c>
      <c r="E611">
        <v>448959</v>
      </c>
      <c r="F611">
        <v>339384</v>
      </c>
      <c r="G611">
        <v>459039</v>
      </c>
      <c r="H611">
        <v>22773</v>
      </c>
      <c r="I611">
        <v>2848</v>
      </c>
      <c r="J611">
        <v>698</v>
      </c>
      <c r="K611">
        <f t="shared" si="18"/>
        <v>7.7549324658793575</v>
      </c>
      <c r="L611">
        <v>137553</v>
      </c>
      <c r="M611">
        <v>178428</v>
      </c>
      <c r="N611">
        <f t="shared" si="19"/>
        <v>29.715818629909922</v>
      </c>
      <c r="O611" s="4">
        <v>45752</v>
      </c>
      <c r="P611" s="4">
        <v>45769</v>
      </c>
      <c r="Q611" t="s">
        <v>30</v>
      </c>
      <c r="R611">
        <f>Table2[[#This Row],[End_Date]]-Table2[[#This Row],[Start_Date]]</f>
        <v>17</v>
      </c>
      <c r="S611" t="str">
        <f>TEXT(Table2[[#This Row],[Start_Date]],"MMM")</f>
        <v>Apr</v>
      </c>
      <c r="T611">
        <f>YEAR(Table2[[#This Row],[Start_Date]])</f>
        <v>2025</v>
      </c>
      <c r="U611">
        <f>Table2[[#This Row],[Campaign_Cost (₹)]]/Table2[[#This Row],[Reach]]</f>
        <v>0.4053019588430804</v>
      </c>
      <c r="V611">
        <f>Table2[[#This Row],[Revenue_Generated (₹)]]/Table2[[#This Row],[Reach]]</f>
        <v>0.52574075383636232</v>
      </c>
    </row>
    <row r="612" spans="1:22" x14ac:dyDescent="0.3">
      <c r="A612" t="s">
        <v>663</v>
      </c>
      <c r="B612" t="s">
        <v>39</v>
      </c>
      <c r="C612" t="s">
        <v>33</v>
      </c>
      <c r="D612" t="s">
        <v>72</v>
      </c>
      <c r="E612">
        <v>1155769</v>
      </c>
      <c r="F612">
        <v>912842</v>
      </c>
      <c r="G612">
        <v>1441390</v>
      </c>
      <c r="H612">
        <v>114078</v>
      </c>
      <c r="I612">
        <v>7718</v>
      </c>
      <c r="J612">
        <v>2399</v>
      </c>
      <c r="K612">
        <f t="shared" si="18"/>
        <v>13.605311762605139</v>
      </c>
      <c r="L612">
        <v>53067</v>
      </c>
      <c r="M612">
        <v>234401</v>
      </c>
      <c r="N612">
        <f t="shared" si="19"/>
        <v>341.70765259012194</v>
      </c>
      <c r="O612" s="4">
        <v>46128</v>
      </c>
      <c r="P612" s="4">
        <v>46140</v>
      </c>
      <c r="Q612" t="s">
        <v>30</v>
      </c>
      <c r="R612">
        <f>Table2[[#This Row],[End_Date]]-Table2[[#This Row],[Start_Date]]</f>
        <v>12</v>
      </c>
      <c r="S612" t="str">
        <f>TEXT(Table2[[#This Row],[Start_Date]],"MMM")</f>
        <v>Apr</v>
      </c>
      <c r="T612">
        <f>YEAR(Table2[[#This Row],[Start_Date]])</f>
        <v>2026</v>
      </c>
      <c r="U612">
        <f>Table2[[#This Row],[Campaign_Cost (₹)]]/Table2[[#This Row],[Reach]]</f>
        <v>5.8133828198089044E-2</v>
      </c>
      <c r="V612">
        <f>Table2[[#This Row],[Revenue_Generated (₹)]]/Table2[[#This Row],[Reach]]</f>
        <v>0.25678156789455348</v>
      </c>
    </row>
    <row r="613" spans="1:22" x14ac:dyDescent="0.3">
      <c r="A613" t="s">
        <v>664</v>
      </c>
      <c r="B613" t="s">
        <v>45</v>
      </c>
      <c r="C613" t="s">
        <v>33</v>
      </c>
      <c r="D613" t="s">
        <v>20</v>
      </c>
      <c r="E613">
        <v>518872</v>
      </c>
      <c r="F613">
        <v>342466</v>
      </c>
      <c r="G613">
        <v>489891</v>
      </c>
      <c r="H613">
        <v>38651</v>
      </c>
      <c r="I613">
        <v>5308</v>
      </c>
      <c r="J613">
        <v>989</v>
      </c>
      <c r="K613">
        <f t="shared" si="18"/>
        <v>13.124806550139285</v>
      </c>
      <c r="L613">
        <v>352728</v>
      </c>
      <c r="M613">
        <v>1163115</v>
      </c>
      <c r="N613">
        <f t="shared" si="19"/>
        <v>229.74841804449886</v>
      </c>
      <c r="O613" s="4">
        <v>45941</v>
      </c>
      <c r="P613" s="4">
        <v>45961</v>
      </c>
      <c r="Q613" t="s">
        <v>78</v>
      </c>
      <c r="R613">
        <f>Table2[[#This Row],[End_Date]]-Table2[[#This Row],[Start_Date]]</f>
        <v>20</v>
      </c>
      <c r="S613" t="str">
        <f>TEXT(Table2[[#This Row],[Start_Date]],"MMM")</f>
        <v>Oct</v>
      </c>
      <c r="T613">
        <f>YEAR(Table2[[#This Row],[Start_Date]])</f>
        <v>2025</v>
      </c>
      <c r="U613">
        <f>Table2[[#This Row],[Campaign_Cost (₹)]]/Table2[[#This Row],[Reach]]</f>
        <v>1.0299650184251867</v>
      </c>
      <c r="V613">
        <f>Table2[[#This Row],[Revenue_Generated (₹)]]/Table2[[#This Row],[Reach]]</f>
        <v>3.3962933546687846</v>
      </c>
    </row>
    <row r="614" spans="1:22" x14ac:dyDescent="0.3">
      <c r="A614" t="s">
        <v>665</v>
      </c>
      <c r="B614" t="s">
        <v>27</v>
      </c>
      <c r="C614" t="s">
        <v>19</v>
      </c>
      <c r="D614" t="s">
        <v>46</v>
      </c>
      <c r="E614">
        <v>376407</v>
      </c>
      <c r="F614">
        <v>268463</v>
      </c>
      <c r="G614">
        <v>480902</v>
      </c>
      <c r="H614">
        <v>32371</v>
      </c>
      <c r="I614">
        <v>4170</v>
      </c>
      <c r="J614">
        <v>2726</v>
      </c>
      <c r="K614">
        <f t="shared" si="18"/>
        <v>14.626596588729173</v>
      </c>
      <c r="L614">
        <v>240154</v>
      </c>
      <c r="M614">
        <v>918607</v>
      </c>
      <c r="N614">
        <f t="shared" si="19"/>
        <v>282.50747437061221</v>
      </c>
      <c r="O614" s="4">
        <v>45685</v>
      </c>
      <c r="P614" s="4">
        <v>45711</v>
      </c>
      <c r="Q614" t="s">
        <v>25</v>
      </c>
      <c r="R614">
        <f>Table2[[#This Row],[End_Date]]-Table2[[#This Row],[Start_Date]]</f>
        <v>26</v>
      </c>
      <c r="S614" t="str">
        <f>TEXT(Table2[[#This Row],[Start_Date]],"MMM")</f>
        <v>Jan</v>
      </c>
      <c r="T614">
        <f>YEAR(Table2[[#This Row],[Start_Date]])</f>
        <v>2025</v>
      </c>
      <c r="U614">
        <f>Table2[[#This Row],[Campaign_Cost (₹)]]/Table2[[#This Row],[Reach]]</f>
        <v>0.894551576939839</v>
      </c>
      <c r="V614">
        <f>Table2[[#This Row],[Revenue_Generated (₹)]]/Table2[[#This Row],[Reach]]</f>
        <v>3.4217266438950618</v>
      </c>
    </row>
    <row r="615" spans="1:22" x14ac:dyDescent="0.3">
      <c r="A615" t="s">
        <v>666</v>
      </c>
      <c r="B615" t="s">
        <v>63</v>
      </c>
      <c r="C615" t="s">
        <v>37</v>
      </c>
      <c r="D615" t="s">
        <v>46</v>
      </c>
      <c r="E615">
        <v>1335473</v>
      </c>
      <c r="F615">
        <v>531309</v>
      </c>
      <c r="G615">
        <v>617889</v>
      </c>
      <c r="H615">
        <v>54881</v>
      </c>
      <c r="I615">
        <v>7457</v>
      </c>
      <c r="J615">
        <v>4241</v>
      </c>
      <c r="K615">
        <f t="shared" si="18"/>
        <v>12.531125954952769</v>
      </c>
      <c r="L615">
        <v>331185</v>
      </c>
      <c r="M615">
        <v>908979</v>
      </c>
      <c r="N615">
        <f t="shared" si="19"/>
        <v>174.46261153131934</v>
      </c>
      <c r="O615" s="4">
        <v>45857</v>
      </c>
      <c r="P615" s="4">
        <v>45875</v>
      </c>
      <c r="Q615" t="s">
        <v>41</v>
      </c>
      <c r="R615">
        <f>Table2[[#This Row],[End_Date]]-Table2[[#This Row],[Start_Date]]</f>
        <v>18</v>
      </c>
      <c r="S615" t="str">
        <f>TEXT(Table2[[#This Row],[Start_Date]],"MMM")</f>
        <v>Jul</v>
      </c>
      <c r="T615">
        <f>YEAR(Table2[[#This Row],[Start_Date]])</f>
        <v>2025</v>
      </c>
      <c r="U615">
        <f>Table2[[#This Row],[Campaign_Cost (₹)]]/Table2[[#This Row],[Reach]]</f>
        <v>0.62333783165728418</v>
      </c>
      <c r="V615">
        <f>Table2[[#This Row],[Revenue_Generated (₹)]]/Table2[[#This Row],[Reach]]</f>
        <v>1.7108292914292813</v>
      </c>
    </row>
    <row r="616" spans="1:22" x14ac:dyDescent="0.3">
      <c r="A616" t="s">
        <v>667</v>
      </c>
      <c r="B616" t="s">
        <v>39</v>
      </c>
      <c r="C616" t="s">
        <v>37</v>
      </c>
      <c r="D616" t="s">
        <v>51</v>
      </c>
      <c r="E616">
        <v>216468</v>
      </c>
      <c r="F616">
        <v>61738</v>
      </c>
      <c r="G616">
        <v>105306</v>
      </c>
      <c r="H616">
        <v>1496</v>
      </c>
      <c r="I616">
        <v>170</v>
      </c>
      <c r="J616">
        <v>97</v>
      </c>
      <c r="K616">
        <f t="shared" si="18"/>
        <v>2.8556156662023389</v>
      </c>
      <c r="L616">
        <v>407079</v>
      </c>
      <c r="M616">
        <v>512702</v>
      </c>
      <c r="N616">
        <f t="shared" si="19"/>
        <v>25.946560741281179</v>
      </c>
      <c r="O616" s="4">
        <v>46043</v>
      </c>
      <c r="P616" s="4">
        <v>46066</v>
      </c>
      <c r="Q616" t="s">
        <v>47</v>
      </c>
      <c r="R616">
        <f>Table2[[#This Row],[End_Date]]-Table2[[#This Row],[Start_Date]]</f>
        <v>23</v>
      </c>
      <c r="S616" t="str">
        <f>TEXT(Table2[[#This Row],[Start_Date]],"MMM")</f>
        <v>Jan</v>
      </c>
      <c r="T616">
        <f>YEAR(Table2[[#This Row],[Start_Date]])</f>
        <v>2026</v>
      </c>
      <c r="U616">
        <f>Table2[[#This Row],[Campaign_Cost (₹)]]/Table2[[#This Row],[Reach]]</f>
        <v>6.5936538274644469</v>
      </c>
      <c r="V616">
        <f>Table2[[#This Row],[Revenue_Generated (₹)]]/Table2[[#This Row],[Reach]]</f>
        <v>8.30448022287732</v>
      </c>
    </row>
    <row r="617" spans="1:22" x14ac:dyDescent="0.3">
      <c r="A617" t="s">
        <v>668</v>
      </c>
      <c r="B617" t="s">
        <v>80</v>
      </c>
      <c r="C617" t="s">
        <v>33</v>
      </c>
      <c r="D617" t="s">
        <v>20</v>
      </c>
      <c r="E617">
        <v>1276850</v>
      </c>
      <c r="F617">
        <v>467358</v>
      </c>
      <c r="G617">
        <v>1004004</v>
      </c>
      <c r="H617">
        <v>47984</v>
      </c>
      <c r="I617">
        <v>3624</v>
      </c>
      <c r="J617">
        <v>4542</v>
      </c>
      <c r="K617">
        <f t="shared" si="18"/>
        <v>12.014344463986923</v>
      </c>
      <c r="L617">
        <v>82605</v>
      </c>
      <c r="M617">
        <v>313673</v>
      </c>
      <c r="N617">
        <f t="shared" si="19"/>
        <v>279.72640881302584</v>
      </c>
      <c r="O617" s="4">
        <v>46117</v>
      </c>
      <c r="P617" s="4">
        <v>46145</v>
      </c>
      <c r="Q617" t="s">
        <v>78</v>
      </c>
      <c r="R617">
        <f>Table2[[#This Row],[End_Date]]-Table2[[#This Row],[Start_Date]]</f>
        <v>28</v>
      </c>
      <c r="S617" t="str">
        <f>TEXT(Table2[[#This Row],[Start_Date]],"MMM")</f>
        <v>Apr</v>
      </c>
      <c r="T617">
        <f>YEAR(Table2[[#This Row],[Start_Date]])</f>
        <v>2026</v>
      </c>
      <c r="U617">
        <f>Table2[[#This Row],[Campaign_Cost (₹)]]/Table2[[#This Row],[Reach]]</f>
        <v>0.17674887345461082</v>
      </c>
      <c r="V617">
        <f>Table2[[#This Row],[Revenue_Generated (₹)]]/Table2[[#This Row],[Reach]]</f>
        <v>0.67116214978667321</v>
      </c>
    </row>
    <row r="618" spans="1:22" x14ac:dyDescent="0.3">
      <c r="A618" t="s">
        <v>669</v>
      </c>
      <c r="B618" t="s">
        <v>23</v>
      </c>
      <c r="C618" t="s">
        <v>28</v>
      </c>
      <c r="D618" t="s">
        <v>72</v>
      </c>
      <c r="E618">
        <v>1425090</v>
      </c>
      <c r="F618">
        <v>477240</v>
      </c>
      <c r="G618">
        <v>1336135</v>
      </c>
      <c r="H618">
        <v>27572</v>
      </c>
      <c r="I618">
        <v>2828</v>
      </c>
      <c r="J618">
        <v>1531</v>
      </c>
      <c r="K618">
        <f t="shared" si="18"/>
        <v>6.6907635571201078</v>
      </c>
      <c r="L618">
        <v>452171</v>
      </c>
      <c r="M618">
        <v>798056</v>
      </c>
      <c r="N618">
        <f t="shared" si="19"/>
        <v>76.494290876681617</v>
      </c>
      <c r="O618" s="4">
        <v>45863</v>
      </c>
      <c r="P618" s="4">
        <v>45879</v>
      </c>
      <c r="Q618" t="s">
        <v>54</v>
      </c>
      <c r="R618">
        <f>Table2[[#This Row],[End_Date]]-Table2[[#This Row],[Start_Date]]</f>
        <v>16</v>
      </c>
      <c r="S618" t="str">
        <f>TEXT(Table2[[#This Row],[Start_Date]],"MMM")</f>
        <v>Jul</v>
      </c>
      <c r="T618">
        <f>YEAR(Table2[[#This Row],[Start_Date]])</f>
        <v>2025</v>
      </c>
      <c r="U618">
        <f>Table2[[#This Row],[Campaign_Cost (₹)]]/Table2[[#This Row],[Reach]]</f>
        <v>0.94747087419327802</v>
      </c>
      <c r="V618">
        <f>Table2[[#This Row],[Revenue_Generated (₹)]]/Table2[[#This Row],[Reach]]</f>
        <v>1.6722320006705222</v>
      </c>
    </row>
    <row r="619" spans="1:22" x14ac:dyDescent="0.3">
      <c r="A619" t="s">
        <v>670</v>
      </c>
      <c r="B619" t="s">
        <v>36</v>
      </c>
      <c r="C619" t="s">
        <v>33</v>
      </c>
      <c r="D619" t="s">
        <v>40</v>
      </c>
      <c r="E619">
        <v>1629652</v>
      </c>
      <c r="F619">
        <v>820100</v>
      </c>
      <c r="G619">
        <v>941471</v>
      </c>
      <c r="H619">
        <v>17866</v>
      </c>
      <c r="I619">
        <v>1898</v>
      </c>
      <c r="J619">
        <v>615</v>
      </c>
      <c r="K619">
        <f t="shared" si="18"/>
        <v>2.4849408608706254</v>
      </c>
      <c r="L619">
        <v>103291</v>
      </c>
      <c r="M619">
        <v>516010</v>
      </c>
      <c r="N619">
        <f t="shared" si="19"/>
        <v>399.56917834080411</v>
      </c>
      <c r="O619" s="4">
        <v>45769</v>
      </c>
      <c r="P619" s="4">
        <v>45777</v>
      </c>
      <c r="Q619" t="s">
        <v>30</v>
      </c>
      <c r="R619">
        <f>Table2[[#This Row],[End_Date]]-Table2[[#This Row],[Start_Date]]</f>
        <v>8</v>
      </c>
      <c r="S619" t="str">
        <f>TEXT(Table2[[#This Row],[Start_Date]],"MMM")</f>
        <v>Apr</v>
      </c>
      <c r="T619">
        <f>YEAR(Table2[[#This Row],[Start_Date]])</f>
        <v>2025</v>
      </c>
      <c r="U619">
        <f>Table2[[#This Row],[Campaign_Cost (₹)]]/Table2[[#This Row],[Reach]]</f>
        <v>0.12594927447872212</v>
      </c>
      <c r="V619">
        <f>Table2[[#This Row],[Revenue_Generated (₹)]]/Table2[[#This Row],[Reach]]</f>
        <v>0.62920375563955611</v>
      </c>
    </row>
    <row r="620" spans="1:22" x14ac:dyDescent="0.3">
      <c r="A620" t="s">
        <v>671</v>
      </c>
      <c r="B620" t="s">
        <v>32</v>
      </c>
      <c r="C620" t="s">
        <v>33</v>
      </c>
      <c r="D620" t="s">
        <v>72</v>
      </c>
      <c r="E620">
        <v>493960</v>
      </c>
      <c r="F620">
        <v>371318</v>
      </c>
      <c r="G620">
        <v>1054636</v>
      </c>
      <c r="H620">
        <v>40130</v>
      </c>
      <c r="I620">
        <v>4657</v>
      </c>
      <c r="J620">
        <v>3036</v>
      </c>
      <c r="K620">
        <f t="shared" si="18"/>
        <v>12.879257132700273</v>
      </c>
      <c r="L620">
        <v>194570</v>
      </c>
      <c r="M620">
        <v>252407</v>
      </c>
      <c r="N620">
        <f t="shared" si="19"/>
        <v>29.725548645731614</v>
      </c>
      <c r="O620" s="4">
        <v>45798</v>
      </c>
      <c r="P620" s="4">
        <v>45819</v>
      </c>
      <c r="Q620" t="s">
        <v>78</v>
      </c>
      <c r="R620">
        <f>Table2[[#This Row],[End_Date]]-Table2[[#This Row],[Start_Date]]</f>
        <v>21</v>
      </c>
      <c r="S620" t="str">
        <f>TEXT(Table2[[#This Row],[Start_Date]],"MMM")</f>
        <v>May</v>
      </c>
      <c r="T620">
        <f>YEAR(Table2[[#This Row],[Start_Date]])</f>
        <v>2025</v>
      </c>
      <c r="U620">
        <f>Table2[[#This Row],[Campaign_Cost (₹)]]/Table2[[#This Row],[Reach]]</f>
        <v>0.52399829795485275</v>
      </c>
      <c r="V620">
        <f>Table2[[#This Row],[Revenue_Generated (₹)]]/Table2[[#This Row],[Reach]]</f>
        <v>0.67975966691622813</v>
      </c>
    </row>
    <row r="621" spans="1:22" x14ac:dyDescent="0.3">
      <c r="A621" t="s">
        <v>672</v>
      </c>
      <c r="B621" t="s">
        <v>80</v>
      </c>
      <c r="C621" t="s">
        <v>19</v>
      </c>
      <c r="D621" t="s">
        <v>40</v>
      </c>
      <c r="E621">
        <v>1850474</v>
      </c>
      <c r="F621">
        <v>1407557</v>
      </c>
      <c r="G621">
        <v>3452867</v>
      </c>
      <c r="H621">
        <v>64709</v>
      </c>
      <c r="I621">
        <v>6140</v>
      </c>
      <c r="J621">
        <v>2631</v>
      </c>
      <c r="K621">
        <f t="shared" si="18"/>
        <v>5.2203924956502643</v>
      </c>
      <c r="L621">
        <v>482844</v>
      </c>
      <c r="M621">
        <v>1297025</v>
      </c>
      <c r="N621">
        <f t="shared" si="19"/>
        <v>168.62195657396592</v>
      </c>
      <c r="O621" s="4">
        <v>46030</v>
      </c>
      <c r="P621" s="4">
        <v>46056</v>
      </c>
      <c r="Q621" t="s">
        <v>34</v>
      </c>
      <c r="R621">
        <f>Table2[[#This Row],[End_Date]]-Table2[[#This Row],[Start_Date]]</f>
        <v>26</v>
      </c>
      <c r="S621" t="str">
        <f>TEXT(Table2[[#This Row],[Start_Date]],"MMM")</f>
        <v>Jan</v>
      </c>
      <c r="T621">
        <f>YEAR(Table2[[#This Row],[Start_Date]])</f>
        <v>2026</v>
      </c>
      <c r="U621">
        <f>Table2[[#This Row],[Campaign_Cost (₹)]]/Table2[[#This Row],[Reach]]</f>
        <v>0.34303690720873115</v>
      </c>
      <c r="V621">
        <f>Table2[[#This Row],[Revenue_Generated (₹)]]/Table2[[#This Row],[Reach]]</f>
        <v>0.92147245191491356</v>
      </c>
    </row>
    <row r="622" spans="1:22" x14ac:dyDescent="0.3">
      <c r="A622" t="s">
        <v>673</v>
      </c>
      <c r="B622" t="s">
        <v>75</v>
      </c>
      <c r="C622" t="s">
        <v>43</v>
      </c>
      <c r="D622" t="s">
        <v>46</v>
      </c>
      <c r="E622">
        <v>405124</v>
      </c>
      <c r="F622">
        <v>202704</v>
      </c>
      <c r="G622">
        <v>590696</v>
      </c>
      <c r="H622">
        <v>18296</v>
      </c>
      <c r="I622">
        <v>1730</v>
      </c>
      <c r="J622">
        <v>1552</v>
      </c>
      <c r="K622">
        <f t="shared" si="18"/>
        <v>10.645078538164023</v>
      </c>
      <c r="L622">
        <v>278804</v>
      </c>
      <c r="M622">
        <v>350345</v>
      </c>
      <c r="N622">
        <f t="shared" si="19"/>
        <v>25.659961836989424</v>
      </c>
      <c r="O622" s="4">
        <v>45677</v>
      </c>
      <c r="P622" s="4">
        <v>45694</v>
      </c>
      <c r="Q622" t="s">
        <v>30</v>
      </c>
      <c r="R622">
        <f>Table2[[#This Row],[End_Date]]-Table2[[#This Row],[Start_Date]]</f>
        <v>17</v>
      </c>
      <c r="S622" t="str">
        <f>TEXT(Table2[[#This Row],[Start_Date]],"MMM")</f>
        <v>Jan</v>
      </c>
      <c r="T622">
        <f>YEAR(Table2[[#This Row],[Start_Date]])</f>
        <v>2025</v>
      </c>
      <c r="U622">
        <f>Table2[[#This Row],[Campaign_Cost (₹)]]/Table2[[#This Row],[Reach]]</f>
        <v>1.3754242639513774</v>
      </c>
      <c r="V622">
        <f>Table2[[#This Row],[Revenue_Generated (₹)]]/Table2[[#This Row],[Reach]]</f>
        <v>1.7283576051779934</v>
      </c>
    </row>
    <row r="623" spans="1:22" x14ac:dyDescent="0.3">
      <c r="A623" t="s">
        <v>674</v>
      </c>
      <c r="B623" t="s">
        <v>49</v>
      </c>
      <c r="C623" t="s">
        <v>33</v>
      </c>
      <c r="D623" t="s">
        <v>46</v>
      </c>
      <c r="E623">
        <v>1957019</v>
      </c>
      <c r="F623">
        <v>771003</v>
      </c>
      <c r="G623">
        <v>2244683</v>
      </c>
      <c r="H623">
        <v>114141</v>
      </c>
      <c r="I623">
        <v>12391</v>
      </c>
      <c r="J623">
        <v>6715</v>
      </c>
      <c r="K623">
        <f t="shared" si="18"/>
        <v>17.282293324409892</v>
      </c>
      <c r="L623">
        <v>182863</v>
      </c>
      <c r="M623">
        <v>891068</v>
      </c>
      <c r="N623">
        <f t="shared" si="19"/>
        <v>387.28720408174422</v>
      </c>
      <c r="O623" s="4">
        <v>45688</v>
      </c>
      <c r="P623" s="4">
        <v>45713</v>
      </c>
      <c r="Q623" t="s">
        <v>30</v>
      </c>
      <c r="R623">
        <f>Table2[[#This Row],[End_Date]]-Table2[[#This Row],[Start_Date]]</f>
        <v>25</v>
      </c>
      <c r="S623" t="str">
        <f>TEXT(Table2[[#This Row],[Start_Date]],"MMM")</f>
        <v>Jan</v>
      </c>
      <c r="T623">
        <f>YEAR(Table2[[#This Row],[Start_Date]])</f>
        <v>2025</v>
      </c>
      <c r="U623">
        <f>Table2[[#This Row],[Campaign_Cost (₹)]]/Table2[[#This Row],[Reach]]</f>
        <v>0.23717547143136927</v>
      </c>
      <c r="V623">
        <f>Table2[[#This Row],[Revenue_Generated (₹)]]/Table2[[#This Row],[Reach]]</f>
        <v>1.1557257235056153</v>
      </c>
    </row>
    <row r="624" spans="1:22" x14ac:dyDescent="0.3">
      <c r="A624" t="s">
        <v>675</v>
      </c>
      <c r="B624" t="s">
        <v>27</v>
      </c>
      <c r="C624" t="s">
        <v>37</v>
      </c>
      <c r="D624" t="s">
        <v>51</v>
      </c>
      <c r="E624">
        <v>56439</v>
      </c>
      <c r="F624">
        <v>14734</v>
      </c>
      <c r="G624">
        <v>25575</v>
      </c>
      <c r="H624">
        <v>978</v>
      </c>
      <c r="I624">
        <v>107</v>
      </c>
      <c r="J624">
        <v>29</v>
      </c>
      <c r="K624">
        <f t="shared" si="18"/>
        <v>7.5607438577439927</v>
      </c>
      <c r="L624">
        <v>287458</v>
      </c>
      <c r="M624">
        <v>1289032</v>
      </c>
      <c r="N624">
        <f t="shared" si="19"/>
        <v>348.42446548713201</v>
      </c>
      <c r="O624" s="4">
        <v>46119</v>
      </c>
      <c r="P624" s="4">
        <v>46146</v>
      </c>
      <c r="Q624" t="s">
        <v>34</v>
      </c>
      <c r="R624">
        <f>Table2[[#This Row],[End_Date]]-Table2[[#This Row],[Start_Date]]</f>
        <v>27</v>
      </c>
      <c r="S624" t="str">
        <f>TEXT(Table2[[#This Row],[Start_Date]],"MMM")</f>
        <v>Apr</v>
      </c>
      <c r="T624">
        <f>YEAR(Table2[[#This Row],[Start_Date]])</f>
        <v>2026</v>
      </c>
      <c r="U624">
        <f>Table2[[#This Row],[Campaign_Cost (₹)]]/Table2[[#This Row],[Reach]]</f>
        <v>19.509841183656849</v>
      </c>
      <c r="V624">
        <f>Table2[[#This Row],[Revenue_Generated (₹)]]/Table2[[#This Row],[Reach]]</f>
        <v>87.486901045201577</v>
      </c>
    </row>
    <row r="625" spans="1:22" x14ac:dyDescent="0.3">
      <c r="A625" t="s">
        <v>676</v>
      </c>
      <c r="B625" t="s">
        <v>61</v>
      </c>
      <c r="C625" t="s">
        <v>37</v>
      </c>
      <c r="D625" t="s">
        <v>51</v>
      </c>
      <c r="E625">
        <v>135068</v>
      </c>
      <c r="F625">
        <v>98316</v>
      </c>
      <c r="G625">
        <v>120147</v>
      </c>
      <c r="H625">
        <v>2498</v>
      </c>
      <c r="I625">
        <v>253</v>
      </c>
      <c r="J625">
        <v>248</v>
      </c>
      <c r="K625">
        <f t="shared" si="18"/>
        <v>3.0503682004963584</v>
      </c>
      <c r="L625">
        <v>488827</v>
      </c>
      <c r="M625">
        <v>1271781</v>
      </c>
      <c r="N625">
        <f t="shared" si="19"/>
        <v>160.16995787875874</v>
      </c>
      <c r="O625" s="4">
        <v>45761</v>
      </c>
      <c r="P625" s="4">
        <v>45773</v>
      </c>
      <c r="Q625" t="s">
        <v>34</v>
      </c>
      <c r="R625">
        <f>Table2[[#This Row],[End_Date]]-Table2[[#This Row],[Start_Date]]</f>
        <v>12</v>
      </c>
      <c r="S625" t="str">
        <f>TEXT(Table2[[#This Row],[Start_Date]],"MMM")</f>
        <v>Apr</v>
      </c>
      <c r="T625">
        <f>YEAR(Table2[[#This Row],[Start_Date]])</f>
        <v>2025</v>
      </c>
      <c r="U625">
        <f>Table2[[#This Row],[Campaign_Cost (₹)]]/Table2[[#This Row],[Reach]]</f>
        <v>4.9719984539647664</v>
      </c>
      <c r="V625">
        <f>Table2[[#This Row],[Revenue_Generated (₹)]]/Table2[[#This Row],[Reach]]</f>
        <v>12.93564628341267</v>
      </c>
    </row>
    <row r="626" spans="1:22" x14ac:dyDescent="0.3">
      <c r="A626" t="s">
        <v>677</v>
      </c>
      <c r="B626" t="s">
        <v>63</v>
      </c>
      <c r="C626" t="s">
        <v>37</v>
      </c>
      <c r="D626" t="s">
        <v>29</v>
      </c>
      <c r="E626">
        <v>591086</v>
      </c>
      <c r="F626">
        <v>522685</v>
      </c>
      <c r="G626">
        <v>1120616</v>
      </c>
      <c r="H626">
        <v>39643</v>
      </c>
      <c r="I626">
        <v>3133</v>
      </c>
      <c r="J626">
        <v>3625</v>
      </c>
      <c r="K626">
        <f t="shared" si="18"/>
        <v>8.877430957460037</v>
      </c>
      <c r="L626">
        <v>189353</v>
      </c>
      <c r="M626">
        <v>856735</v>
      </c>
      <c r="N626">
        <f t="shared" si="19"/>
        <v>352.45388243122636</v>
      </c>
      <c r="O626" s="4">
        <v>46045</v>
      </c>
      <c r="P626" s="4">
        <v>46074</v>
      </c>
      <c r="Q626" t="s">
        <v>47</v>
      </c>
      <c r="R626">
        <f>Table2[[#This Row],[End_Date]]-Table2[[#This Row],[Start_Date]]</f>
        <v>29</v>
      </c>
      <c r="S626" t="str">
        <f>TEXT(Table2[[#This Row],[Start_Date]],"MMM")</f>
        <v>Jan</v>
      </c>
      <c r="T626">
        <f>YEAR(Table2[[#This Row],[Start_Date]])</f>
        <v>2026</v>
      </c>
      <c r="U626">
        <f>Table2[[#This Row],[Campaign_Cost (₹)]]/Table2[[#This Row],[Reach]]</f>
        <v>0.36226981834183114</v>
      </c>
      <c r="V626">
        <f>Table2[[#This Row],[Revenue_Generated (₹)]]/Table2[[#This Row],[Reach]]</f>
        <v>1.6391038579641657</v>
      </c>
    </row>
    <row r="627" spans="1:22" x14ac:dyDescent="0.3">
      <c r="A627" t="s">
        <v>678</v>
      </c>
      <c r="B627" t="s">
        <v>36</v>
      </c>
      <c r="C627" t="s">
        <v>19</v>
      </c>
      <c r="D627" t="s">
        <v>40</v>
      </c>
      <c r="E627">
        <v>207454</v>
      </c>
      <c r="F627">
        <v>128523</v>
      </c>
      <c r="G627">
        <v>335305</v>
      </c>
      <c r="H627">
        <v>3849</v>
      </c>
      <c r="I627">
        <v>545</v>
      </c>
      <c r="J627">
        <v>195</v>
      </c>
      <c r="K627">
        <f t="shared" si="18"/>
        <v>3.5705671358433904</v>
      </c>
      <c r="L627">
        <v>463126</v>
      </c>
      <c r="M627">
        <v>1332620</v>
      </c>
      <c r="N627">
        <f t="shared" si="19"/>
        <v>187.74458786593712</v>
      </c>
      <c r="O627" s="4">
        <v>46019</v>
      </c>
      <c r="P627" s="4">
        <v>46035</v>
      </c>
      <c r="Q627" t="s">
        <v>25</v>
      </c>
      <c r="R627">
        <f>Table2[[#This Row],[End_Date]]-Table2[[#This Row],[Start_Date]]</f>
        <v>16</v>
      </c>
      <c r="S627" t="str">
        <f>TEXT(Table2[[#This Row],[Start_Date]],"MMM")</f>
        <v>Dec</v>
      </c>
      <c r="T627">
        <f>YEAR(Table2[[#This Row],[Start_Date]])</f>
        <v>2025</v>
      </c>
      <c r="U627">
        <f>Table2[[#This Row],[Campaign_Cost (₹)]]/Table2[[#This Row],[Reach]]</f>
        <v>3.6034484100122155</v>
      </c>
      <c r="V627">
        <f>Table2[[#This Row],[Revenue_Generated (₹)]]/Table2[[#This Row],[Reach]]</f>
        <v>10.368727776351314</v>
      </c>
    </row>
    <row r="628" spans="1:22" x14ac:dyDescent="0.3">
      <c r="A628" t="s">
        <v>679</v>
      </c>
      <c r="B628" t="s">
        <v>18</v>
      </c>
      <c r="C628" t="s">
        <v>33</v>
      </c>
      <c r="D628" t="s">
        <v>58</v>
      </c>
      <c r="E628">
        <v>1424147</v>
      </c>
      <c r="F628">
        <v>361879</v>
      </c>
      <c r="G628">
        <v>767389</v>
      </c>
      <c r="H628">
        <v>12123</v>
      </c>
      <c r="I628">
        <v>1404</v>
      </c>
      <c r="J628">
        <v>753</v>
      </c>
      <c r="K628">
        <f t="shared" si="18"/>
        <v>3.9460703715882937</v>
      </c>
      <c r="L628">
        <v>179968</v>
      </c>
      <c r="M628">
        <v>429161</v>
      </c>
      <c r="N628">
        <f t="shared" si="19"/>
        <v>138.46517158605977</v>
      </c>
      <c r="O628" s="4">
        <v>46157</v>
      </c>
      <c r="P628" s="4">
        <v>46172</v>
      </c>
      <c r="Q628" t="s">
        <v>21</v>
      </c>
      <c r="R628">
        <f>Table2[[#This Row],[End_Date]]-Table2[[#This Row],[Start_Date]]</f>
        <v>15</v>
      </c>
      <c r="S628" t="str">
        <f>TEXT(Table2[[#This Row],[Start_Date]],"MMM")</f>
        <v>May</v>
      </c>
      <c r="T628">
        <f>YEAR(Table2[[#This Row],[Start_Date]])</f>
        <v>2026</v>
      </c>
      <c r="U628">
        <f>Table2[[#This Row],[Campaign_Cost (₹)]]/Table2[[#This Row],[Reach]]</f>
        <v>0.49731540100420307</v>
      </c>
      <c r="V628">
        <f>Table2[[#This Row],[Revenue_Generated (₹)]]/Table2[[#This Row],[Reach]]</f>
        <v>1.185924024328574</v>
      </c>
    </row>
    <row r="629" spans="1:22" x14ac:dyDescent="0.3">
      <c r="A629" t="s">
        <v>680</v>
      </c>
      <c r="B629" t="s">
        <v>18</v>
      </c>
      <c r="C629" t="s">
        <v>28</v>
      </c>
      <c r="D629" t="s">
        <v>40</v>
      </c>
      <c r="E629">
        <v>602047</v>
      </c>
      <c r="F629">
        <v>225837</v>
      </c>
      <c r="G629">
        <v>665712</v>
      </c>
      <c r="H629">
        <v>8132</v>
      </c>
      <c r="I629">
        <v>286</v>
      </c>
      <c r="J629">
        <v>350</v>
      </c>
      <c r="K629">
        <f t="shared" si="18"/>
        <v>3.8824461890655653</v>
      </c>
      <c r="L629">
        <v>427403</v>
      </c>
      <c r="M629">
        <v>1189262</v>
      </c>
      <c r="N629">
        <f t="shared" si="19"/>
        <v>178.25307730642976</v>
      </c>
      <c r="O629" s="4">
        <v>45793</v>
      </c>
      <c r="P629" s="4">
        <v>45814</v>
      </c>
      <c r="Q629" t="s">
        <v>41</v>
      </c>
      <c r="R629">
        <f>Table2[[#This Row],[End_Date]]-Table2[[#This Row],[Start_Date]]</f>
        <v>21</v>
      </c>
      <c r="S629" t="str">
        <f>TEXT(Table2[[#This Row],[Start_Date]],"MMM")</f>
        <v>May</v>
      </c>
      <c r="T629">
        <f>YEAR(Table2[[#This Row],[Start_Date]])</f>
        <v>2025</v>
      </c>
      <c r="U629">
        <f>Table2[[#This Row],[Campaign_Cost (₹)]]/Table2[[#This Row],[Reach]]</f>
        <v>1.8925286821911378</v>
      </c>
      <c r="V629">
        <f>Table2[[#This Row],[Revenue_Generated (₹)]]/Table2[[#This Row],[Reach]]</f>
        <v>5.2660192971036635</v>
      </c>
    </row>
    <row r="630" spans="1:22" x14ac:dyDescent="0.3">
      <c r="A630" t="s">
        <v>681</v>
      </c>
      <c r="B630" t="s">
        <v>80</v>
      </c>
      <c r="C630" t="s">
        <v>37</v>
      </c>
      <c r="D630" t="s">
        <v>40</v>
      </c>
      <c r="E630">
        <v>1678131</v>
      </c>
      <c r="F630">
        <v>825927</v>
      </c>
      <c r="G630">
        <v>1208748</v>
      </c>
      <c r="H630">
        <v>36527</v>
      </c>
      <c r="I630">
        <v>5191</v>
      </c>
      <c r="J630">
        <v>1218</v>
      </c>
      <c r="K630">
        <f t="shared" si="18"/>
        <v>5.1985223875717832</v>
      </c>
      <c r="L630">
        <v>433298</v>
      </c>
      <c r="M630">
        <v>1554721</v>
      </c>
      <c r="N630">
        <f t="shared" si="19"/>
        <v>258.81102612982289</v>
      </c>
      <c r="O630" s="4">
        <v>45933</v>
      </c>
      <c r="P630" s="4">
        <v>45955</v>
      </c>
      <c r="Q630" t="s">
        <v>34</v>
      </c>
      <c r="R630">
        <f>Table2[[#This Row],[End_Date]]-Table2[[#This Row],[Start_Date]]</f>
        <v>22</v>
      </c>
      <c r="S630" t="str">
        <f>TEXT(Table2[[#This Row],[Start_Date]],"MMM")</f>
        <v>Oct</v>
      </c>
      <c r="T630">
        <f>YEAR(Table2[[#This Row],[Start_Date]])</f>
        <v>2025</v>
      </c>
      <c r="U630">
        <f>Table2[[#This Row],[Campaign_Cost (₹)]]/Table2[[#This Row],[Reach]]</f>
        <v>0.52462021461945185</v>
      </c>
      <c r="V630">
        <f>Table2[[#This Row],[Revenue_Generated (₹)]]/Table2[[#This Row],[Reach]]</f>
        <v>1.8823951753605344</v>
      </c>
    </row>
    <row r="631" spans="1:22" x14ac:dyDescent="0.3">
      <c r="A631" t="s">
        <v>682</v>
      </c>
      <c r="B631" t="s">
        <v>18</v>
      </c>
      <c r="C631" t="s">
        <v>19</v>
      </c>
      <c r="D631" t="s">
        <v>72</v>
      </c>
      <c r="E631">
        <v>1157105</v>
      </c>
      <c r="F631">
        <v>661554</v>
      </c>
      <c r="G631">
        <v>1104861</v>
      </c>
      <c r="H631">
        <v>98758</v>
      </c>
      <c r="I631">
        <v>6629</v>
      </c>
      <c r="J631">
        <v>6519</v>
      </c>
      <c r="K631">
        <f t="shared" si="18"/>
        <v>16.915625935297797</v>
      </c>
      <c r="L631">
        <v>262692</v>
      </c>
      <c r="M631">
        <v>328270</v>
      </c>
      <c r="N631">
        <f t="shared" si="19"/>
        <v>24.963835975210515</v>
      </c>
      <c r="O631" s="4">
        <v>45769</v>
      </c>
      <c r="P631" s="4">
        <v>45785</v>
      </c>
      <c r="Q631" t="s">
        <v>54</v>
      </c>
      <c r="R631">
        <f>Table2[[#This Row],[End_Date]]-Table2[[#This Row],[Start_Date]]</f>
        <v>16</v>
      </c>
      <c r="S631" t="str">
        <f>TEXT(Table2[[#This Row],[Start_Date]],"MMM")</f>
        <v>Apr</v>
      </c>
      <c r="T631">
        <f>YEAR(Table2[[#This Row],[Start_Date]])</f>
        <v>2025</v>
      </c>
      <c r="U631">
        <f>Table2[[#This Row],[Campaign_Cost (₹)]]/Table2[[#This Row],[Reach]]</f>
        <v>0.39708323130084616</v>
      </c>
      <c r="V631">
        <f>Table2[[#This Row],[Revenue_Generated (₹)]]/Table2[[#This Row],[Reach]]</f>
        <v>0.49621043784785518</v>
      </c>
    </row>
    <row r="632" spans="1:22" x14ac:dyDescent="0.3">
      <c r="A632" t="s">
        <v>683</v>
      </c>
      <c r="B632" t="s">
        <v>18</v>
      </c>
      <c r="C632" t="s">
        <v>37</v>
      </c>
      <c r="D632" t="s">
        <v>24</v>
      </c>
      <c r="E632">
        <v>1087545</v>
      </c>
      <c r="F632">
        <v>879298</v>
      </c>
      <c r="G632">
        <v>2096088</v>
      </c>
      <c r="H632">
        <v>36924</v>
      </c>
      <c r="I632">
        <v>2348</v>
      </c>
      <c r="J632">
        <v>1653</v>
      </c>
      <c r="K632">
        <f t="shared" si="18"/>
        <v>4.654281028729736</v>
      </c>
      <c r="L632">
        <v>302409</v>
      </c>
      <c r="M632">
        <v>1217398</v>
      </c>
      <c r="N632">
        <f t="shared" si="19"/>
        <v>302.56672255124681</v>
      </c>
      <c r="O632" s="4">
        <v>45680</v>
      </c>
      <c r="P632" s="4">
        <v>45691</v>
      </c>
      <c r="Q632" t="s">
        <v>34</v>
      </c>
      <c r="R632">
        <f>Table2[[#This Row],[End_Date]]-Table2[[#This Row],[Start_Date]]</f>
        <v>11</v>
      </c>
      <c r="S632" t="str">
        <f>TEXT(Table2[[#This Row],[Start_Date]],"MMM")</f>
        <v>Jan</v>
      </c>
      <c r="T632">
        <f>YEAR(Table2[[#This Row],[Start_Date]])</f>
        <v>2025</v>
      </c>
      <c r="U632">
        <f>Table2[[#This Row],[Campaign_Cost (₹)]]/Table2[[#This Row],[Reach]]</f>
        <v>0.34392094602739914</v>
      </c>
      <c r="V632">
        <f>Table2[[#This Row],[Revenue_Generated (₹)]]/Table2[[#This Row],[Reach]]</f>
        <v>1.3845112805897433</v>
      </c>
    </row>
    <row r="633" spans="1:22" x14ac:dyDescent="0.3">
      <c r="A633" t="s">
        <v>684</v>
      </c>
      <c r="B633" t="s">
        <v>27</v>
      </c>
      <c r="C633" t="s">
        <v>43</v>
      </c>
      <c r="D633" t="s">
        <v>20</v>
      </c>
      <c r="E633">
        <v>78005</v>
      </c>
      <c r="F633">
        <v>67604</v>
      </c>
      <c r="G633">
        <v>101132</v>
      </c>
      <c r="H633">
        <v>6237</v>
      </c>
      <c r="I633">
        <v>401</v>
      </c>
      <c r="J633">
        <v>152</v>
      </c>
      <c r="K633">
        <f t="shared" si="18"/>
        <v>10.043784391456127</v>
      </c>
      <c r="L633">
        <v>397583</v>
      </c>
      <c r="M633">
        <v>1925551</v>
      </c>
      <c r="N633">
        <f t="shared" si="19"/>
        <v>384.31421866629108</v>
      </c>
      <c r="O633" s="4">
        <v>45770</v>
      </c>
      <c r="P633" s="4">
        <v>45780</v>
      </c>
      <c r="Q633" t="s">
        <v>30</v>
      </c>
      <c r="R633">
        <f>Table2[[#This Row],[End_Date]]-Table2[[#This Row],[Start_Date]]</f>
        <v>10</v>
      </c>
      <c r="S633" t="str">
        <f>TEXT(Table2[[#This Row],[Start_Date]],"MMM")</f>
        <v>Apr</v>
      </c>
      <c r="T633">
        <f>YEAR(Table2[[#This Row],[Start_Date]])</f>
        <v>2025</v>
      </c>
      <c r="U633">
        <f>Table2[[#This Row],[Campaign_Cost (₹)]]/Table2[[#This Row],[Reach]]</f>
        <v>5.8810573338855692</v>
      </c>
      <c r="V633">
        <f>Table2[[#This Row],[Revenue_Generated (₹)]]/Table2[[#This Row],[Reach]]</f>
        <v>28.482796875924503</v>
      </c>
    </row>
    <row r="634" spans="1:22" x14ac:dyDescent="0.3">
      <c r="A634" t="s">
        <v>685</v>
      </c>
      <c r="B634" t="s">
        <v>45</v>
      </c>
      <c r="C634" t="s">
        <v>19</v>
      </c>
      <c r="D634" t="s">
        <v>46</v>
      </c>
      <c r="E634">
        <v>1709614</v>
      </c>
      <c r="F634">
        <v>1526675</v>
      </c>
      <c r="G634">
        <v>3698099</v>
      </c>
      <c r="H634">
        <v>35856</v>
      </c>
      <c r="I634">
        <v>2377</v>
      </c>
      <c r="J634">
        <v>2499</v>
      </c>
      <c r="K634">
        <f t="shared" si="18"/>
        <v>2.6680203710678434</v>
      </c>
      <c r="L634">
        <v>393678</v>
      </c>
      <c r="M634">
        <v>1939028</v>
      </c>
      <c r="N634">
        <f t="shared" si="19"/>
        <v>392.54162030898351</v>
      </c>
      <c r="O634" s="4">
        <v>45891</v>
      </c>
      <c r="P634" s="4">
        <v>45913</v>
      </c>
      <c r="Q634" t="s">
        <v>21</v>
      </c>
      <c r="R634">
        <f>Table2[[#This Row],[End_Date]]-Table2[[#This Row],[Start_Date]]</f>
        <v>22</v>
      </c>
      <c r="S634" t="str">
        <f>TEXT(Table2[[#This Row],[Start_Date]],"MMM")</f>
        <v>Aug</v>
      </c>
      <c r="T634">
        <f>YEAR(Table2[[#This Row],[Start_Date]])</f>
        <v>2025</v>
      </c>
      <c r="U634">
        <f>Table2[[#This Row],[Campaign_Cost (₹)]]/Table2[[#This Row],[Reach]]</f>
        <v>0.2578662780224999</v>
      </c>
      <c r="V634">
        <f>Table2[[#This Row],[Revenue_Generated (₹)]]/Table2[[#This Row],[Reach]]</f>
        <v>1.2700987440024891</v>
      </c>
    </row>
    <row r="635" spans="1:22" x14ac:dyDescent="0.3">
      <c r="A635" t="s">
        <v>686</v>
      </c>
      <c r="B635" t="s">
        <v>23</v>
      </c>
      <c r="C635" t="s">
        <v>43</v>
      </c>
      <c r="D635" t="s">
        <v>46</v>
      </c>
      <c r="E635">
        <v>805906</v>
      </c>
      <c r="F635">
        <v>701369</v>
      </c>
      <c r="G635">
        <v>986354</v>
      </c>
      <c r="H635">
        <v>96299</v>
      </c>
      <c r="I635">
        <v>12467</v>
      </c>
      <c r="J635">
        <v>3739</v>
      </c>
      <c r="K635">
        <f t="shared" si="18"/>
        <v>16.040771690793289</v>
      </c>
      <c r="L635">
        <v>283380</v>
      </c>
      <c r="M635">
        <v>582733</v>
      </c>
      <c r="N635">
        <f t="shared" si="19"/>
        <v>105.63660103041852</v>
      </c>
      <c r="O635" s="4">
        <v>46134</v>
      </c>
      <c r="P635" s="4">
        <v>46157</v>
      </c>
      <c r="Q635" t="s">
        <v>21</v>
      </c>
      <c r="R635">
        <f>Table2[[#This Row],[End_Date]]-Table2[[#This Row],[Start_Date]]</f>
        <v>23</v>
      </c>
      <c r="S635" t="str">
        <f>TEXT(Table2[[#This Row],[Start_Date]],"MMM")</f>
        <v>Apr</v>
      </c>
      <c r="T635">
        <f>YEAR(Table2[[#This Row],[Start_Date]])</f>
        <v>2026</v>
      </c>
      <c r="U635">
        <f>Table2[[#This Row],[Campaign_Cost (₹)]]/Table2[[#This Row],[Reach]]</f>
        <v>0.40403838778160994</v>
      </c>
      <c r="V635">
        <f>Table2[[#This Row],[Revenue_Generated (₹)]]/Table2[[#This Row],[Reach]]</f>
        <v>0.83085080749220452</v>
      </c>
    </row>
    <row r="636" spans="1:22" x14ac:dyDescent="0.3">
      <c r="A636" t="s">
        <v>687</v>
      </c>
      <c r="B636" t="s">
        <v>23</v>
      </c>
      <c r="C636" t="s">
        <v>43</v>
      </c>
      <c r="D636" t="s">
        <v>51</v>
      </c>
      <c r="E636">
        <v>1281570</v>
      </c>
      <c r="F636">
        <v>995930</v>
      </c>
      <c r="G636">
        <v>2732046</v>
      </c>
      <c r="H636">
        <v>57828</v>
      </c>
      <c r="I636">
        <v>2029</v>
      </c>
      <c r="J636">
        <v>3740</v>
      </c>
      <c r="K636">
        <f t="shared" si="18"/>
        <v>6.3856897573122611</v>
      </c>
      <c r="L636">
        <v>442701</v>
      </c>
      <c r="M636">
        <v>1571976</v>
      </c>
      <c r="N636">
        <f t="shared" si="19"/>
        <v>255.08751956738297</v>
      </c>
      <c r="O636" s="4">
        <v>45917</v>
      </c>
      <c r="P636" s="4">
        <v>45925</v>
      </c>
      <c r="Q636" t="s">
        <v>54</v>
      </c>
      <c r="R636">
        <f>Table2[[#This Row],[End_Date]]-Table2[[#This Row],[Start_Date]]</f>
        <v>8</v>
      </c>
      <c r="S636" t="str">
        <f>TEXT(Table2[[#This Row],[Start_Date]],"MMM")</f>
        <v>Sep</v>
      </c>
      <c r="T636">
        <f>YEAR(Table2[[#This Row],[Start_Date]])</f>
        <v>2025</v>
      </c>
      <c r="U636">
        <f>Table2[[#This Row],[Campaign_Cost (₹)]]/Table2[[#This Row],[Reach]]</f>
        <v>0.44451015633628871</v>
      </c>
      <c r="V636">
        <f>Table2[[#This Row],[Revenue_Generated (₹)]]/Table2[[#This Row],[Reach]]</f>
        <v>1.5784000883596236</v>
      </c>
    </row>
    <row r="637" spans="1:22" x14ac:dyDescent="0.3">
      <c r="A637" t="s">
        <v>688</v>
      </c>
      <c r="B637" t="s">
        <v>39</v>
      </c>
      <c r="C637" t="s">
        <v>19</v>
      </c>
      <c r="D637" t="s">
        <v>58</v>
      </c>
      <c r="E637">
        <v>139496</v>
      </c>
      <c r="F637">
        <v>81256</v>
      </c>
      <c r="G637">
        <v>210821</v>
      </c>
      <c r="H637">
        <v>11609</v>
      </c>
      <c r="I637">
        <v>901</v>
      </c>
      <c r="J637">
        <v>310</v>
      </c>
      <c r="K637">
        <f t="shared" si="18"/>
        <v>15.777296445800925</v>
      </c>
      <c r="L637">
        <v>66150</v>
      </c>
      <c r="M637">
        <v>123860</v>
      </c>
      <c r="N637">
        <f t="shared" si="19"/>
        <v>87.241118669690096</v>
      </c>
      <c r="O637" s="4">
        <v>45687</v>
      </c>
      <c r="P637" s="4">
        <v>45712</v>
      </c>
      <c r="Q637" t="s">
        <v>78</v>
      </c>
      <c r="R637">
        <f>Table2[[#This Row],[End_Date]]-Table2[[#This Row],[Start_Date]]</f>
        <v>25</v>
      </c>
      <c r="S637" t="str">
        <f>TEXT(Table2[[#This Row],[Start_Date]],"MMM")</f>
        <v>Jan</v>
      </c>
      <c r="T637">
        <f>YEAR(Table2[[#This Row],[Start_Date]])</f>
        <v>2025</v>
      </c>
      <c r="U637">
        <f>Table2[[#This Row],[Campaign_Cost (₹)]]/Table2[[#This Row],[Reach]]</f>
        <v>0.81409372846312889</v>
      </c>
      <c r="V637">
        <f>Table2[[#This Row],[Revenue_Generated (₹)]]/Table2[[#This Row],[Reach]]</f>
        <v>1.5243182041941519</v>
      </c>
    </row>
    <row r="638" spans="1:22" x14ac:dyDescent="0.3">
      <c r="A638" t="s">
        <v>689</v>
      </c>
      <c r="B638" t="s">
        <v>27</v>
      </c>
      <c r="C638" t="s">
        <v>43</v>
      </c>
      <c r="D638" t="s">
        <v>46</v>
      </c>
      <c r="E638">
        <v>514313</v>
      </c>
      <c r="F638">
        <v>251444</v>
      </c>
      <c r="G638">
        <v>369133</v>
      </c>
      <c r="H638">
        <v>24230</v>
      </c>
      <c r="I638">
        <v>1098</v>
      </c>
      <c r="J638">
        <v>1638</v>
      </c>
      <c r="K638">
        <f t="shared" si="18"/>
        <v>10.724455544773388</v>
      </c>
      <c r="L638">
        <v>91283</v>
      </c>
      <c r="M638">
        <v>275369</v>
      </c>
      <c r="N638">
        <f t="shared" si="19"/>
        <v>201.66515123297876</v>
      </c>
      <c r="O638" s="4">
        <v>46059</v>
      </c>
      <c r="P638" s="4">
        <v>46080</v>
      </c>
      <c r="Q638" t="s">
        <v>30</v>
      </c>
      <c r="R638">
        <f>Table2[[#This Row],[End_Date]]-Table2[[#This Row],[Start_Date]]</f>
        <v>21</v>
      </c>
      <c r="S638" t="str">
        <f>TEXT(Table2[[#This Row],[Start_Date]],"MMM")</f>
        <v>Feb</v>
      </c>
      <c r="T638">
        <f>YEAR(Table2[[#This Row],[Start_Date]])</f>
        <v>2026</v>
      </c>
      <c r="U638">
        <f>Table2[[#This Row],[Campaign_Cost (₹)]]/Table2[[#This Row],[Reach]]</f>
        <v>0.36303510920920762</v>
      </c>
      <c r="V638">
        <f>Table2[[#This Row],[Revenue_Generated (₹)]]/Table2[[#This Row],[Reach]]</f>
        <v>1.0951504112247659</v>
      </c>
    </row>
    <row r="639" spans="1:22" x14ac:dyDescent="0.3">
      <c r="A639" t="s">
        <v>690</v>
      </c>
      <c r="B639" t="s">
        <v>32</v>
      </c>
      <c r="C639" t="s">
        <v>28</v>
      </c>
      <c r="D639" t="s">
        <v>40</v>
      </c>
      <c r="E639">
        <v>1119519</v>
      </c>
      <c r="F639">
        <v>939956</v>
      </c>
      <c r="G639">
        <v>1301915</v>
      </c>
      <c r="H639">
        <v>62306</v>
      </c>
      <c r="I639">
        <v>8957</v>
      </c>
      <c r="J639">
        <v>4572</v>
      </c>
      <c r="K639">
        <f t="shared" si="18"/>
        <v>8.0679308393158831</v>
      </c>
      <c r="L639">
        <v>179220</v>
      </c>
      <c r="M639">
        <v>421477</v>
      </c>
      <c r="N639">
        <f t="shared" si="19"/>
        <v>135.1729717665439</v>
      </c>
      <c r="O639" s="4">
        <v>46110</v>
      </c>
      <c r="P639" s="4">
        <v>46135</v>
      </c>
      <c r="Q639" t="s">
        <v>34</v>
      </c>
      <c r="R639">
        <f>Table2[[#This Row],[End_Date]]-Table2[[#This Row],[Start_Date]]</f>
        <v>25</v>
      </c>
      <c r="S639" t="str">
        <f>TEXT(Table2[[#This Row],[Start_Date]],"MMM")</f>
        <v>Mar</v>
      </c>
      <c r="T639">
        <f>YEAR(Table2[[#This Row],[Start_Date]])</f>
        <v>2026</v>
      </c>
      <c r="U639">
        <f>Table2[[#This Row],[Campaign_Cost (₹)]]/Table2[[#This Row],[Reach]]</f>
        <v>0.19066849937656657</v>
      </c>
      <c r="V639">
        <f>Table2[[#This Row],[Revenue_Generated (₹)]]/Table2[[#This Row],[Reach]]</f>
        <v>0.44840077620654584</v>
      </c>
    </row>
    <row r="640" spans="1:22" x14ac:dyDescent="0.3">
      <c r="A640" t="s">
        <v>691</v>
      </c>
      <c r="B640" t="s">
        <v>61</v>
      </c>
      <c r="C640" t="s">
        <v>33</v>
      </c>
      <c r="D640" t="s">
        <v>29</v>
      </c>
      <c r="E640">
        <v>782195</v>
      </c>
      <c r="F640">
        <v>248302</v>
      </c>
      <c r="G640">
        <v>666178</v>
      </c>
      <c r="H640">
        <v>29951</v>
      </c>
      <c r="I640">
        <v>3807</v>
      </c>
      <c r="J640">
        <v>1049</v>
      </c>
      <c r="K640">
        <f t="shared" si="18"/>
        <v>14.01801032613511</v>
      </c>
      <c r="L640">
        <v>262189</v>
      </c>
      <c r="M640">
        <v>589627</v>
      </c>
      <c r="N640">
        <f t="shared" si="19"/>
        <v>124.8862461811899</v>
      </c>
      <c r="O640" s="4">
        <v>45955</v>
      </c>
      <c r="P640" s="4">
        <v>45981</v>
      </c>
      <c r="Q640" t="s">
        <v>30</v>
      </c>
      <c r="R640">
        <f>Table2[[#This Row],[End_Date]]-Table2[[#This Row],[Start_Date]]</f>
        <v>26</v>
      </c>
      <c r="S640" t="str">
        <f>TEXT(Table2[[#This Row],[Start_Date]],"MMM")</f>
        <v>Oct</v>
      </c>
      <c r="T640">
        <f>YEAR(Table2[[#This Row],[Start_Date]])</f>
        <v>2025</v>
      </c>
      <c r="U640">
        <f>Table2[[#This Row],[Campaign_Cost (₹)]]/Table2[[#This Row],[Reach]]</f>
        <v>1.0559278620389687</v>
      </c>
      <c r="V640">
        <f>Table2[[#This Row],[Revenue_Generated (₹)]]/Table2[[#This Row],[Reach]]</f>
        <v>2.3746365313207303</v>
      </c>
    </row>
    <row r="641" spans="1:22" x14ac:dyDescent="0.3">
      <c r="A641" t="s">
        <v>692</v>
      </c>
      <c r="B641" t="s">
        <v>18</v>
      </c>
      <c r="C641" t="s">
        <v>43</v>
      </c>
      <c r="D641" t="s">
        <v>40</v>
      </c>
      <c r="E641">
        <v>1049631</v>
      </c>
      <c r="F641">
        <v>915168</v>
      </c>
      <c r="G641">
        <v>1085755</v>
      </c>
      <c r="H641">
        <v>112634</v>
      </c>
      <c r="I641">
        <v>10412</v>
      </c>
      <c r="J641">
        <v>11134</v>
      </c>
      <c r="K641">
        <f t="shared" si="18"/>
        <v>14.661788873736844</v>
      </c>
      <c r="L641">
        <v>415001</v>
      </c>
      <c r="M641">
        <v>1119271</v>
      </c>
      <c r="N641">
        <f t="shared" si="19"/>
        <v>169.70320553444449</v>
      </c>
      <c r="O641" s="4">
        <v>45859</v>
      </c>
      <c r="P641" s="4">
        <v>45873</v>
      </c>
      <c r="Q641" t="s">
        <v>47</v>
      </c>
      <c r="R641">
        <f>Table2[[#This Row],[End_Date]]-Table2[[#This Row],[Start_Date]]</f>
        <v>14</v>
      </c>
      <c r="S641" t="str">
        <f>TEXT(Table2[[#This Row],[Start_Date]],"MMM")</f>
        <v>Jul</v>
      </c>
      <c r="T641">
        <f>YEAR(Table2[[#This Row],[Start_Date]])</f>
        <v>2025</v>
      </c>
      <c r="U641">
        <f>Table2[[#This Row],[Campaign_Cost (₹)]]/Table2[[#This Row],[Reach]]</f>
        <v>0.45346974544564495</v>
      </c>
      <c r="V641">
        <f>Table2[[#This Row],[Revenue_Generated (₹)]]/Table2[[#This Row],[Reach]]</f>
        <v>1.22302243959579</v>
      </c>
    </row>
    <row r="642" spans="1:22" x14ac:dyDescent="0.3">
      <c r="A642" t="s">
        <v>693</v>
      </c>
      <c r="B642" t="s">
        <v>63</v>
      </c>
      <c r="C642" t="s">
        <v>37</v>
      </c>
      <c r="D642" t="s">
        <v>29</v>
      </c>
      <c r="E642">
        <v>1971439</v>
      </c>
      <c r="F642">
        <v>1479031</v>
      </c>
      <c r="G642">
        <v>2107828</v>
      </c>
      <c r="H642">
        <v>197201</v>
      </c>
      <c r="I642">
        <v>27486</v>
      </c>
      <c r="J642">
        <v>10449</v>
      </c>
      <c r="K642">
        <f t="shared" ref="K642:K705" si="20">((H642+I642+J642)/F642)*100</f>
        <v>15.897976445388906</v>
      </c>
      <c r="L642">
        <v>28456</v>
      </c>
      <c r="M642">
        <v>121499</v>
      </c>
      <c r="N642">
        <f t="shared" ref="N642:N705" si="21">((M642-L642)/L642)*100</f>
        <v>326.97146471745856</v>
      </c>
      <c r="O642" s="4">
        <v>45683</v>
      </c>
      <c r="P642" s="4">
        <v>45707</v>
      </c>
      <c r="Q642" t="s">
        <v>47</v>
      </c>
      <c r="R642">
        <f>Table2[[#This Row],[End_Date]]-Table2[[#This Row],[Start_Date]]</f>
        <v>24</v>
      </c>
      <c r="S642" t="str">
        <f>TEXT(Table2[[#This Row],[Start_Date]],"MMM")</f>
        <v>Jan</v>
      </c>
      <c r="T642">
        <f>YEAR(Table2[[#This Row],[Start_Date]])</f>
        <v>2025</v>
      </c>
      <c r="U642">
        <f>Table2[[#This Row],[Campaign_Cost (₹)]]/Table2[[#This Row],[Reach]]</f>
        <v>1.9239623780705071E-2</v>
      </c>
      <c r="V642">
        <f>Table2[[#This Row],[Revenue_Generated (₹)]]/Table2[[#This Row],[Reach]]</f>
        <v>8.2147703462604901E-2</v>
      </c>
    </row>
    <row r="643" spans="1:22" x14ac:dyDescent="0.3">
      <c r="A643" t="s">
        <v>694</v>
      </c>
      <c r="B643" t="s">
        <v>80</v>
      </c>
      <c r="C643" t="s">
        <v>37</v>
      </c>
      <c r="D643" t="s">
        <v>20</v>
      </c>
      <c r="E643">
        <v>1436589</v>
      </c>
      <c r="F643">
        <v>905429</v>
      </c>
      <c r="G643">
        <v>1535999</v>
      </c>
      <c r="H643">
        <v>22421</v>
      </c>
      <c r="I643">
        <v>2960</v>
      </c>
      <c r="J643">
        <v>1934</v>
      </c>
      <c r="K643">
        <f t="shared" si="20"/>
        <v>3.0168019800558632</v>
      </c>
      <c r="L643">
        <v>112897</v>
      </c>
      <c r="M643">
        <v>439274</v>
      </c>
      <c r="N643">
        <f t="shared" si="21"/>
        <v>289.09271282673586</v>
      </c>
      <c r="O643" s="4">
        <v>45825</v>
      </c>
      <c r="P643" s="4">
        <v>45850</v>
      </c>
      <c r="Q643" t="s">
        <v>41</v>
      </c>
      <c r="R643">
        <f>Table2[[#This Row],[End_Date]]-Table2[[#This Row],[Start_Date]]</f>
        <v>25</v>
      </c>
      <c r="S643" t="str">
        <f>TEXT(Table2[[#This Row],[Start_Date]],"MMM")</f>
        <v>Jun</v>
      </c>
      <c r="T643">
        <f>YEAR(Table2[[#This Row],[Start_Date]])</f>
        <v>2025</v>
      </c>
      <c r="U643">
        <f>Table2[[#This Row],[Campaign_Cost (₹)]]/Table2[[#This Row],[Reach]]</f>
        <v>0.12468895959815733</v>
      </c>
      <c r="V643">
        <f>Table2[[#This Row],[Revenue_Generated (₹)]]/Table2[[#This Row],[Reach]]</f>
        <v>0.48515565549590306</v>
      </c>
    </row>
    <row r="644" spans="1:22" x14ac:dyDescent="0.3">
      <c r="A644" t="s">
        <v>695</v>
      </c>
      <c r="B644" t="s">
        <v>80</v>
      </c>
      <c r="C644" t="s">
        <v>19</v>
      </c>
      <c r="D644" t="s">
        <v>72</v>
      </c>
      <c r="E644">
        <v>1991099</v>
      </c>
      <c r="F644">
        <v>835235</v>
      </c>
      <c r="G644">
        <v>1987308</v>
      </c>
      <c r="H644">
        <v>35700</v>
      </c>
      <c r="I644">
        <v>4739</v>
      </c>
      <c r="J644">
        <v>2326</v>
      </c>
      <c r="K644">
        <f t="shared" si="20"/>
        <v>5.1201158955264088</v>
      </c>
      <c r="L644">
        <v>141534</v>
      </c>
      <c r="M644">
        <v>346813</v>
      </c>
      <c r="N644">
        <f t="shared" si="21"/>
        <v>145.03864795738127</v>
      </c>
      <c r="O644" s="4">
        <v>45748</v>
      </c>
      <c r="P644" s="4">
        <v>45764</v>
      </c>
      <c r="Q644" t="s">
        <v>30</v>
      </c>
      <c r="R644">
        <f>Table2[[#This Row],[End_Date]]-Table2[[#This Row],[Start_Date]]</f>
        <v>16</v>
      </c>
      <c r="S644" t="str">
        <f>TEXT(Table2[[#This Row],[Start_Date]],"MMM")</f>
        <v>Apr</v>
      </c>
      <c r="T644">
        <f>YEAR(Table2[[#This Row],[Start_Date]])</f>
        <v>2025</v>
      </c>
      <c r="U644">
        <f>Table2[[#This Row],[Campaign_Cost (₹)]]/Table2[[#This Row],[Reach]]</f>
        <v>0.1694541057307225</v>
      </c>
      <c r="V644">
        <f>Table2[[#This Row],[Revenue_Generated (₹)]]/Table2[[#This Row],[Reach]]</f>
        <v>0.4152280495908337</v>
      </c>
    </row>
    <row r="645" spans="1:22" x14ac:dyDescent="0.3">
      <c r="A645" t="s">
        <v>696</v>
      </c>
      <c r="B645" t="s">
        <v>18</v>
      </c>
      <c r="C645" t="s">
        <v>28</v>
      </c>
      <c r="D645" t="s">
        <v>29</v>
      </c>
      <c r="E645">
        <v>1672180</v>
      </c>
      <c r="F645">
        <v>944612</v>
      </c>
      <c r="G645">
        <v>2247369</v>
      </c>
      <c r="H645">
        <v>93783</v>
      </c>
      <c r="I645">
        <v>9501</v>
      </c>
      <c r="J645">
        <v>8840</v>
      </c>
      <c r="K645">
        <f t="shared" si="20"/>
        <v>11.869847090657327</v>
      </c>
      <c r="L645">
        <v>455573</v>
      </c>
      <c r="M645">
        <v>740755</v>
      </c>
      <c r="N645">
        <f t="shared" si="21"/>
        <v>62.598529763616369</v>
      </c>
      <c r="O645" s="4">
        <v>46136</v>
      </c>
      <c r="P645" s="4">
        <v>46152</v>
      </c>
      <c r="Q645" t="s">
        <v>30</v>
      </c>
      <c r="R645">
        <f>Table2[[#This Row],[End_Date]]-Table2[[#This Row],[Start_Date]]</f>
        <v>16</v>
      </c>
      <c r="S645" t="str">
        <f>TEXT(Table2[[#This Row],[Start_Date]],"MMM")</f>
        <v>Apr</v>
      </c>
      <c r="T645">
        <f>YEAR(Table2[[#This Row],[Start_Date]])</f>
        <v>2026</v>
      </c>
      <c r="U645">
        <f>Table2[[#This Row],[Campaign_Cost (₹)]]/Table2[[#This Row],[Reach]]</f>
        <v>0.48228584858121643</v>
      </c>
      <c r="V645">
        <f>Table2[[#This Row],[Revenue_Generated (₹)]]/Table2[[#This Row],[Reach]]</f>
        <v>0.78418969905103897</v>
      </c>
    </row>
    <row r="646" spans="1:22" x14ac:dyDescent="0.3">
      <c r="A646" t="s">
        <v>697</v>
      </c>
      <c r="B646" t="s">
        <v>53</v>
      </c>
      <c r="C646" t="s">
        <v>37</v>
      </c>
      <c r="D646" t="s">
        <v>58</v>
      </c>
      <c r="E646">
        <v>1624058</v>
      </c>
      <c r="F646">
        <v>799394</v>
      </c>
      <c r="G646">
        <v>2266559</v>
      </c>
      <c r="H646">
        <v>39478</v>
      </c>
      <c r="I646">
        <v>2645</v>
      </c>
      <c r="J646">
        <v>3874</v>
      </c>
      <c r="K646">
        <f t="shared" si="20"/>
        <v>5.7539836426092759</v>
      </c>
      <c r="L646">
        <v>78189</v>
      </c>
      <c r="M646">
        <v>353822</v>
      </c>
      <c r="N646">
        <f t="shared" si="21"/>
        <v>352.52145442453542</v>
      </c>
      <c r="O646" s="4">
        <v>45989</v>
      </c>
      <c r="P646" s="4">
        <v>46012</v>
      </c>
      <c r="Q646" t="s">
        <v>47</v>
      </c>
      <c r="R646">
        <f>Table2[[#This Row],[End_Date]]-Table2[[#This Row],[Start_Date]]</f>
        <v>23</v>
      </c>
      <c r="S646" t="str">
        <f>TEXT(Table2[[#This Row],[Start_Date]],"MMM")</f>
        <v>Nov</v>
      </c>
      <c r="T646">
        <f>YEAR(Table2[[#This Row],[Start_Date]])</f>
        <v>2025</v>
      </c>
      <c r="U646">
        <f>Table2[[#This Row],[Campaign_Cost (₹)]]/Table2[[#This Row],[Reach]]</f>
        <v>9.7810341333560175E-2</v>
      </c>
      <c r="V646">
        <f>Table2[[#This Row],[Revenue_Generated (₹)]]/Table2[[#This Row],[Reach]]</f>
        <v>0.44261277918022901</v>
      </c>
    </row>
    <row r="647" spans="1:22" x14ac:dyDescent="0.3">
      <c r="A647" t="s">
        <v>698</v>
      </c>
      <c r="B647" t="s">
        <v>103</v>
      </c>
      <c r="C647" t="s">
        <v>37</v>
      </c>
      <c r="D647" t="s">
        <v>72</v>
      </c>
      <c r="E647">
        <v>1604921</v>
      </c>
      <c r="F647">
        <v>414978</v>
      </c>
      <c r="G647">
        <v>1114535</v>
      </c>
      <c r="H647">
        <v>8509</v>
      </c>
      <c r="I647">
        <v>554</v>
      </c>
      <c r="J647">
        <v>283</v>
      </c>
      <c r="K647">
        <f t="shared" si="20"/>
        <v>2.2521675847876272</v>
      </c>
      <c r="L647">
        <v>233511</v>
      </c>
      <c r="M647">
        <v>1023530</v>
      </c>
      <c r="N647">
        <f t="shared" si="21"/>
        <v>338.32196341928216</v>
      </c>
      <c r="O647" s="4">
        <v>45933</v>
      </c>
      <c r="P647" s="4">
        <v>45946</v>
      </c>
      <c r="Q647" t="s">
        <v>30</v>
      </c>
      <c r="R647">
        <f>Table2[[#This Row],[End_Date]]-Table2[[#This Row],[Start_Date]]</f>
        <v>13</v>
      </c>
      <c r="S647" t="str">
        <f>TEXT(Table2[[#This Row],[Start_Date]],"MMM")</f>
        <v>Oct</v>
      </c>
      <c r="T647">
        <f>YEAR(Table2[[#This Row],[Start_Date]])</f>
        <v>2025</v>
      </c>
      <c r="U647">
        <f>Table2[[#This Row],[Campaign_Cost (₹)]]/Table2[[#This Row],[Reach]]</f>
        <v>0.56270693868108668</v>
      </c>
      <c r="V647">
        <f>Table2[[#This Row],[Revenue_Generated (₹)]]/Table2[[#This Row],[Reach]]</f>
        <v>2.4664681019234753</v>
      </c>
    </row>
    <row r="648" spans="1:22" x14ac:dyDescent="0.3">
      <c r="A648" t="s">
        <v>699</v>
      </c>
      <c r="B648" t="s">
        <v>103</v>
      </c>
      <c r="C648" t="s">
        <v>33</v>
      </c>
      <c r="D648" t="s">
        <v>58</v>
      </c>
      <c r="E648">
        <v>1792638</v>
      </c>
      <c r="F648">
        <v>1264988</v>
      </c>
      <c r="G648">
        <v>1522553</v>
      </c>
      <c r="H648">
        <v>140474</v>
      </c>
      <c r="I648">
        <v>18424</v>
      </c>
      <c r="J648">
        <v>10130</v>
      </c>
      <c r="K648">
        <f t="shared" si="20"/>
        <v>13.362023987579331</v>
      </c>
      <c r="L648">
        <v>29693</v>
      </c>
      <c r="M648">
        <v>63365</v>
      </c>
      <c r="N648">
        <f t="shared" si="21"/>
        <v>113.40046475600309</v>
      </c>
      <c r="O648" s="4">
        <v>45676</v>
      </c>
      <c r="P648" s="4">
        <v>45703</v>
      </c>
      <c r="Q648" t="s">
        <v>34</v>
      </c>
      <c r="R648">
        <f>Table2[[#This Row],[End_Date]]-Table2[[#This Row],[Start_Date]]</f>
        <v>27</v>
      </c>
      <c r="S648" t="str">
        <f>TEXT(Table2[[#This Row],[Start_Date]],"MMM")</f>
        <v>Jan</v>
      </c>
      <c r="T648">
        <f>YEAR(Table2[[#This Row],[Start_Date]])</f>
        <v>2025</v>
      </c>
      <c r="U648">
        <f>Table2[[#This Row],[Campaign_Cost (₹)]]/Table2[[#This Row],[Reach]]</f>
        <v>2.3472949941027107E-2</v>
      </c>
      <c r="V648">
        <f>Table2[[#This Row],[Revenue_Generated (₹)]]/Table2[[#This Row],[Reach]]</f>
        <v>5.0091384266095808E-2</v>
      </c>
    </row>
    <row r="649" spans="1:22" x14ac:dyDescent="0.3">
      <c r="A649" t="s">
        <v>700</v>
      </c>
      <c r="B649" t="s">
        <v>45</v>
      </c>
      <c r="C649" t="s">
        <v>37</v>
      </c>
      <c r="D649" t="s">
        <v>46</v>
      </c>
      <c r="E649">
        <v>604435</v>
      </c>
      <c r="F649">
        <v>438510</v>
      </c>
      <c r="G649">
        <v>1287269</v>
      </c>
      <c r="H649">
        <v>55603</v>
      </c>
      <c r="I649">
        <v>5682</v>
      </c>
      <c r="J649">
        <v>2003</v>
      </c>
      <c r="K649">
        <f t="shared" si="20"/>
        <v>14.432510090989945</v>
      </c>
      <c r="L649">
        <v>336167</v>
      </c>
      <c r="M649">
        <v>689747</v>
      </c>
      <c r="N649">
        <f t="shared" si="21"/>
        <v>105.17986595947848</v>
      </c>
      <c r="O649" s="4">
        <v>45762</v>
      </c>
      <c r="P649" s="4">
        <v>45785</v>
      </c>
      <c r="Q649" t="s">
        <v>21</v>
      </c>
      <c r="R649">
        <f>Table2[[#This Row],[End_Date]]-Table2[[#This Row],[Start_Date]]</f>
        <v>23</v>
      </c>
      <c r="S649" t="str">
        <f>TEXT(Table2[[#This Row],[Start_Date]],"MMM")</f>
        <v>Apr</v>
      </c>
      <c r="T649">
        <f>YEAR(Table2[[#This Row],[Start_Date]])</f>
        <v>2025</v>
      </c>
      <c r="U649">
        <f>Table2[[#This Row],[Campaign_Cost (₹)]]/Table2[[#This Row],[Reach]]</f>
        <v>0.76661193587375431</v>
      </c>
      <c r="V649">
        <f>Table2[[#This Row],[Revenue_Generated (₹)]]/Table2[[#This Row],[Reach]]</f>
        <v>1.5729333424551322</v>
      </c>
    </row>
    <row r="650" spans="1:22" x14ac:dyDescent="0.3">
      <c r="A650" t="s">
        <v>701</v>
      </c>
      <c r="B650" t="s">
        <v>49</v>
      </c>
      <c r="C650" t="s">
        <v>37</v>
      </c>
      <c r="D650" t="s">
        <v>24</v>
      </c>
      <c r="E650">
        <v>1173969</v>
      </c>
      <c r="F650">
        <v>356556</v>
      </c>
      <c r="G650">
        <v>644749</v>
      </c>
      <c r="H650">
        <v>37863</v>
      </c>
      <c r="I650">
        <v>3019</v>
      </c>
      <c r="J650">
        <v>1898</v>
      </c>
      <c r="K650">
        <f t="shared" si="20"/>
        <v>11.998115303065997</v>
      </c>
      <c r="L650">
        <v>38274</v>
      </c>
      <c r="M650">
        <v>134433</v>
      </c>
      <c r="N650">
        <f t="shared" si="21"/>
        <v>251.23843862674403</v>
      </c>
      <c r="O650" s="4">
        <v>46158</v>
      </c>
      <c r="P650" s="4">
        <v>46176</v>
      </c>
      <c r="Q650" t="s">
        <v>78</v>
      </c>
      <c r="R650">
        <f>Table2[[#This Row],[End_Date]]-Table2[[#This Row],[Start_Date]]</f>
        <v>18</v>
      </c>
      <c r="S650" t="str">
        <f>TEXT(Table2[[#This Row],[Start_Date]],"MMM")</f>
        <v>May</v>
      </c>
      <c r="T650">
        <f>YEAR(Table2[[#This Row],[Start_Date]])</f>
        <v>2026</v>
      </c>
      <c r="U650">
        <f>Table2[[#This Row],[Campaign_Cost (₹)]]/Table2[[#This Row],[Reach]]</f>
        <v>0.10734358698212904</v>
      </c>
      <c r="V650">
        <f>Table2[[#This Row],[Revenue_Generated (₹)]]/Table2[[#This Row],[Reach]]</f>
        <v>0.37703193888197084</v>
      </c>
    </row>
    <row r="651" spans="1:22" x14ac:dyDescent="0.3">
      <c r="A651" t="s">
        <v>702</v>
      </c>
      <c r="B651" t="s">
        <v>75</v>
      </c>
      <c r="C651" t="s">
        <v>19</v>
      </c>
      <c r="D651" t="s">
        <v>24</v>
      </c>
      <c r="E651">
        <v>1753576</v>
      </c>
      <c r="F651">
        <v>1176315</v>
      </c>
      <c r="G651">
        <v>2212078</v>
      </c>
      <c r="H651">
        <v>140400</v>
      </c>
      <c r="I651">
        <v>17758</v>
      </c>
      <c r="J651">
        <v>3806</v>
      </c>
      <c r="K651">
        <f t="shared" si="20"/>
        <v>13.768760918631489</v>
      </c>
      <c r="L651">
        <v>247397</v>
      </c>
      <c r="M651">
        <v>499128</v>
      </c>
      <c r="N651">
        <f t="shared" si="21"/>
        <v>101.75184015974325</v>
      </c>
      <c r="O651" s="4">
        <v>45872</v>
      </c>
      <c r="P651" s="4">
        <v>45891</v>
      </c>
      <c r="Q651" t="s">
        <v>78</v>
      </c>
      <c r="R651">
        <f>Table2[[#This Row],[End_Date]]-Table2[[#This Row],[Start_Date]]</f>
        <v>19</v>
      </c>
      <c r="S651" t="str">
        <f>TEXT(Table2[[#This Row],[Start_Date]],"MMM")</f>
        <v>Aug</v>
      </c>
      <c r="T651">
        <f>YEAR(Table2[[#This Row],[Start_Date]])</f>
        <v>2025</v>
      </c>
      <c r="U651">
        <f>Table2[[#This Row],[Campaign_Cost (₹)]]/Table2[[#This Row],[Reach]]</f>
        <v>0.21031526419368962</v>
      </c>
      <c r="V651">
        <f>Table2[[#This Row],[Revenue_Generated (₹)]]/Table2[[#This Row],[Reach]]</f>
        <v>0.42431491564759438</v>
      </c>
    </row>
    <row r="652" spans="1:22" x14ac:dyDescent="0.3">
      <c r="A652" t="s">
        <v>703</v>
      </c>
      <c r="B652" t="s">
        <v>18</v>
      </c>
      <c r="C652" t="s">
        <v>19</v>
      </c>
      <c r="D652" t="s">
        <v>24</v>
      </c>
      <c r="E652">
        <v>1952585</v>
      </c>
      <c r="F652">
        <v>539963</v>
      </c>
      <c r="G652">
        <v>1231040</v>
      </c>
      <c r="H652">
        <v>61223</v>
      </c>
      <c r="I652">
        <v>4054</v>
      </c>
      <c r="J652">
        <v>4770</v>
      </c>
      <c r="K652">
        <f t="shared" si="20"/>
        <v>12.972555526952773</v>
      </c>
      <c r="L652">
        <v>305662</v>
      </c>
      <c r="M652">
        <v>958249</v>
      </c>
      <c r="N652">
        <f t="shared" si="21"/>
        <v>213.49955179250281</v>
      </c>
      <c r="O652" s="4">
        <v>46098</v>
      </c>
      <c r="P652" s="4">
        <v>46108</v>
      </c>
      <c r="Q652" t="s">
        <v>41</v>
      </c>
      <c r="R652">
        <f>Table2[[#This Row],[End_Date]]-Table2[[#This Row],[Start_Date]]</f>
        <v>10</v>
      </c>
      <c r="S652" t="str">
        <f>TEXT(Table2[[#This Row],[Start_Date]],"MMM")</f>
        <v>Mar</v>
      </c>
      <c r="T652">
        <f>YEAR(Table2[[#This Row],[Start_Date]])</f>
        <v>2026</v>
      </c>
      <c r="U652">
        <f>Table2[[#This Row],[Campaign_Cost (₹)]]/Table2[[#This Row],[Reach]]</f>
        <v>0.5660795276713404</v>
      </c>
      <c r="V652">
        <f>Table2[[#This Row],[Revenue_Generated (₹)]]/Table2[[#This Row],[Reach]]</f>
        <v>1.7746567820387693</v>
      </c>
    </row>
    <row r="653" spans="1:22" x14ac:dyDescent="0.3">
      <c r="A653" t="s">
        <v>704</v>
      </c>
      <c r="B653" t="s">
        <v>18</v>
      </c>
      <c r="C653" t="s">
        <v>43</v>
      </c>
      <c r="D653" t="s">
        <v>24</v>
      </c>
      <c r="E653">
        <v>552887</v>
      </c>
      <c r="F653">
        <v>218792</v>
      </c>
      <c r="G653">
        <v>394025</v>
      </c>
      <c r="H653">
        <v>11721</v>
      </c>
      <c r="I653">
        <v>1309</v>
      </c>
      <c r="J653">
        <v>1134</v>
      </c>
      <c r="K653">
        <f t="shared" si="20"/>
        <v>6.4737284727046696</v>
      </c>
      <c r="L653">
        <v>308208</v>
      </c>
      <c r="M653">
        <v>1068890</v>
      </c>
      <c r="N653">
        <f t="shared" si="21"/>
        <v>246.80799979234803</v>
      </c>
      <c r="O653" s="4">
        <v>45741</v>
      </c>
      <c r="P653" s="4">
        <v>45768</v>
      </c>
      <c r="Q653" t="s">
        <v>34</v>
      </c>
      <c r="R653">
        <f>Table2[[#This Row],[End_Date]]-Table2[[#This Row],[Start_Date]]</f>
        <v>27</v>
      </c>
      <c r="S653" t="str">
        <f>TEXT(Table2[[#This Row],[Start_Date]],"MMM")</f>
        <v>Mar</v>
      </c>
      <c r="T653">
        <f>YEAR(Table2[[#This Row],[Start_Date]])</f>
        <v>2025</v>
      </c>
      <c r="U653">
        <f>Table2[[#This Row],[Campaign_Cost (₹)]]/Table2[[#This Row],[Reach]]</f>
        <v>1.4086803905078795</v>
      </c>
      <c r="V653">
        <f>Table2[[#This Row],[Revenue_Generated (₹)]]/Table2[[#This Row],[Reach]]</f>
        <v>4.8854162857874144</v>
      </c>
    </row>
    <row r="654" spans="1:22" x14ac:dyDescent="0.3">
      <c r="A654" t="s">
        <v>705</v>
      </c>
      <c r="B654" t="s">
        <v>57</v>
      </c>
      <c r="C654" t="s">
        <v>28</v>
      </c>
      <c r="D654" t="s">
        <v>29</v>
      </c>
      <c r="E654">
        <v>1595274</v>
      </c>
      <c r="F654">
        <v>962190</v>
      </c>
      <c r="G654">
        <v>2693432</v>
      </c>
      <c r="H654">
        <v>69309</v>
      </c>
      <c r="I654">
        <v>8399</v>
      </c>
      <c r="J654">
        <v>5448</v>
      </c>
      <c r="K654">
        <f t="shared" si="20"/>
        <v>8.6423679314896216</v>
      </c>
      <c r="L654">
        <v>61006</v>
      </c>
      <c r="M654">
        <v>137495</v>
      </c>
      <c r="N654">
        <f t="shared" si="21"/>
        <v>125.37947087171754</v>
      </c>
      <c r="O654" s="4">
        <v>45927</v>
      </c>
      <c r="P654" s="4">
        <v>45935</v>
      </c>
      <c r="Q654" t="s">
        <v>30</v>
      </c>
      <c r="R654">
        <f>Table2[[#This Row],[End_Date]]-Table2[[#This Row],[Start_Date]]</f>
        <v>8</v>
      </c>
      <c r="S654" t="str">
        <f>TEXT(Table2[[#This Row],[Start_Date]],"MMM")</f>
        <v>Sep</v>
      </c>
      <c r="T654">
        <f>YEAR(Table2[[#This Row],[Start_Date]])</f>
        <v>2025</v>
      </c>
      <c r="U654">
        <f>Table2[[#This Row],[Campaign_Cost (₹)]]/Table2[[#This Row],[Reach]]</f>
        <v>6.3403277938868616E-2</v>
      </c>
      <c r="V654">
        <f>Table2[[#This Row],[Revenue_Generated (₹)]]/Table2[[#This Row],[Reach]]</f>
        <v>0.14289797233394652</v>
      </c>
    </row>
    <row r="655" spans="1:22" x14ac:dyDescent="0.3">
      <c r="A655" t="s">
        <v>706</v>
      </c>
      <c r="B655" t="s">
        <v>53</v>
      </c>
      <c r="C655" t="s">
        <v>19</v>
      </c>
      <c r="D655" t="s">
        <v>29</v>
      </c>
      <c r="E655">
        <v>411945</v>
      </c>
      <c r="F655">
        <v>140288</v>
      </c>
      <c r="G655">
        <v>234177</v>
      </c>
      <c r="H655">
        <v>15226</v>
      </c>
      <c r="I655">
        <v>2125</v>
      </c>
      <c r="J655">
        <v>1397</v>
      </c>
      <c r="K655">
        <f t="shared" si="20"/>
        <v>13.363937043795621</v>
      </c>
      <c r="L655">
        <v>353934</v>
      </c>
      <c r="M655">
        <v>1119465</v>
      </c>
      <c r="N655">
        <f t="shared" si="21"/>
        <v>216.2920205462035</v>
      </c>
      <c r="O655" s="4">
        <v>45658</v>
      </c>
      <c r="P655" s="4">
        <v>45674</v>
      </c>
      <c r="Q655" t="s">
        <v>54</v>
      </c>
      <c r="R655">
        <f>Table2[[#This Row],[End_Date]]-Table2[[#This Row],[Start_Date]]</f>
        <v>16</v>
      </c>
      <c r="S655" t="str">
        <f>TEXT(Table2[[#This Row],[Start_Date]],"MMM")</f>
        <v>Jan</v>
      </c>
      <c r="T655">
        <f>YEAR(Table2[[#This Row],[Start_Date]])</f>
        <v>2025</v>
      </c>
      <c r="U655">
        <f>Table2[[#This Row],[Campaign_Cost (₹)]]/Table2[[#This Row],[Reach]]</f>
        <v>2.5229100136861313</v>
      </c>
      <c r="V655">
        <f>Table2[[#This Row],[Revenue_Generated (₹)]]/Table2[[#This Row],[Reach]]</f>
        <v>7.9797630588503647</v>
      </c>
    </row>
    <row r="656" spans="1:22" x14ac:dyDescent="0.3">
      <c r="A656" t="s">
        <v>707</v>
      </c>
      <c r="B656" t="s">
        <v>23</v>
      </c>
      <c r="C656" t="s">
        <v>37</v>
      </c>
      <c r="D656" t="s">
        <v>72</v>
      </c>
      <c r="E656">
        <v>354456</v>
      </c>
      <c r="F656">
        <v>159661</v>
      </c>
      <c r="G656">
        <v>187607</v>
      </c>
      <c r="H656">
        <v>12540</v>
      </c>
      <c r="I656">
        <v>1064</v>
      </c>
      <c r="J656">
        <v>919</v>
      </c>
      <c r="K656">
        <f t="shared" si="20"/>
        <v>9.0961474624360363</v>
      </c>
      <c r="L656">
        <v>58762</v>
      </c>
      <c r="M656">
        <v>274718</v>
      </c>
      <c r="N656">
        <f t="shared" si="21"/>
        <v>367.50961505735</v>
      </c>
      <c r="O656" s="4">
        <v>45883</v>
      </c>
      <c r="P656" s="4">
        <v>45898</v>
      </c>
      <c r="Q656" t="s">
        <v>30</v>
      </c>
      <c r="R656">
        <f>Table2[[#This Row],[End_Date]]-Table2[[#This Row],[Start_Date]]</f>
        <v>15</v>
      </c>
      <c r="S656" t="str">
        <f>TEXT(Table2[[#This Row],[Start_Date]],"MMM")</f>
        <v>Aug</v>
      </c>
      <c r="T656">
        <f>YEAR(Table2[[#This Row],[Start_Date]])</f>
        <v>2025</v>
      </c>
      <c r="U656">
        <f>Table2[[#This Row],[Campaign_Cost (₹)]]/Table2[[#This Row],[Reach]]</f>
        <v>0.36804228960109231</v>
      </c>
      <c r="V656">
        <f>Table2[[#This Row],[Revenue_Generated (₹)]]/Table2[[#This Row],[Reach]]</f>
        <v>1.720633091362324</v>
      </c>
    </row>
    <row r="657" spans="1:22" x14ac:dyDescent="0.3">
      <c r="A657" t="s">
        <v>708</v>
      </c>
      <c r="B657" t="s">
        <v>23</v>
      </c>
      <c r="C657" t="s">
        <v>28</v>
      </c>
      <c r="D657" t="s">
        <v>72</v>
      </c>
      <c r="E657">
        <v>676816</v>
      </c>
      <c r="F657">
        <v>555411</v>
      </c>
      <c r="G657">
        <v>1088050</v>
      </c>
      <c r="H657">
        <v>73625</v>
      </c>
      <c r="I657">
        <v>8999</v>
      </c>
      <c r="J657">
        <v>6887</v>
      </c>
      <c r="K657">
        <f t="shared" si="20"/>
        <v>16.11617342832605</v>
      </c>
      <c r="L657">
        <v>114510</v>
      </c>
      <c r="M657">
        <v>520977</v>
      </c>
      <c r="N657">
        <f t="shared" si="21"/>
        <v>354.96201205134923</v>
      </c>
      <c r="O657" s="4">
        <v>45991</v>
      </c>
      <c r="P657" s="4">
        <v>46009</v>
      </c>
      <c r="Q657" t="s">
        <v>41</v>
      </c>
      <c r="R657">
        <f>Table2[[#This Row],[End_Date]]-Table2[[#This Row],[Start_Date]]</f>
        <v>18</v>
      </c>
      <c r="S657" t="str">
        <f>TEXT(Table2[[#This Row],[Start_Date]],"MMM")</f>
        <v>Nov</v>
      </c>
      <c r="T657">
        <f>YEAR(Table2[[#This Row],[Start_Date]])</f>
        <v>2025</v>
      </c>
      <c r="U657">
        <f>Table2[[#This Row],[Campaign_Cost (₹)]]/Table2[[#This Row],[Reach]]</f>
        <v>0.20617164586225337</v>
      </c>
      <c r="V657">
        <f>Table2[[#This Row],[Revenue_Generated (₹)]]/Table2[[#This Row],[Reach]]</f>
        <v>0.93800266829429013</v>
      </c>
    </row>
    <row r="658" spans="1:22" x14ac:dyDescent="0.3">
      <c r="A658" t="s">
        <v>709</v>
      </c>
      <c r="B658" t="s">
        <v>49</v>
      </c>
      <c r="C658" t="s">
        <v>43</v>
      </c>
      <c r="D658" t="s">
        <v>46</v>
      </c>
      <c r="E658">
        <v>1744122</v>
      </c>
      <c r="F658">
        <v>730559</v>
      </c>
      <c r="G658">
        <v>1464969</v>
      </c>
      <c r="H658">
        <v>101317</v>
      </c>
      <c r="I658">
        <v>7202</v>
      </c>
      <c r="J658">
        <v>8656</v>
      </c>
      <c r="K658">
        <f t="shared" si="20"/>
        <v>16.039087876543853</v>
      </c>
      <c r="L658">
        <v>129141</v>
      </c>
      <c r="M658">
        <v>572812</v>
      </c>
      <c r="N658">
        <f t="shared" si="21"/>
        <v>343.55549360776206</v>
      </c>
      <c r="O658" s="4">
        <v>46119</v>
      </c>
      <c r="P658" s="4">
        <v>46138</v>
      </c>
      <c r="Q658" t="s">
        <v>25</v>
      </c>
      <c r="R658">
        <f>Table2[[#This Row],[End_Date]]-Table2[[#This Row],[Start_Date]]</f>
        <v>19</v>
      </c>
      <c r="S658" t="str">
        <f>TEXT(Table2[[#This Row],[Start_Date]],"MMM")</f>
        <v>Apr</v>
      </c>
      <c r="T658">
        <f>YEAR(Table2[[#This Row],[Start_Date]])</f>
        <v>2026</v>
      </c>
      <c r="U658">
        <f>Table2[[#This Row],[Campaign_Cost (₹)]]/Table2[[#This Row],[Reach]]</f>
        <v>0.17677011712948579</v>
      </c>
      <c r="V658">
        <f>Table2[[#This Row],[Revenue_Generated (₹)]]/Table2[[#This Row],[Reach]]</f>
        <v>0.78407356558470975</v>
      </c>
    </row>
    <row r="659" spans="1:22" x14ac:dyDescent="0.3">
      <c r="A659" t="s">
        <v>710</v>
      </c>
      <c r="B659" t="s">
        <v>27</v>
      </c>
      <c r="C659" t="s">
        <v>19</v>
      </c>
      <c r="D659" t="s">
        <v>29</v>
      </c>
      <c r="E659">
        <v>1792991</v>
      </c>
      <c r="F659">
        <v>1581969</v>
      </c>
      <c r="G659">
        <v>4689499</v>
      </c>
      <c r="H659">
        <v>153684</v>
      </c>
      <c r="I659">
        <v>4835</v>
      </c>
      <c r="J659">
        <v>12223</v>
      </c>
      <c r="K659">
        <f t="shared" si="20"/>
        <v>10.793005425517189</v>
      </c>
      <c r="L659">
        <v>322713</v>
      </c>
      <c r="M659">
        <v>416869</v>
      </c>
      <c r="N659">
        <f t="shared" si="21"/>
        <v>29.176388927622998</v>
      </c>
      <c r="O659" s="4">
        <v>45892</v>
      </c>
      <c r="P659" s="4">
        <v>45919</v>
      </c>
      <c r="Q659" t="s">
        <v>54</v>
      </c>
      <c r="R659">
        <f>Table2[[#This Row],[End_Date]]-Table2[[#This Row],[Start_Date]]</f>
        <v>27</v>
      </c>
      <c r="S659" t="str">
        <f>TEXT(Table2[[#This Row],[Start_Date]],"MMM")</f>
        <v>Aug</v>
      </c>
      <c r="T659">
        <f>YEAR(Table2[[#This Row],[Start_Date]])</f>
        <v>2025</v>
      </c>
      <c r="U659">
        <f>Table2[[#This Row],[Campaign_Cost (₹)]]/Table2[[#This Row],[Reach]]</f>
        <v>0.20399451569531388</v>
      </c>
      <c r="V659">
        <f>Table2[[#This Row],[Revenue_Generated (₹)]]/Table2[[#This Row],[Reach]]</f>
        <v>0.26351274898559957</v>
      </c>
    </row>
    <row r="660" spans="1:22" x14ac:dyDescent="0.3">
      <c r="A660" t="s">
        <v>711</v>
      </c>
      <c r="B660" t="s">
        <v>53</v>
      </c>
      <c r="C660" t="s">
        <v>43</v>
      </c>
      <c r="D660" t="s">
        <v>72</v>
      </c>
      <c r="E660">
        <v>279294</v>
      </c>
      <c r="F660">
        <v>162116</v>
      </c>
      <c r="G660">
        <v>348013</v>
      </c>
      <c r="H660">
        <v>19549</v>
      </c>
      <c r="I660">
        <v>833</v>
      </c>
      <c r="J660">
        <v>689</v>
      </c>
      <c r="K660">
        <f t="shared" si="20"/>
        <v>12.997483283574724</v>
      </c>
      <c r="L660">
        <v>262652</v>
      </c>
      <c r="M660">
        <v>577385</v>
      </c>
      <c r="N660">
        <f t="shared" si="21"/>
        <v>119.8288990755829</v>
      </c>
      <c r="O660" s="4">
        <v>45706</v>
      </c>
      <c r="P660" s="4">
        <v>45732</v>
      </c>
      <c r="Q660" t="s">
        <v>41</v>
      </c>
      <c r="R660">
        <f>Table2[[#This Row],[End_Date]]-Table2[[#This Row],[Start_Date]]</f>
        <v>26</v>
      </c>
      <c r="S660" t="str">
        <f>TEXT(Table2[[#This Row],[Start_Date]],"MMM")</f>
        <v>Feb</v>
      </c>
      <c r="T660">
        <f>YEAR(Table2[[#This Row],[Start_Date]])</f>
        <v>2025</v>
      </c>
      <c r="U660">
        <f>Table2[[#This Row],[Campaign_Cost (₹)]]/Table2[[#This Row],[Reach]]</f>
        <v>1.6201485356164722</v>
      </c>
      <c r="V660">
        <f>Table2[[#This Row],[Revenue_Generated (₹)]]/Table2[[#This Row],[Reach]]</f>
        <v>3.5615546892348688</v>
      </c>
    </row>
    <row r="661" spans="1:22" x14ac:dyDescent="0.3">
      <c r="A661" t="s">
        <v>712</v>
      </c>
      <c r="B661" t="s">
        <v>61</v>
      </c>
      <c r="C661" t="s">
        <v>33</v>
      </c>
      <c r="D661" t="s">
        <v>46</v>
      </c>
      <c r="E661">
        <v>1908421</v>
      </c>
      <c r="F661">
        <v>637091</v>
      </c>
      <c r="G661">
        <v>1720054</v>
      </c>
      <c r="H661">
        <v>59194</v>
      </c>
      <c r="I661">
        <v>2810</v>
      </c>
      <c r="J661">
        <v>2548</v>
      </c>
      <c r="K661">
        <f t="shared" si="20"/>
        <v>10.132304490253356</v>
      </c>
      <c r="L661">
        <v>23792</v>
      </c>
      <c r="M661">
        <v>115405</v>
      </c>
      <c r="N661">
        <f t="shared" si="21"/>
        <v>385.05800268997984</v>
      </c>
      <c r="O661" s="4">
        <v>46079</v>
      </c>
      <c r="P661" s="4">
        <v>46096</v>
      </c>
      <c r="Q661" t="s">
        <v>54</v>
      </c>
      <c r="R661">
        <f>Table2[[#This Row],[End_Date]]-Table2[[#This Row],[Start_Date]]</f>
        <v>17</v>
      </c>
      <c r="S661" t="str">
        <f>TEXT(Table2[[#This Row],[Start_Date]],"MMM")</f>
        <v>Feb</v>
      </c>
      <c r="T661">
        <f>YEAR(Table2[[#This Row],[Start_Date]])</f>
        <v>2026</v>
      </c>
      <c r="U661">
        <f>Table2[[#This Row],[Campaign_Cost (₹)]]/Table2[[#This Row],[Reach]]</f>
        <v>3.7344743529574266E-2</v>
      </c>
      <c r="V661">
        <f>Table2[[#This Row],[Revenue_Generated (₹)]]/Table2[[#This Row],[Reach]]</f>
        <v>0.18114366707424842</v>
      </c>
    </row>
    <row r="662" spans="1:22" x14ac:dyDescent="0.3">
      <c r="A662" t="s">
        <v>713</v>
      </c>
      <c r="B662" t="s">
        <v>61</v>
      </c>
      <c r="C662" t="s">
        <v>37</v>
      </c>
      <c r="D662" t="s">
        <v>72</v>
      </c>
      <c r="E662">
        <v>756672</v>
      </c>
      <c r="F662">
        <v>499212</v>
      </c>
      <c r="G662">
        <v>926244</v>
      </c>
      <c r="H662">
        <v>72369</v>
      </c>
      <c r="I662">
        <v>7283</v>
      </c>
      <c r="J662">
        <v>5941</v>
      </c>
      <c r="K662">
        <f t="shared" si="20"/>
        <v>17.145621499483184</v>
      </c>
      <c r="L662">
        <v>431571</v>
      </c>
      <c r="M662">
        <v>1120471</v>
      </c>
      <c r="N662">
        <f t="shared" si="21"/>
        <v>159.62611018812663</v>
      </c>
      <c r="O662" s="4">
        <v>46136</v>
      </c>
      <c r="P662" s="4">
        <v>46153</v>
      </c>
      <c r="Q662" t="s">
        <v>41</v>
      </c>
      <c r="R662">
        <f>Table2[[#This Row],[End_Date]]-Table2[[#This Row],[Start_Date]]</f>
        <v>17</v>
      </c>
      <c r="S662" t="str">
        <f>TEXT(Table2[[#This Row],[Start_Date]],"MMM")</f>
        <v>Apr</v>
      </c>
      <c r="T662">
        <f>YEAR(Table2[[#This Row],[Start_Date]])</f>
        <v>2026</v>
      </c>
      <c r="U662">
        <f>Table2[[#This Row],[Campaign_Cost (₹)]]/Table2[[#This Row],[Reach]]</f>
        <v>0.86450445902742723</v>
      </c>
      <c r="V662">
        <f>Table2[[#This Row],[Revenue_Generated (₹)]]/Table2[[#This Row],[Reach]]</f>
        <v>2.2444792993758163</v>
      </c>
    </row>
    <row r="663" spans="1:22" x14ac:dyDescent="0.3">
      <c r="A663" t="s">
        <v>714</v>
      </c>
      <c r="B663" t="s">
        <v>32</v>
      </c>
      <c r="C663" t="s">
        <v>37</v>
      </c>
      <c r="D663" t="s">
        <v>58</v>
      </c>
      <c r="E663">
        <v>1082312</v>
      </c>
      <c r="F663">
        <v>637701</v>
      </c>
      <c r="G663">
        <v>853545</v>
      </c>
      <c r="H663">
        <v>22781</v>
      </c>
      <c r="I663">
        <v>2882</v>
      </c>
      <c r="J663">
        <v>2060</v>
      </c>
      <c r="K663">
        <f t="shared" si="20"/>
        <v>4.347335193139104</v>
      </c>
      <c r="L663">
        <v>444288</v>
      </c>
      <c r="M663">
        <v>1913100</v>
      </c>
      <c r="N663">
        <f t="shared" si="21"/>
        <v>330.59907087294727</v>
      </c>
      <c r="O663" s="4">
        <v>45997</v>
      </c>
      <c r="P663" s="4">
        <v>46009</v>
      </c>
      <c r="Q663" t="s">
        <v>30</v>
      </c>
      <c r="R663">
        <f>Table2[[#This Row],[End_Date]]-Table2[[#This Row],[Start_Date]]</f>
        <v>12</v>
      </c>
      <c r="S663" t="str">
        <f>TEXT(Table2[[#This Row],[Start_Date]],"MMM")</f>
        <v>Dec</v>
      </c>
      <c r="T663">
        <f>YEAR(Table2[[#This Row],[Start_Date]])</f>
        <v>2025</v>
      </c>
      <c r="U663">
        <f>Table2[[#This Row],[Campaign_Cost (₹)]]/Table2[[#This Row],[Reach]]</f>
        <v>0.69670268668231661</v>
      </c>
      <c r="V663">
        <f>Table2[[#This Row],[Revenue_Generated (₹)]]/Table2[[#This Row],[Reach]]</f>
        <v>2.9999952956009164</v>
      </c>
    </row>
    <row r="664" spans="1:22" x14ac:dyDescent="0.3">
      <c r="A664" t="s">
        <v>715</v>
      </c>
      <c r="B664" t="s">
        <v>75</v>
      </c>
      <c r="C664" t="s">
        <v>19</v>
      </c>
      <c r="D664" t="s">
        <v>29</v>
      </c>
      <c r="E664">
        <v>1313853</v>
      </c>
      <c r="F664">
        <v>441111</v>
      </c>
      <c r="G664">
        <v>1155158</v>
      </c>
      <c r="H664">
        <v>38210</v>
      </c>
      <c r="I664">
        <v>4023</v>
      </c>
      <c r="J664">
        <v>2864</v>
      </c>
      <c r="K664">
        <f t="shared" si="20"/>
        <v>10.223503834635727</v>
      </c>
      <c r="L664">
        <v>447714</v>
      </c>
      <c r="M664">
        <v>1260771</v>
      </c>
      <c r="N664">
        <f t="shared" si="21"/>
        <v>181.60187083718625</v>
      </c>
      <c r="O664" s="4">
        <v>46075</v>
      </c>
      <c r="P664" s="4">
        <v>46098</v>
      </c>
      <c r="Q664" t="s">
        <v>21</v>
      </c>
      <c r="R664">
        <f>Table2[[#This Row],[End_Date]]-Table2[[#This Row],[Start_Date]]</f>
        <v>23</v>
      </c>
      <c r="S664" t="str">
        <f>TEXT(Table2[[#This Row],[Start_Date]],"MMM")</f>
        <v>Feb</v>
      </c>
      <c r="T664">
        <f>YEAR(Table2[[#This Row],[Start_Date]])</f>
        <v>2026</v>
      </c>
      <c r="U664">
        <f>Table2[[#This Row],[Campaign_Cost (₹)]]/Table2[[#This Row],[Reach]]</f>
        <v>1.0149690214027762</v>
      </c>
      <c r="V664">
        <f>Table2[[#This Row],[Revenue_Generated (₹)]]/Table2[[#This Row],[Reach]]</f>
        <v>2.858171752688099</v>
      </c>
    </row>
    <row r="665" spans="1:22" x14ac:dyDescent="0.3">
      <c r="A665" t="s">
        <v>716</v>
      </c>
      <c r="B665" t="s">
        <v>45</v>
      </c>
      <c r="C665" t="s">
        <v>37</v>
      </c>
      <c r="D665" t="s">
        <v>58</v>
      </c>
      <c r="E665">
        <v>79481</v>
      </c>
      <c r="F665">
        <v>70007</v>
      </c>
      <c r="G665">
        <v>198120</v>
      </c>
      <c r="H665">
        <v>2253</v>
      </c>
      <c r="I665">
        <v>78</v>
      </c>
      <c r="J665">
        <v>103</v>
      </c>
      <c r="K665">
        <f t="shared" si="20"/>
        <v>3.4767951776250943</v>
      </c>
      <c r="L665">
        <v>226718</v>
      </c>
      <c r="M665">
        <v>689459</v>
      </c>
      <c r="N665">
        <f t="shared" si="21"/>
        <v>204.10421757425524</v>
      </c>
      <c r="O665" s="4">
        <v>46122</v>
      </c>
      <c r="P665" s="4">
        <v>46138</v>
      </c>
      <c r="Q665" t="s">
        <v>47</v>
      </c>
      <c r="R665">
        <f>Table2[[#This Row],[End_Date]]-Table2[[#This Row],[Start_Date]]</f>
        <v>16</v>
      </c>
      <c r="S665" t="str">
        <f>TEXT(Table2[[#This Row],[Start_Date]],"MMM")</f>
        <v>Apr</v>
      </c>
      <c r="T665">
        <f>YEAR(Table2[[#This Row],[Start_Date]])</f>
        <v>2026</v>
      </c>
      <c r="U665">
        <f>Table2[[#This Row],[Campaign_Cost (₹)]]/Table2[[#This Row],[Reach]]</f>
        <v>3.2385047209564757</v>
      </c>
      <c r="V665">
        <f>Table2[[#This Row],[Revenue_Generated (₹)]]/Table2[[#This Row],[Reach]]</f>
        <v>9.8484294427700085</v>
      </c>
    </row>
    <row r="666" spans="1:22" x14ac:dyDescent="0.3">
      <c r="A666" t="s">
        <v>717</v>
      </c>
      <c r="B666" t="s">
        <v>36</v>
      </c>
      <c r="C666" t="s">
        <v>37</v>
      </c>
      <c r="D666" t="s">
        <v>46</v>
      </c>
      <c r="E666">
        <v>1350609</v>
      </c>
      <c r="F666">
        <v>1161497</v>
      </c>
      <c r="G666">
        <v>2329385</v>
      </c>
      <c r="H666">
        <v>106130</v>
      </c>
      <c r="I666">
        <v>4859</v>
      </c>
      <c r="J666">
        <v>9799</v>
      </c>
      <c r="K666">
        <f t="shared" si="20"/>
        <v>10.399338095578377</v>
      </c>
      <c r="L666">
        <v>28066</v>
      </c>
      <c r="M666">
        <v>88105</v>
      </c>
      <c r="N666">
        <f t="shared" si="21"/>
        <v>213.92075821278414</v>
      </c>
      <c r="O666" s="4">
        <v>45959</v>
      </c>
      <c r="P666" s="4">
        <v>45982</v>
      </c>
      <c r="Q666" t="s">
        <v>25</v>
      </c>
      <c r="R666">
        <f>Table2[[#This Row],[End_Date]]-Table2[[#This Row],[Start_Date]]</f>
        <v>23</v>
      </c>
      <c r="S666" t="str">
        <f>TEXT(Table2[[#This Row],[Start_Date]],"MMM")</f>
        <v>Oct</v>
      </c>
      <c r="T666">
        <f>YEAR(Table2[[#This Row],[Start_Date]])</f>
        <v>2025</v>
      </c>
      <c r="U666">
        <f>Table2[[#This Row],[Campaign_Cost (₹)]]/Table2[[#This Row],[Reach]]</f>
        <v>2.4163643987027087E-2</v>
      </c>
      <c r="V666">
        <f>Table2[[#This Row],[Revenue_Generated (₹)]]/Table2[[#This Row],[Reach]]</f>
        <v>7.5854694415913262E-2</v>
      </c>
    </row>
    <row r="667" spans="1:22" x14ac:dyDescent="0.3">
      <c r="A667" t="s">
        <v>718</v>
      </c>
      <c r="B667" t="s">
        <v>39</v>
      </c>
      <c r="C667" t="s">
        <v>28</v>
      </c>
      <c r="D667" t="s">
        <v>46</v>
      </c>
      <c r="E667">
        <v>127361</v>
      </c>
      <c r="F667">
        <v>55841</v>
      </c>
      <c r="G667">
        <v>89713</v>
      </c>
      <c r="H667">
        <v>3308</v>
      </c>
      <c r="I667">
        <v>257</v>
      </c>
      <c r="J667">
        <v>178</v>
      </c>
      <c r="K667">
        <f t="shared" si="20"/>
        <v>6.7029601905410008</v>
      </c>
      <c r="L667">
        <v>370770</v>
      </c>
      <c r="M667">
        <v>1650198</v>
      </c>
      <c r="N667">
        <f t="shared" si="21"/>
        <v>345.07322598915772</v>
      </c>
      <c r="O667" s="4">
        <v>45829</v>
      </c>
      <c r="P667" s="4">
        <v>45850</v>
      </c>
      <c r="Q667" t="s">
        <v>54</v>
      </c>
      <c r="R667">
        <f>Table2[[#This Row],[End_Date]]-Table2[[#This Row],[Start_Date]]</f>
        <v>21</v>
      </c>
      <c r="S667" t="str">
        <f>TEXT(Table2[[#This Row],[Start_Date]],"MMM")</f>
        <v>Jun</v>
      </c>
      <c r="T667">
        <f>YEAR(Table2[[#This Row],[Start_Date]])</f>
        <v>2025</v>
      </c>
      <c r="U667">
        <f>Table2[[#This Row],[Campaign_Cost (₹)]]/Table2[[#This Row],[Reach]]</f>
        <v>6.6397449902401462</v>
      </c>
      <c r="V667">
        <f>Table2[[#This Row],[Revenue_Generated (₹)]]/Table2[[#This Row],[Reach]]</f>
        <v>29.551727225515304</v>
      </c>
    </row>
    <row r="668" spans="1:22" x14ac:dyDescent="0.3">
      <c r="A668" t="s">
        <v>719</v>
      </c>
      <c r="B668" t="s">
        <v>75</v>
      </c>
      <c r="C668" t="s">
        <v>19</v>
      </c>
      <c r="D668" t="s">
        <v>40</v>
      </c>
      <c r="E668">
        <v>911874</v>
      </c>
      <c r="F668">
        <v>394532</v>
      </c>
      <c r="G668">
        <v>922262</v>
      </c>
      <c r="H668">
        <v>29722</v>
      </c>
      <c r="I668">
        <v>1730</v>
      </c>
      <c r="J668">
        <v>1099</v>
      </c>
      <c r="K668">
        <f t="shared" si="20"/>
        <v>8.2505348108645187</v>
      </c>
      <c r="L668">
        <v>245517</v>
      </c>
      <c r="M668">
        <v>1073856</v>
      </c>
      <c r="N668">
        <f t="shared" si="21"/>
        <v>337.38559855325701</v>
      </c>
      <c r="O668" s="4">
        <v>45727</v>
      </c>
      <c r="P668" s="4">
        <v>45748</v>
      </c>
      <c r="Q668" t="s">
        <v>21</v>
      </c>
      <c r="R668">
        <f>Table2[[#This Row],[End_Date]]-Table2[[#This Row],[Start_Date]]</f>
        <v>21</v>
      </c>
      <c r="S668" t="str">
        <f>TEXT(Table2[[#This Row],[Start_Date]],"MMM")</f>
        <v>Mar</v>
      </c>
      <c r="T668">
        <f>YEAR(Table2[[#This Row],[Start_Date]])</f>
        <v>2025</v>
      </c>
      <c r="U668">
        <f>Table2[[#This Row],[Campaign_Cost (₹)]]/Table2[[#This Row],[Reach]]</f>
        <v>0.62229933186661668</v>
      </c>
      <c r="V668">
        <f>Table2[[#This Row],[Revenue_Generated (₹)]]/Table2[[#This Row],[Reach]]</f>
        <v>2.7218476574777206</v>
      </c>
    </row>
    <row r="669" spans="1:22" x14ac:dyDescent="0.3">
      <c r="A669" t="s">
        <v>720</v>
      </c>
      <c r="B669" t="s">
        <v>32</v>
      </c>
      <c r="C669" t="s">
        <v>28</v>
      </c>
      <c r="D669" t="s">
        <v>20</v>
      </c>
      <c r="E669">
        <v>958820</v>
      </c>
      <c r="F669">
        <v>470105</v>
      </c>
      <c r="G669">
        <v>553807</v>
      </c>
      <c r="H669">
        <v>14161</v>
      </c>
      <c r="I669">
        <v>1194</v>
      </c>
      <c r="J669">
        <v>311</v>
      </c>
      <c r="K669">
        <f t="shared" si="20"/>
        <v>3.3324470065198204</v>
      </c>
      <c r="L669">
        <v>258353</v>
      </c>
      <c r="M669">
        <v>659753</v>
      </c>
      <c r="N669">
        <f t="shared" si="21"/>
        <v>155.36881708360266</v>
      </c>
      <c r="O669" s="4">
        <v>45786</v>
      </c>
      <c r="P669" s="4">
        <v>45808</v>
      </c>
      <c r="Q669" t="s">
        <v>41</v>
      </c>
      <c r="R669">
        <f>Table2[[#This Row],[End_Date]]-Table2[[#This Row],[Start_Date]]</f>
        <v>22</v>
      </c>
      <c r="S669" t="str">
        <f>TEXT(Table2[[#This Row],[Start_Date]],"MMM")</f>
        <v>May</v>
      </c>
      <c r="T669">
        <f>YEAR(Table2[[#This Row],[Start_Date]])</f>
        <v>2025</v>
      </c>
      <c r="U669">
        <f>Table2[[#This Row],[Campaign_Cost (₹)]]/Table2[[#This Row],[Reach]]</f>
        <v>0.54956445900383954</v>
      </c>
      <c r="V669">
        <f>Table2[[#This Row],[Revenue_Generated (₹)]]/Table2[[#This Row],[Reach]]</f>
        <v>1.4034162580700056</v>
      </c>
    </row>
    <row r="670" spans="1:22" x14ac:dyDescent="0.3">
      <c r="A670" t="s">
        <v>721</v>
      </c>
      <c r="B670" t="s">
        <v>63</v>
      </c>
      <c r="C670" t="s">
        <v>19</v>
      </c>
      <c r="D670" t="s">
        <v>58</v>
      </c>
      <c r="E670">
        <v>1093345</v>
      </c>
      <c r="F670">
        <v>416123</v>
      </c>
      <c r="G670">
        <v>897956</v>
      </c>
      <c r="H670">
        <v>14888</v>
      </c>
      <c r="I670">
        <v>1739</v>
      </c>
      <c r="J670">
        <v>1420</v>
      </c>
      <c r="K670">
        <f t="shared" si="20"/>
        <v>4.3369388377955556</v>
      </c>
      <c r="L670">
        <v>163008</v>
      </c>
      <c r="M670">
        <v>285653</v>
      </c>
      <c r="N670">
        <f t="shared" si="21"/>
        <v>75.238638594424813</v>
      </c>
      <c r="O670" s="4">
        <v>46035</v>
      </c>
      <c r="P670" s="4">
        <v>46061</v>
      </c>
      <c r="Q670" t="s">
        <v>41</v>
      </c>
      <c r="R670">
        <f>Table2[[#This Row],[End_Date]]-Table2[[#This Row],[Start_Date]]</f>
        <v>26</v>
      </c>
      <c r="S670" t="str">
        <f>TEXT(Table2[[#This Row],[Start_Date]],"MMM")</f>
        <v>Jan</v>
      </c>
      <c r="T670">
        <f>YEAR(Table2[[#This Row],[Start_Date]])</f>
        <v>2026</v>
      </c>
      <c r="U670">
        <f>Table2[[#This Row],[Campaign_Cost (₹)]]/Table2[[#This Row],[Reach]]</f>
        <v>0.39173032973423721</v>
      </c>
      <c r="V670">
        <f>Table2[[#This Row],[Revenue_Generated (₹)]]/Table2[[#This Row],[Reach]]</f>
        <v>0.68646289678772865</v>
      </c>
    </row>
    <row r="671" spans="1:22" x14ac:dyDescent="0.3">
      <c r="A671" t="s">
        <v>722</v>
      </c>
      <c r="B671" t="s">
        <v>75</v>
      </c>
      <c r="C671" t="s">
        <v>43</v>
      </c>
      <c r="D671" t="s">
        <v>20</v>
      </c>
      <c r="E671">
        <v>625302</v>
      </c>
      <c r="F671">
        <v>517137</v>
      </c>
      <c r="G671">
        <v>1078426</v>
      </c>
      <c r="H671">
        <v>29781</v>
      </c>
      <c r="I671">
        <v>3040</v>
      </c>
      <c r="J671">
        <v>2582</v>
      </c>
      <c r="K671">
        <f t="shared" si="20"/>
        <v>6.8459615150337338</v>
      </c>
      <c r="L671">
        <v>191494</v>
      </c>
      <c r="M671">
        <v>696811</v>
      </c>
      <c r="N671">
        <f t="shared" si="21"/>
        <v>263.88137487336417</v>
      </c>
      <c r="O671" s="4">
        <v>45945</v>
      </c>
      <c r="P671" s="4">
        <v>45969</v>
      </c>
      <c r="Q671" t="s">
        <v>54</v>
      </c>
      <c r="R671">
        <f>Table2[[#This Row],[End_Date]]-Table2[[#This Row],[Start_Date]]</f>
        <v>24</v>
      </c>
      <c r="S671" t="str">
        <f>TEXT(Table2[[#This Row],[Start_Date]],"MMM")</f>
        <v>Oct</v>
      </c>
      <c r="T671">
        <f>YEAR(Table2[[#This Row],[Start_Date]])</f>
        <v>2025</v>
      </c>
      <c r="U671">
        <f>Table2[[#This Row],[Campaign_Cost (₹)]]/Table2[[#This Row],[Reach]]</f>
        <v>0.37029645915879156</v>
      </c>
      <c r="V671">
        <f>Table2[[#This Row],[Revenue_Generated (₹)]]/Table2[[#This Row],[Reach]]</f>
        <v>1.3474398466943962</v>
      </c>
    </row>
    <row r="672" spans="1:22" x14ac:dyDescent="0.3">
      <c r="A672" t="s">
        <v>723</v>
      </c>
      <c r="B672" t="s">
        <v>39</v>
      </c>
      <c r="C672" t="s">
        <v>28</v>
      </c>
      <c r="D672" t="s">
        <v>51</v>
      </c>
      <c r="E672">
        <v>838994</v>
      </c>
      <c r="F672">
        <v>426592</v>
      </c>
      <c r="G672">
        <v>770647</v>
      </c>
      <c r="H672">
        <v>10493</v>
      </c>
      <c r="I672">
        <v>1492</v>
      </c>
      <c r="J672">
        <v>418</v>
      </c>
      <c r="K672">
        <f t="shared" si="20"/>
        <v>2.9074619308378966</v>
      </c>
      <c r="L672">
        <v>159125</v>
      </c>
      <c r="M672">
        <v>251832</v>
      </c>
      <c r="N672">
        <f t="shared" si="21"/>
        <v>58.260487038491746</v>
      </c>
      <c r="O672" s="4">
        <v>45806</v>
      </c>
      <c r="P672" s="4">
        <v>45822</v>
      </c>
      <c r="Q672" t="s">
        <v>34</v>
      </c>
      <c r="R672">
        <f>Table2[[#This Row],[End_Date]]-Table2[[#This Row],[Start_Date]]</f>
        <v>16</v>
      </c>
      <c r="S672" t="str">
        <f>TEXT(Table2[[#This Row],[Start_Date]],"MMM")</f>
        <v>May</v>
      </c>
      <c r="T672">
        <f>YEAR(Table2[[#This Row],[Start_Date]])</f>
        <v>2025</v>
      </c>
      <c r="U672">
        <f>Table2[[#This Row],[Campaign_Cost (₹)]]/Table2[[#This Row],[Reach]]</f>
        <v>0.37301449628685018</v>
      </c>
      <c r="V672">
        <f>Table2[[#This Row],[Revenue_Generated (₹)]]/Table2[[#This Row],[Reach]]</f>
        <v>0.59033455854774586</v>
      </c>
    </row>
    <row r="673" spans="1:22" x14ac:dyDescent="0.3">
      <c r="A673" t="s">
        <v>724</v>
      </c>
      <c r="B673" t="s">
        <v>18</v>
      </c>
      <c r="C673" t="s">
        <v>43</v>
      </c>
      <c r="D673" t="s">
        <v>29</v>
      </c>
      <c r="E673">
        <v>1252263</v>
      </c>
      <c r="F673">
        <v>498346</v>
      </c>
      <c r="G673">
        <v>882210</v>
      </c>
      <c r="H673">
        <v>67709</v>
      </c>
      <c r="I673">
        <v>3260</v>
      </c>
      <c r="J673">
        <v>4108</v>
      </c>
      <c r="K673">
        <f t="shared" si="20"/>
        <v>15.065235800026489</v>
      </c>
      <c r="L673">
        <v>344798</v>
      </c>
      <c r="M673">
        <v>1626406</v>
      </c>
      <c r="N673">
        <f t="shared" si="21"/>
        <v>371.69821170656439</v>
      </c>
      <c r="O673" s="4">
        <v>46067</v>
      </c>
      <c r="P673" s="4">
        <v>46083</v>
      </c>
      <c r="Q673" t="s">
        <v>21</v>
      </c>
      <c r="R673">
        <f>Table2[[#This Row],[End_Date]]-Table2[[#This Row],[Start_Date]]</f>
        <v>16</v>
      </c>
      <c r="S673" t="str">
        <f>TEXT(Table2[[#This Row],[Start_Date]],"MMM")</f>
        <v>Feb</v>
      </c>
      <c r="T673">
        <f>YEAR(Table2[[#This Row],[Start_Date]])</f>
        <v>2026</v>
      </c>
      <c r="U673">
        <f>Table2[[#This Row],[Campaign_Cost (₹)]]/Table2[[#This Row],[Reach]]</f>
        <v>0.69188475476877509</v>
      </c>
      <c r="V673">
        <f>Table2[[#This Row],[Revenue_Generated (₹)]]/Table2[[#This Row],[Reach]]</f>
        <v>3.2636080153146607</v>
      </c>
    </row>
    <row r="674" spans="1:22" x14ac:dyDescent="0.3">
      <c r="A674" t="s">
        <v>725</v>
      </c>
      <c r="B674" t="s">
        <v>103</v>
      </c>
      <c r="C674" t="s">
        <v>19</v>
      </c>
      <c r="D674" t="s">
        <v>20</v>
      </c>
      <c r="E674">
        <v>1759010</v>
      </c>
      <c r="F674">
        <v>893404</v>
      </c>
      <c r="G674">
        <v>1634114</v>
      </c>
      <c r="H674">
        <v>88997</v>
      </c>
      <c r="I674">
        <v>10076</v>
      </c>
      <c r="J674">
        <v>2541</v>
      </c>
      <c r="K674">
        <f t="shared" si="20"/>
        <v>11.373801773889527</v>
      </c>
      <c r="L674">
        <v>396496</v>
      </c>
      <c r="M674">
        <v>639713</v>
      </c>
      <c r="N674">
        <f t="shared" si="21"/>
        <v>61.341602437351192</v>
      </c>
      <c r="O674" s="4">
        <v>45769</v>
      </c>
      <c r="P674" s="4">
        <v>45786</v>
      </c>
      <c r="Q674" t="s">
        <v>25</v>
      </c>
      <c r="R674">
        <f>Table2[[#This Row],[End_Date]]-Table2[[#This Row],[Start_Date]]</f>
        <v>17</v>
      </c>
      <c r="S674" t="str">
        <f>TEXT(Table2[[#This Row],[Start_Date]],"MMM")</f>
        <v>Apr</v>
      </c>
      <c r="T674">
        <f>YEAR(Table2[[#This Row],[Start_Date]])</f>
        <v>2025</v>
      </c>
      <c r="U674">
        <f>Table2[[#This Row],[Campaign_Cost (₹)]]/Table2[[#This Row],[Reach]]</f>
        <v>0.44380369911036888</v>
      </c>
      <c r="V674">
        <f>Table2[[#This Row],[Revenue_Generated (₹)]]/Table2[[#This Row],[Reach]]</f>
        <v>0.71603999982090971</v>
      </c>
    </row>
    <row r="675" spans="1:22" x14ac:dyDescent="0.3">
      <c r="A675" t="s">
        <v>726</v>
      </c>
      <c r="B675" t="s">
        <v>36</v>
      </c>
      <c r="C675" t="s">
        <v>43</v>
      </c>
      <c r="D675" t="s">
        <v>58</v>
      </c>
      <c r="E675">
        <v>347852</v>
      </c>
      <c r="F675">
        <v>157693</v>
      </c>
      <c r="G675">
        <v>217521</v>
      </c>
      <c r="H675">
        <v>10110</v>
      </c>
      <c r="I675">
        <v>395</v>
      </c>
      <c r="J675">
        <v>284</v>
      </c>
      <c r="K675">
        <f t="shared" si="20"/>
        <v>6.8417748409885029</v>
      </c>
      <c r="L675">
        <v>14114</v>
      </c>
      <c r="M675">
        <v>50437</v>
      </c>
      <c r="N675">
        <f t="shared" si="21"/>
        <v>257.3543998866374</v>
      </c>
      <c r="O675" s="4">
        <v>46051</v>
      </c>
      <c r="P675" s="4">
        <v>46078</v>
      </c>
      <c r="Q675" t="s">
        <v>54</v>
      </c>
      <c r="R675">
        <f>Table2[[#This Row],[End_Date]]-Table2[[#This Row],[Start_Date]]</f>
        <v>27</v>
      </c>
      <c r="S675" t="str">
        <f>TEXT(Table2[[#This Row],[Start_Date]],"MMM")</f>
        <v>Jan</v>
      </c>
      <c r="T675">
        <f>YEAR(Table2[[#This Row],[Start_Date]])</f>
        <v>2026</v>
      </c>
      <c r="U675">
        <f>Table2[[#This Row],[Campaign_Cost (₹)]]/Table2[[#This Row],[Reach]]</f>
        <v>8.9503021694051096E-2</v>
      </c>
      <c r="V675">
        <f>Table2[[#This Row],[Revenue_Generated (₹)]]/Table2[[#This Row],[Reach]]</f>
        <v>0.31984298605518319</v>
      </c>
    </row>
    <row r="676" spans="1:22" x14ac:dyDescent="0.3">
      <c r="A676" t="s">
        <v>727</v>
      </c>
      <c r="B676" t="s">
        <v>75</v>
      </c>
      <c r="C676" t="s">
        <v>19</v>
      </c>
      <c r="D676" t="s">
        <v>51</v>
      </c>
      <c r="E676">
        <v>1723209</v>
      </c>
      <c r="F676">
        <v>1454661</v>
      </c>
      <c r="G676">
        <v>3162446</v>
      </c>
      <c r="H676">
        <v>62259</v>
      </c>
      <c r="I676">
        <v>6272</v>
      </c>
      <c r="J676">
        <v>3318</v>
      </c>
      <c r="K676">
        <f t="shared" si="20"/>
        <v>4.9392263902036282</v>
      </c>
      <c r="L676">
        <v>339665</v>
      </c>
      <c r="M676">
        <v>740546</v>
      </c>
      <c r="N676">
        <f t="shared" si="21"/>
        <v>118.02246330943724</v>
      </c>
      <c r="O676" s="4">
        <v>46125</v>
      </c>
      <c r="P676" s="4">
        <v>46153</v>
      </c>
      <c r="Q676" t="s">
        <v>25</v>
      </c>
      <c r="R676">
        <f>Table2[[#This Row],[End_Date]]-Table2[[#This Row],[Start_Date]]</f>
        <v>28</v>
      </c>
      <c r="S676" t="str">
        <f>TEXT(Table2[[#This Row],[Start_Date]],"MMM")</f>
        <v>Apr</v>
      </c>
      <c r="T676">
        <f>YEAR(Table2[[#This Row],[Start_Date]])</f>
        <v>2026</v>
      </c>
      <c r="U676">
        <f>Table2[[#This Row],[Campaign_Cost (₹)]]/Table2[[#This Row],[Reach]]</f>
        <v>0.23350113875329029</v>
      </c>
      <c r="V676">
        <f>Table2[[#This Row],[Revenue_Generated (₹)]]/Table2[[#This Row],[Reach]]</f>
        <v>0.50908493456551041</v>
      </c>
    </row>
    <row r="677" spans="1:22" x14ac:dyDescent="0.3">
      <c r="A677" t="s">
        <v>728</v>
      </c>
      <c r="B677" t="s">
        <v>23</v>
      </c>
      <c r="C677" t="s">
        <v>43</v>
      </c>
      <c r="D677" t="s">
        <v>51</v>
      </c>
      <c r="E677">
        <v>1147990</v>
      </c>
      <c r="F677">
        <v>458689</v>
      </c>
      <c r="G677">
        <v>596105</v>
      </c>
      <c r="H677">
        <v>22540</v>
      </c>
      <c r="I677">
        <v>3070</v>
      </c>
      <c r="J677">
        <v>2134</v>
      </c>
      <c r="K677">
        <f t="shared" si="20"/>
        <v>6.0485426945054277</v>
      </c>
      <c r="L677">
        <v>214161</v>
      </c>
      <c r="M677">
        <v>759650</v>
      </c>
      <c r="N677">
        <f t="shared" si="21"/>
        <v>254.70977442204696</v>
      </c>
      <c r="O677" s="4">
        <v>46144</v>
      </c>
      <c r="P677" s="4">
        <v>46174</v>
      </c>
      <c r="Q677" t="s">
        <v>78</v>
      </c>
      <c r="R677">
        <f>Table2[[#This Row],[End_Date]]-Table2[[#This Row],[Start_Date]]</f>
        <v>30</v>
      </c>
      <c r="S677" t="str">
        <f>TEXT(Table2[[#This Row],[Start_Date]],"MMM")</f>
        <v>May</v>
      </c>
      <c r="T677">
        <f>YEAR(Table2[[#This Row],[Start_Date]])</f>
        <v>2026</v>
      </c>
      <c r="U677">
        <f>Table2[[#This Row],[Campaign_Cost (₹)]]/Table2[[#This Row],[Reach]]</f>
        <v>0.46689805074898244</v>
      </c>
      <c r="V677">
        <f>Table2[[#This Row],[Revenue_Generated (₹)]]/Table2[[#This Row],[Reach]]</f>
        <v>1.6561330225926498</v>
      </c>
    </row>
    <row r="678" spans="1:22" x14ac:dyDescent="0.3">
      <c r="A678" t="s">
        <v>729</v>
      </c>
      <c r="B678" t="s">
        <v>53</v>
      </c>
      <c r="C678" t="s">
        <v>37</v>
      </c>
      <c r="D678" t="s">
        <v>24</v>
      </c>
      <c r="E678">
        <v>800907</v>
      </c>
      <c r="F678">
        <v>245200</v>
      </c>
      <c r="G678">
        <v>679711</v>
      </c>
      <c r="H678">
        <v>15717</v>
      </c>
      <c r="I678">
        <v>976</v>
      </c>
      <c r="J678">
        <v>917</v>
      </c>
      <c r="K678">
        <f t="shared" si="20"/>
        <v>7.181892332789559</v>
      </c>
      <c r="L678">
        <v>299512</v>
      </c>
      <c r="M678">
        <v>558669</v>
      </c>
      <c r="N678">
        <f t="shared" si="21"/>
        <v>86.526416303854276</v>
      </c>
      <c r="O678" s="4">
        <v>45946</v>
      </c>
      <c r="P678" s="4">
        <v>45972</v>
      </c>
      <c r="Q678" t="s">
        <v>21</v>
      </c>
      <c r="R678">
        <f>Table2[[#This Row],[End_Date]]-Table2[[#This Row],[Start_Date]]</f>
        <v>26</v>
      </c>
      <c r="S678" t="str">
        <f>TEXT(Table2[[#This Row],[Start_Date]],"MMM")</f>
        <v>Oct</v>
      </c>
      <c r="T678">
        <f>YEAR(Table2[[#This Row],[Start_Date]])</f>
        <v>2025</v>
      </c>
      <c r="U678">
        <f>Table2[[#This Row],[Campaign_Cost (₹)]]/Table2[[#This Row],[Reach]]</f>
        <v>1.2215008156606852</v>
      </c>
      <c r="V678">
        <f>Table2[[#This Row],[Revenue_Generated (₹)]]/Table2[[#This Row],[Reach]]</f>
        <v>2.2784216965742252</v>
      </c>
    </row>
    <row r="679" spans="1:22" x14ac:dyDescent="0.3">
      <c r="A679" t="s">
        <v>730</v>
      </c>
      <c r="B679" t="s">
        <v>36</v>
      </c>
      <c r="C679" t="s">
        <v>37</v>
      </c>
      <c r="D679" t="s">
        <v>51</v>
      </c>
      <c r="E679">
        <v>1606534</v>
      </c>
      <c r="F679">
        <v>923130</v>
      </c>
      <c r="G679">
        <v>1134597</v>
      </c>
      <c r="H679">
        <v>109538</v>
      </c>
      <c r="I679">
        <v>12521</v>
      </c>
      <c r="J679">
        <v>9716</v>
      </c>
      <c r="K679">
        <f t="shared" si="20"/>
        <v>14.274804198758574</v>
      </c>
      <c r="L679">
        <v>285187</v>
      </c>
      <c r="M679">
        <v>627836</v>
      </c>
      <c r="N679">
        <f t="shared" si="21"/>
        <v>120.1488847668372</v>
      </c>
      <c r="O679" s="4">
        <v>46138</v>
      </c>
      <c r="P679" s="4">
        <v>46148</v>
      </c>
      <c r="Q679" t="s">
        <v>30</v>
      </c>
      <c r="R679">
        <f>Table2[[#This Row],[End_Date]]-Table2[[#This Row],[Start_Date]]</f>
        <v>10</v>
      </c>
      <c r="S679" t="str">
        <f>TEXT(Table2[[#This Row],[Start_Date]],"MMM")</f>
        <v>Apr</v>
      </c>
      <c r="T679">
        <f>YEAR(Table2[[#This Row],[Start_Date]])</f>
        <v>2026</v>
      </c>
      <c r="U679">
        <f>Table2[[#This Row],[Campaign_Cost (₹)]]/Table2[[#This Row],[Reach]]</f>
        <v>0.30893481958120739</v>
      </c>
      <c r="V679">
        <f>Table2[[#This Row],[Revenue_Generated (₹)]]/Table2[[#This Row],[Reach]]</f>
        <v>0.68011655996446874</v>
      </c>
    </row>
    <row r="680" spans="1:22" x14ac:dyDescent="0.3">
      <c r="A680" t="s">
        <v>731</v>
      </c>
      <c r="B680" t="s">
        <v>32</v>
      </c>
      <c r="C680" t="s">
        <v>43</v>
      </c>
      <c r="D680" t="s">
        <v>29</v>
      </c>
      <c r="E680">
        <v>277820</v>
      </c>
      <c r="F680">
        <v>191680</v>
      </c>
      <c r="G680">
        <v>364637</v>
      </c>
      <c r="H680">
        <v>11375</v>
      </c>
      <c r="I680">
        <v>777</v>
      </c>
      <c r="J680">
        <v>876</v>
      </c>
      <c r="K680">
        <f t="shared" si="20"/>
        <v>6.796744574290484</v>
      </c>
      <c r="L680">
        <v>486467</v>
      </c>
      <c r="M680">
        <v>718527</v>
      </c>
      <c r="N680">
        <f t="shared" si="21"/>
        <v>47.703132997716189</v>
      </c>
      <c r="O680" s="4">
        <v>45854</v>
      </c>
      <c r="P680" s="4">
        <v>45868</v>
      </c>
      <c r="Q680" t="s">
        <v>30</v>
      </c>
      <c r="R680">
        <f>Table2[[#This Row],[End_Date]]-Table2[[#This Row],[Start_Date]]</f>
        <v>14</v>
      </c>
      <c r="S680" t="str">
        <f>TEXT(Table2[[#This Row],[Start_Date]],"MMM")</f>
        <v>Jul</v>
      </c>
      <c r="T680">
        <f>YEAR(Table2[[#This Row],[Start_Date]])</f>
        <v>2025</v>
      </c>
      <c r="U680">
        <f>Table2[[#This Row],[Campaign_Cost (₹)]]/Table2[[#This Row],[Reach]]</f>
        <v>2.5379121452420703</v>
      </c>
      <c r="V680">
        <f>Table2[[#This Row],[Revenue_Generated (₹)]]/Table2[[#This Row],[Reach]]</f>
        <v>3.748575751252087</v>
      </c>
    </row>
    <row r="681" spans="1:22" x14ac:dyDescent="0.3">
      <c r="A681" t="s">
        <v>732</v>
      </c>
      <c r="B681" t="s">
        <v>80</v>
      </c>
      <c r="C681" t="s">
        <v>33</v>
      </c>
      <c r="D681" t="s">
        <v>72</v>
      </c>
      <c r="E681">
        <v>1481016</v>
      </c>
      <c r="F681">
        <v>1148324</v>
      </c>
      <c r="G681">
        <v>2025891</v>
      </c>
      <c r="H681">
        <v>126241</v>
      </c>
      <c r="I681">
        <v>9903</v>
      </c>
      <c r="J681">
        <v>5596</v>
      </c>
      <c r="K681">
        <f t="shared" si="20"/>
        <v>12.34320627279409</v>
      </c>
      <c r="L681">
        <v>407394</v>
      </c>
      <c r="M681">
        <v>1074006</v>
      </c>
      <c r="N681">
        <f t="shared" si="21"/>
        <v>163.62833031414306</v>
      </c>
      <c r="O681" s="4">
        <v>45723</v>
      </c>
      <c r="P681" s="4">
        <v>45733</v>
      </c>
      <c r="Q681" t="s">
        <v>54</v>
      </c>
      <c r="R681">
        <f>Table2[[#This Row],[End_Date]]-Table2[[#This Row],[Start_Date]]</f>
        <v>10</v>
      </c>
      <c r="S681" t="str">
        <f>TEXT(Table2[[#This Row],[Start_Date]],"MMM")</f>
        <v>Mar</v>
      </c>
      <c r="T681">
        <f>YEAR(Table2[[#This Row],[Start_Date]])</f>
        <v>2025</v>
      </c>
      <c r="U681">
        <f>Table2[[#This Row],[Campaign_Cost (₹)]]/Table2[[#This Row],[Reach]]</f>
        <v>0.35477269481435553</v>
      </c>
      <c r="V681">
        <f>Table2[[#This Row],[Revenue_Generated (₹)]]/Table2[[#This Row],[Reach]]</f>
        <v>0.93528133174957595</v>
      </c>
    </row>
    <row r="682" spans="1:22" x14ac:dyDescent="0.3">
      <c r="A682" t="s">
        <v>733</v>
      </c>
      <c r="B682" t="s">
        <v>57</v>
      </c>
      <c r="C682" t="s">
        <v>19</v>
      </c>
      <c r="D682" t="s">
        <v>51</v>
      </c>
      <c r="E682">
        <v>1147071</v>
      </c>
      <c r="F682">
        <v>753859</v>
      </c>
      <c r="G682">
        <v>875001</v>
      </c>
      <c r="H682">
        <v>80605</v>
      </c>
      <c r="I682">
        <v>11137</v>
      </c>
      <c r="J682">
        <v>5178</v>
      </c>
      <c r="K682">
        <f t="shared" si="20"/>
        <v>12.856515608356469</v>
      </c>
      <c r="L682">
        <v>291157</v>
      </c>
      <c r="M682">
        <v>1018870</v>
      </c>
      <c r="N682">
        <f t="shared" si="21"/>
        <v>249.93834941285974</v>
      </c>
      <c r="O682" s="4">
        <v>45700</v>
      </c>
      <c r="P682" s="4">
        <v>45722</v>
      </c>
      <c r="Q682" t="s">
        <v>25</v>
      </c>
      <c r="R682">
        <f>Table2[[#This Row],[End_Date]]-Table2[[#This Row],[Start_Date]]</f>
        <v>22</v>
      </c>
      <c r="S682" t="str">
        <f>TEXT(Table2[[#This Row],[Start_Date]],"MMM")</f>
        <v>Feb</v>
      </c>
      <c r="T682">
        <f>YEAR(Table2[[#This Row],[Start_Date]])</f>
        <v>2025</v>
      </c>
      <c r="U682">
        <f>Table2[[#This Row],[Campaign_Cost (₹)]]/Table2[[#This Row],[Reach]]</f>
        <v>0.38622209192965795</v>
      </c>
      <c r="V682">
        <f>Table2[[#This Row],[Revenue_Generated (₹)]]/Table2[[#This Row],[Reach]]</f>
        <v>1.3515392135664628</v>
      </c>
    </row>
    <row r="683" spans="1:22" x14ac:dyDescent="0.3">
      <c r="A683" t="s">
        <v>734</v>
      </c>
      <c r="B683" t="s">
        <v>45</v>
      </c>
      <c r="C683" t="s">
        <v>28</v>
      </c>
      <c r="D683" t="s">
        <v>29</v>
      </c>
      <c r="E683">
        <v>264022</v>
      </c>
      <c r="F683">
        <v>192725</v>
      </c>
      <c r="G683">
        <v>253125</v>
      </c>
      <c r="H683">
        <v>11348</v>
      </c>
      <c r="I683">
        <v>1267</v>
      </c>
      <c r="J683">
        <v>446</v>
      </c>
      <c r="K683">
        <f t="shared" si="20"/>
        <v>6.7770138798806583</v>
      </c>
      <c r="L683">
        <v>106236</v>
      </c>
      <c r="M683">
        <v>210321</v>
      </c>
      <c r="N683">
        <f t="shared" si="21"/>
        <v>97.975262622839722</v>
      </c>
      <c r="O683" s="4">
        <v>45981</v>
      </c>
      <c r="P683" s="4">
        <v>46002</v>
      </c>
      <c r="Q683" t="s">
        <v>54</v>
      </c>
      <c r="R683">
        <f>Table2[[#This Row],[End_Date]]-Table2[[#This Row],[Start_Date]]</f>
        <v>21</v>
      </c>
      <c r="S683" t="str">
        <f>TEXT(Table2[[#This Row],[Start_Date]],"MMM")</f>
        <v>Nov</v>
      </c>
      <c r="T683">
        <f>YEAR(Table2[[#This Row],[Start_Date]])</f>
        <v>2025</v>
      </c>
      <c r="U683">
        <f>Table2[[#This Row],[Campaign_Cost (₹)]]/Table2[[#This Row],[Reach]]</f>
        <v>0.55123102866779095</v>
      </c>
      <c r="V683">
        <f>Table2[[#This Row],[Revenue_Generated (₹)]]/Table2[[#This Row],[Reach]]</f>
        <v>1.09130107666364</v>
      </c>
    </row>
    <row r="684" spans="1:22" x14ac:dyDescent="0.3">
      <c r="A684" t="s">
        <v>735</v>
      </c>
      <c r="B684" t="s">
        <v>23</v>
      </c>
      <c r="C684" t="s">
        <v>43</v>
      </c>
      <c r="D684" t="s">
        <v>58</v>
      </c>
      <c r="E684">
        <v>1385607</v>
      </c>
      <c r="F684">
        <v>1245080</v>
      </c>
      <c r="G684">
        <v>2673043</v>
      </c>
      <c r="H684">
        <v>173076</v>
      </c>
      <c r="I684">
        <v>9265</v>
      </c>
      <c r="J684">
        <v>14763</v>
      </c>
      <c r="K684">
        <f t="shared" si="20"/>
        <v>15.830629357149743</v>
      </c>
      <c r="L684">
        <v>82587</v>
      </c>
      <c r="M684">
        <v>379411</v>
      </c>
      <c r="N684">
        <f t="shared" si="21"/>
        <v>359.40765495780209</v>
      </c>
      <c r="O684" s="4">
        <v>46089</v>
      </c>
      <c r="P684" s="4">
        <v>46098</v>
      </c>
      <c r="Q684" t="s">
        <v>21</v>
      </c>
      <c r="R684">
        <f>Table2[[#This Row],[End_Date]]-Table2[[#This Row],[Start_Date]]</f>
        <v>9</v>
      </c>
      <c r="S684" t="str">
        <f>TEXT(Table2[[#This Row],[Start_Date]],"MMM")</f>
        <v>Mar</v>
      </c>
      <c r="T684">
        <f>YEAR(Table2[[#This Row],[Start_Date]])</f>
        <v>2026</v>
      </c>
      <c r="U684">
        <f>Table2[[#This Row],[Campaign_Cost (₹)]]/Table2[[#This Row],[Reach]]</f>
        <v>6.6330677546824299E-2</v>
      </c>
      <c r="V684">
        <f>Table2[[#This Row],[Revenue_Generated (₹)]]/Table2[[#This Row],[Reach]]</f>
        <v>0.30472821023548685</v>
      </c>
    </row>
    <row r="685" spans="1:22" x14ac:dyDescent="0.3">
      <c r="A685" t="s">
        <v>736</v>
      </c>
      <c r="B685" t="s">
        <v>49</v>
      </c>
      <c r="C685" t="s">
        <v>43</v>
      </c>
      <c r="D685" t="s">
        <v>40</v>
      </c>
      <c r="E685">
        <v>1839310</v>
      </c>
      <c r="F685">
        <v>1179134</v>
      </c>
      <c r="G685">
        <v>3386340</v>
      </c>
      <c r="H685">
        <v>117793</v>
      </c>
      <c r="I685">
        <v>9340</v>
      </c>
      <c r="J685">
        <v>7047</v>
      </c>
      <c r="K685">
        <f t="shared" si="20"/>
        <v>11.379537864229173</v>
      </c>
      <c r="L685">
        <v>50918</v>
      </c>
      <c r="M685">
        <v>159416</v>
      </c>
      <c r="N685">
        <f t="shared" si="21"/>
        <v>213.08378176676226</v>
      </c>
      <c r="O685" s="4">
        <v>45786</v>
      </c>
      <c r="P685" s="4">
        <v>45795</v>
      </c>
      <c r="Q685" t="s">
        <v>47</v>
      </c>
      <c r="R685">
        <f>Table2[[#This Row],[End_Date]]-Table2[[#This Row],[Start_Date]]</f>
        <v>9</v>
      </c>
      <c r="S685" t="str">
        <f>TEXT(Table2[[#This Row],[Start_Date]],"MMM")</f>
        <v>May</v>
      </c>
      <c r="T685">
        <f>YEAR(Table2[[#This Row],[Start_Date]])</f>
        <v>2025</v>
      </c>
      <c r="U685">
        <f>Table2[[#This Row],[Campaign_Cost (₹)]]/Table2[[#This Row],[Reach]]</f>
        <v>4.3182539049845058E-2</v>
      </c>
      <c r="V685">
        <f>Table2[[#This Row],[Revenue_Generated (₹)]]/Table2[[#This Row],[Reach]]</f>
        <v>0.13519752632016377</v>
      </c>
    </row>
    <row r="686" spans="1:22" x14ac:dyDescent="0.3">
      <c r="A686" t="s">
        <v>737</v>
      </c>
      <c r="B686" t="s">
        <v>75</v>
      </c>
      <c r="C686" t="s">
        <v>28</v>
      </c>
      <c r="D686" t="s">
        <v>58</v>
      </c>
      <c r="E686">
        <v>640507</v>
      </c>
      <c r="F686">
        <v>384195</v>
      </c>
      <c r="G686">
        <v>773979</v>
      </c>
      <c r="H686">
        <v>54115</v>
      </c>
      <c r="I686">
        <v>7504</v>
      </c>
      <c r="J686">
        <v>1184</v>
      </c>
      <c r="K686">
        <f t="shared" si="20"/>
        <v>16.346646885045356</v>
      </c>
      <c r="L686">
        <v>168890</v>
      </c>
      <c r="M686">
        <v>585275</v>
      </c>
      <c r="N686">
        <f t="shared" si="21"/>
        <v>246.54212801231571</v>
      </c>
      <c r="O686" s="4">
        <v>45760</v>
      </c>
      <c r="P686" s="4">
        <v>45778</v>
      </c>
      <c r="Q686" t="s">
        <v>47</v>
      </c>
      <c r="R686">
        <f>Table2[[#This Row],[End_Date]]-Table2[[#This Row],[Start_Date]]</f>
        <v>18</v>
      </c>
      <c r="S686" t="str">
        <f>TEXT(Table2[[#This Row],[Start_Date]],"MMM")</f>
        <v>Apr</v>
      </c>
      <c r="T686">
        <f>YEAR(Table2[[#This Row],[Start_Date]])</f>
        <v>2025</v>
      </c>
      <c r="U686">
        <f>Table2[[#This Row],[Campaign_Cost (₹)]]/Table2[[#This Row],[Reach]]</f>
        <v>0.43959447676310209</v>
      </c>
      <c r="V686">
        <f>Table2[[#This Row],[Revenue_Generated (₹)]]/Table2[[#This Row],[Reach]]</f>
        <v>1.5233800543994587</v>
      </c>
    </row>
    <row r="687" spans="1:22" x14ac:dyDescent="0.3">
      <c r="A687" t="s">
        <v>738</v>
      </c>
      <c r="B687" t="s">
        <v>63</v>
      </c>
      <c r="C687" t="s">
        <v>33</v>
      </c>
      <c r="D687" t="s">
        <v>20</v>
      </c>
      <c r="E687">
        <v>1282937</v>
      </c>
      <c r="F687">
        <v>476655</v>
      </c>
      <c r="G687">
        <v>1373470</v>
      </c>
      <c r="H687">
        <v>51164</v>
      </c>
      <c r="I687">
        <v>3705</v>
      </c>
      <c r="J687">
        <v>1058</v>
      </c>
      <c r="K687">
        <f t="shared" si="20"/>
        <v>11.73322423975412</v>
      </c>
      <c r="L687">
        <v>441867</v>
      </c>
      <c r="M687">
        <v>1856549</v>
      </c>
      <c r="N687">
        <f t="shared" si="21"/>
        <v>320.16013868426472</v>
      </c>
      <c r="O687" s="4">
        <v>46032</v>
      </c>
      <c r="P687" s="4">
        <v>46040</v>
      </c>
      <c r="Q687" t="s">
        <v>30</v>
      </c>
      <c r="R687">
        <f>Table2[[#This Row],[End_Date]]-Table2[[#This Row],[Start_Date]]</f>
        <v>8</v>
      </c>
      <c r="S687" t="str">
        <f>TEXT(Table2[[#This Row],[Start_Date]],"MMM")</f>
        <v>Jan</v>
      </c>
      <c r="T687">
        <f>YEAR(Table2[[#This Row],[Start_Date]])</f>
        <v>2026</v>
      </c>
      <c r="U687">
        <f>Table2[[#This Row],[Campaign_Cost (₹)]]/Table2[[#This Row],[Reach]]</f>
        <v>0.92701639550618375</v>
      </c>
      <c r="V687">
        <f>Table2[[#This Row],[Revenue_Generated (₹)]]/Table2[[#This Row],[Reach]]</f>
        <v>3.8949533729846535</v>
      </c>
    </row>
    <row r="688" spans="1:22" x14ac:dyDescent="0.3">
      <c r="A688" t="s">
        <v>739</v>
      </c>
      <c r="B688" t="s">
        <v>39</v>
      </c>
      <c r="C688" t="s">
        <v>33</v>
      </c>
      <c r="D688" t="s">
        <v>24</v>
      </c>
      <c r="E688">
        <v>1959193</v>
      </c>
      <c r="F688">
        <v>1371505</v>
      </c>
      <c r="G688">
        <v>3847629</v>
      </c>
      <c r="H688">
        <v>50012</v>
      </c>
      <c r="I688">
        <v>3676</v>
      </c>
      <c r="J688">
        <v>4624</v>
      </c>
      <c r="K688">
        <f t="shared" si="20"/>
        <v>4.2516797240987092</v>
      </c>
      <c r="L688">
        <v>418938</v>
      </c>
      <c r="M688">
        <v>545642</v>
      </c>
      <c r="N688">
        <f t="shared" si="21"/>
        <v>30.244093398068451</v>
      </c>
      <c r="O688" s="4">
        <v>45755</v>
      </c>
      <c r="P688" s="4">
        <v>45769</v>
      </c>
      <c r="Q688" t="s">
        <v>30</v>
      </c>
      <c r="R688">
        <f>Table2[[#This Row],[End_Date]]-Table2[[#This Row],[Start_Date]]</f>
        <v>14</v>
      </c>
      <c r="S688" t="str">
        <f>TEXT(Table2[[#This Row],[Start_Date]],"MMM")</f>
        <v>Apr</v>
      </c>
      <c r="T688">
        <f>YEAR(Table2[[#This Row],[Start_Date]])</f>
        <v>2025</v>
      </c>
      <c r="U688">
        <f>Table2[[#This Row],[Campaign_Cost (₹)]]/Table2[[#This Row],[Reach]]</f>
        <v>0.30545860204665676</v>
      </c>
      <c r="V688">
        <f>Table2[[#This Row],[Revenue_Generated (₹)]]/Table2[[#This Row],[Reach]]</f>
        <v>0.39784178694208189</v>
      </c>
    </row>
    <row r="689" spans="1:22" x14ac:dyDescent="0.3">
      <c r="A689" t="s">
        <v>740</v>
      </c>
      <c r="B689" t="s">
        <v>103</v>
      </c>
      <c r="C689" t="s">
        <v>37</v>
      </c>
      <c r="D689" t="s">
        <v>20</v>
      </c>
      <c r="E689">
        <v>1498817</v>
      </c>
      <c r="F689">
        <v>1258747</v>
      </c>
      <c r="G689">
        <v>2593771</v>
      </c>
      <c r="H689">
        <v>97817</v>
      </c>
      <c r="I689">
        <v>9522</v>
      </c>
      <c r="J689">
        <v>8329</v>
      </c>
      <c r="K689">
        <f t="shared" si="20"/>
        <v>9.1891380873201687</v>
      </c>
      <c r="L689">
        <v>99846</v>
      </c>
      <c r="M689">
        <v>310696</v>
      </c>
      <c r="N689">
        <f t="shared" si="21"/>
        <v>211.1752098231276</v>
      </c>
      <c r="O689" s="4">
        <v>46076</v>
      </c>
      <c r="P689" s="4">
        <v>46093</v>
      </c>
      <c r="Q689" t="s">
        <v>41</v>
      </c>
      <c r="R689">
        <f>Table2[[#This Row],[End_Date]]-Table2[[#This Row],[Start_Date]]</f>
        <v>17</v>
      </c>
      <c r="S689" t="str">
        <f>TEXT(Table2[[#This Row],[Start_Date]],"MMM")</f>
        <v>Feb</v>
      </c>
      <c r="T689">
        <f>YEAR(Table2[[#This Row],[Start_Date]])</f>
        <v>2026</v>
      </c>
      <c r="U689">
        <f>Table2[[#This Row],[Campaign_Cost (₹)]]/Table2[[#This Row],[Reach]]</f>
        <v>7.9321738204738521E-2</v>
      </c>
      <c r="V689">
        <f>Table2[[#This Row],[Revenue_Generated (₹)]]/Table2[[#This Row],[Reach]]</f>
        <v>0.24682958529394708</v>
      </c>
    </row>
    <row r="690" spans="1:22" x14ac:dyDescent="0.3">
      <c r="A690" t="s">
        <v>741</v>
      </c>
      <c r="B690" t="s">
        <v>27</v>
      </c>
      <c r="C690" t="s">
        <v>19</v>
      </c>
      <c r="D690" t="s">
        <v>58</v>
      </c>
      <c r="E690">
        <v>995334</v>
      </c>
      <c r="F690">
        <v>512817</v>
      </c>
      <c r="G690">
        <v>732178</v>
      </c>
      <c r="H690">
        <v>18415</v>
      </c>
      <c r="I690">
        <v>2496</v>
      </c>
      <c r="J690">
        <v>1071</v>
      </c>
      <c r="K690">
        <f t="shared" si="20"/>
        <v>4.2865193626576339</v>
      </c>
      <c r="L690">
        <v>428537</v>
      </c>
      <c r="M690">
        <v>624594</v>
      </c>
      <c r="N690">
        <f t="shared" si="21"/>
        <v>45.750308608124854</v>
      </c>
      <c r="O690" s="4">
        <v>46045</v>
      </c>
      <c r="P690" s="4">
        <v>46058</v>
      </c>
      <c r="Q690" t="s">
        <v>41</v>
      </c>
      <c r="R690">
        <f>Table2[[#This Row],[End_Date]]-Table2[[#This Row],[Start_Date]]</f>
        <v>13</v>
      </c>
      <c r="S690" t="str">
        <f>TEXT(Table2[[#This Row],[Start_Date]],"MMM")</f>
        <v>Jan</v>
      </c>
      <c r="T690">
        <f>YEAR(Table2[[#This Row],[Start_Date]])</f>
        <v>2026</v>
      </c>
      <c r="U690">
        <f>Table2[[#This Row],[Campaign_Cost (₹)]]/Table2[[#This Row],[Reach]]</f>
        <v>0.83565287422218837</v>
      </c>
      <c r="V690">
        <f>Table2[[#This Row],[Revenue_Generated (₹)]]/Table2[[#This Row],[Reach]]</f>
        <v>1.217966643071505</v>
      </c>
    </row>
    <row r="691" spans="1:22" x14ac:dyDescent="0.3">
      <c r="A691" t="s">
        <v>742</v>
      </c>
      <c r="B691" t="s">
        <v>61</v>
      </c>
      <c r="C691" t="s">
        <v>43</v>
      </c>
      <c r="D691" t="s">
        <v>58</v>
      </c>
      <c r="E691">
        <v>1352212</v>
      </c>
      <c r="F691">
        <v>1186746</v>
      </c>
      <c r="G691">
        <v>2141689</v>
      </c>
      <c r="H691">
        <v>98740</v>
      </c>
      <c r="I691">
        <v>7455</v>
      </c>
      <c r="J691">
        <v>7571</v>
      </c>
      <c r="K691">
        <f t="shared" si="20"/>
        <v>9.5863815846019289</v>
      </c>
      <c r="L691">
        <v>131711</v>
      </c>
      <c r="M691">
        <v>444893</v>
      </c>
      <c r="N691">
        <f t="shared" si="21"/>
        <v>237.77968430882765</v>
      </c>
      <c r="O691" s="4">
        <v>46055</v>
      </c>
      <c r="P691" s="4">
        <v>46081</v>
      </c>
      <c r="Q691" t="s">
        <v>78</v>
      </c>
      <c r="R691">
        <f>Table2[[#This Row],[End_Date]]-Table2[[#This Row],[Start_Date]]</f>
        <v>26</v>
      </c>
      <c r="S691" t="str">
        <f>TEXT(Table2[[#This Row],[Start_Date]],"MMM")</f>
        <v>Feb</v>
      </c>
      <c r="T691">
        <f>YEAR(Table2[[#This Row],[Start_Date]])</f>
        <v>2026</v>
      </c>
      <c r="U691">
        <f>Table2[[#This Row],[Campaign_Cost (₹)]]/Table2[[#This Row],[Reach]]</f>
        <v>0.11098499594690017</v>
      </c>
      <c r="V691">
        <f>Table2[[#This Row],[Revenue_Generated (₹)]]/Table2[[#This Row],[Reach]]</f>
        <v>0.3748847689396046</v>
      </c>
    </row>
    <row r="692" spans="1:22" x14ac:dyDescent="0.3">
      <c r="A692" t="s">
        <v>743</v>
      </c>
      <c r="B692" t="s">
        <v>103</v>
      </c>
      <c r="C692" t="s">
        <v>28</v>
      </c>
      <c r="D692" t="s">
        <v>20</v>
      </c>
      <c r="E692">
        <v>1383513</v>
      </c>
      <c r="F692">
        <v>1120439</v>
      </c>
      <c r="G692">
        <v>2276549</v>
      </c>
      <c r="H692">
        <v>124637</v>
      </c>
      <c r="I692">
        <v>11899</v>
      </c>
      <c r="J692">
        <v>9992</v>
      </c>
      <c r="K692">
        <f t="shared" si="20"/>
        <v>13.077731139312359</v>
      </c>
      <c r="L692">
        <v>68588</v>
      </c>
      <c r="M692">
        <v>162713</v>
      </c>
      <c r="N692">
        <f t="shared" si="21"/>
        <v>137.23246048871522</v>
      </c>
      <c r="O692" s="4">
        <v>45984</v>
      </c>
      <c r="P692" s="4">
        <v>46005</v>
      </c>
      <c r="Q692" t="s">
        <v>30</v>
      </c>
      <c r="R692">
        <f>Table2[[#This Row],[End_Date]]-Table2[[#This Row],[Start_Date]]</f>
        <v>21</v>
      </c>
      <c r="S692" t="str">
        <f>TEXT(Table2[[#This Row],[Start_Date]],"MMM")</f>
        <v>Nov</v>
      </c>
      <c r="T692">
        <f>YEAR(Table2[[#This Row],[Start_Date]])</f>
        <v>2025</v>
      </c>
      <c r="U692">
        <f>Table2[[#This Row],[Campaign_Cost (₹)]]/Table2[[#This Row],[Reach]]</f>
        <v>6.1215291506275665E-2</v>
      </c>
      <c r="V692">
        <f>Table2[[#This Row],[Revenue_Generated (₹)]]/Table2[[#This Row],[Reach]]</f>
        <v>0.14522254223567727</v>
      </c>
    </row>
    <row r="693" spans="1:22" x14ac:dyDescent="0.3">
      <c r="A693" t="s">
        <v>744</v>
      </c>
      <c r="B693" t="s">
        <v>45</v>
      </c>
      <c r="C693" t="s">
        <v>43</v>
      </c>
      <c r="D693" t="s">
        <v>24</v>
      </c>
      <c r="E693">
        <v>1441693</v>
      </c>
      <c r="F693">
        <v>1123557</v>
      </c>
      <c r="G693">
        <v>3236750</v>
      </c>
      <c r="H693">
        <v>83568</v>
      </c>
      <c r="I693">
        <v>6602</v>
      </c>
      <c r="J693">
        <v>2425</v>
      </c>
      <c r="K693">
        <f t="shared" si="20"/>
        <v>8.2412374272066309</v>
      </c>
      <c r="L693">
        <v>463427</v>
      </c>
      <c r="M693">
        <v>2036181</v>
      </c>
      <c r="N693">
        <f t="shared" si="21"/>
        <v>339.37470194874277</v>
      </c>
      <c r="O693" s="4">
        <v>46117</v>
      </c>
      <c r="P693" s="4">
        <v>46126</v>
      </c>
      <c r="Q693" t="s">
        <v>54</v>
      </c>
      <c r="R693">
        <f>Table2[[#This Row],[End_Date]]-Table2[[#This Row],[Start_Date]]</f>
        <v>9</v>
      </c>
      <c r="S693" t="str">
        <f>TEXT(Table2[[#This Row],[Start_Date]],"MMM")</f>
        <v>Apr</v>
      </c>
      <c r="T693">
        <f>YEAR(Table2[[#This Row],[Start_Date]])</f>
        <v>2026</v>
      </c>
      <c r="U693">
        <f>Table2[[#This Row],[Campaign_Cost (₹)]]/Table2[[#This Row],[Reach]]</f>
        <v>0.41246416514693957</v>
      </c>
      <c r="V693">
        <f>Table2[[#This Row],[Revenue_Generated (₹)]]/Table2[[#This Row],[Reach]]</f>
        <v>1.8122631962597358</v>
      </c>
    </row>
    <row r="694" spans="1:22" x14ac:dyDescent="0.3">
      <c r="A694" t="s">
        <v>745</v>
      </c>
      <c r="B694" t="s">
        <v>103</v>
      </c>
      <c r="C694" t="s">
        <v>43</v>
      </c>
      <c r="D694" t="s">
        <v>20</v>
      </c>
      <c r="E694">
        <v>1032431</v>
      </c>
      <c r="F694">
        <v>433701</v>
      </c>
      <c r="G694">
        <v>482173</v>
      </c>
      <c r="H694">
        <v>18211</v>
      </c>
      <c r="I694">
        <v>940</v>
      </c>
      <c r="J694">
        <v>1288</v>
      </c>
      <c r="K694">
        <f t="shared" si="20"/>
        <v>4.7126937682873677</v>
      </c>
      <c r="L694">
        <v>30923</v>
      </c>
      <c r="M694">
        <v>53006</v>
      </c>
      <c r="N694">
        <f t="shared" si="21"/>
        <v>71.412864211105003</v>
      </c>
      <c r="O694" s="4">
        <v>46120</v>
      </c>
      <c r="P694" s="4">
        <v>46144</v>
      </c>
      <c r="Q694" t="s">
        <v>78</v>
      </c>
      <c r="R694">
        <f>Table2[[#This Row],[End_Date]]-Table2[[#This Row],[Start_Date]]</f>
        <v>24</v>
      </c>
      <c r="S694" t="str">
        <f>TEXT(Table2[[#This Row],[Start_Date]],"MMM")</f>
        <v>Apr</v>
      </c>
      <c r="T694">
        <f>YEAR(Table2[[#This Row],[Start_Date]])</f>
        <v>2026</v>
      </c>
      <c r="U694">
        <f>Table2[[#This Row],[Campaign_Cost (₹)]]/Table2[[#This Row],[Reach]]</f>
        <v>7.1300273690860755E-2</v>
      </c>
      <c r="V694">
        <f>Table2[[#This Row],[Revenue_Generated (₹)]]/Table2[[#This Row],[Reach]]</f>
        <v>0.12221784132386138</v>
      </c>
    </row>
    <row r="695" spans="1:22" x14ac:dyDescent="0.3">
      <c r="A695" t="s">
        <v>746</v>
      </c>
      <c r="B695" t="s">
        <v>23</v>
      </c>
      <c r="C695" t="s">
        <v>28</v>
      </c>
      <c r="D695" t="s">
        <v>40</v>
      </c>
      <c r="E695">
        <v>1349944</v>
      </c>
      <c r="F695">
        <v>499614</v>
      </c>
      <c r="G695">
        <v>581532</v>
      </c>
      <c r="H695">
        <v>59384</v>
      </c>
      <c r="I695">
        <v>4683</v>
      </c>
      <c r="J695">
        <v>1540</v>
      </c>
      <c r="K695">
        <f t="shared" si="20"/>
        <v>13.131537546986275</v>
      </c>
      <c r="L695">
        <v>225968</v>
      </c>
      <c r="M695">
        <v>261906</v>
      </c>
      <c r="N695">
        <f t="shared" si="21"/>
        <v>15.904021808397651</v>
      </c>
      <c r="O695" s="4">
        <v>46064</v>
      </c>
      <c r="P695" s="4">
        <v>46076</v>
      </c>
      <c r="Q695" t="s">
        <v>47</v>
      </c>
      <c r="R695">
        <f>Table2[[#This Row],[End_Date]]-Table2[[#This Row],[Start_Date]]</f>
        <v>12</v>
      </c>
      <c r="S695" t="str">
        <f>TEXT(Table2[[#This Row],[Start_Date]],"MMM")</f>
        <v>Feb</v>
      </c>
      <c r="T695">
        <f>YEAR(Table2[[#This Row],[Start_Date]])</f>
        <v>2026</v>
      </c>
      <c r="U695">
        <f>Table2[[#This Row],[Campaign_Cost (₹)]]/Table2[[#This Row],[Reach]]</f>
        <v>0.45228516414672126</v>
      </c>
      <c r="V695">
        <f>Table2[[#This Row],[Revenue_Generated (₹)]]/Table2[[#This Row],[Reach]]</f>
        <v>0.52421669528876291</v>
      </c>
    </row>
    <row r="696" spans="1:22" x14ac:dyDescent="0.3">
      <c r="A696" t="s">
        <v>747</v>
      </c>
      <c r="B696" t="s">
        <v>18</v>
      </c>
      <c r="C696" t="s">
        <v>33</v>
      </c>
      <c r="D696" t="s">
        <v>20</v>
      </c>
      <c r="E696">
        <v>878418</v>
      </c>
      <c r="F696">
        <v>315186</v>
      </c>
      <c r="G696">
        <v>409894</v>
      </c>
      <c r="H696">
        <v>8266</v>
      </c>
      <c r="I696">
        <v>503</v>
      </c>
      <c r="J696">
        <v>790</v>
      </c>
      <c r="K696">
        <f t="shared" si="20"/>
        <v>3.0328123711078536</v>
      </c>
      <c r="L696">
        <v>174919</v>
      </c>
      <c r="M696">
        <v>645165</v>
      </c>
      <c r="N696">
        <f t="shared" si="21"/>
        <v>268.83643286321097</v>
      </c>
      <c r="O696" s="4">
        <v>46075</v>
      </c>
      <c r="P696" s="4">
        <v>46096</v>
      </c>
      <c r="Q696" t="s">
        <v>54</v>
      </c>
      <c r="R696">
        <f>Table2[[#This Row],[End_Date]]-Table2[[#This Row],[Start_Date]]</f>
        <v>21</v>
      </c>
      <c r="S696" t="str">
        <f>TEXT(Table2[[#This Row],[Start_Date]],"MMM")</f>
        <v>Feb</v>
      </c>
      <c r="T696">
        <f>YEAR(Table2[[#This Row],[Start_Date]])</f>
        <v>2026</v>
      </c>
      <c r="U696">
        <f>Table2[[#This Row],[Campaign_Cost (₹)]]/Table2[[#This Row],[Reach]]</f>
        <v>0.55497071570437773</v>
      </c>
      <c r="V696">
        <f>Table2[[#This Row],[Revenue_Generated (₹)]]/Table2[[#This Row],[Reach]]</f>
        <v>2.0469341912394587</v>
      </c>
    </row>
    <row r="697" spans="1:22" x14ac:dyDescent="0.3">
      <c r="A697" t="s">
        <v>748</v>
      </c>
      <c r="B697" t="s">
        <v>39</v>
      </c>
      <c r="C697" t="s">
        <v>37</v>
      </c>
      <c r="D697" t="s">
        <v>24</v>
      </c>
      <c r="E697">
        <v>1210032</v>
      </c>
      <c r="F697">
        <v>896959</v>
      </c>
      <c r="G697">
        <v>2491635</v>
      </c>
      <c r="H697">
        <v>105104</v>
      </c>
      <c r="I697">
        <v>12987</v>
      </c>
      <c r="J697">
        <v>9836</v>
      </c>
      <c r="K697">
        <f t="shared" si="20"/>
        <v>14.262301844342943</v>
      </c>
      <c r="L697">
        <v>283990</v>
      </c>
      <c r="M697">
        <v>519972</v>
      </c>
      <c r="N697">
        <f t="shared" si="21"/>
        <v>83.095179407725624</v>
      </c>
      <c r="O697" s="4">
        <v>45777</v>
      </c>
      <c r="P697" s="4">
        <v>45806</v>
      </c>
      <c r="Q697" t="s">
        <v>47</v>
      </c>
      <c r="R697">
        <f>Table2[[#This Row],[End_Date]]-Table2[[#This Row],[Start_Date]]</f>
        <v>29</v>
      </c>
      <c r="S697" t="str">
        <f>TEXT(Table2[[#This Row],[Start_Date]],"MMM")</f>
        <v>Apr</v>
      </c>
      <c r="T697">
        <f>YEAR(Table2[[#This Row],[Start_Date]])</f>
        <v>2025</v>
      </c>
      <c r="U697">
        <f>Table2[[#This Row],[Campaign_Cost (₹)]]/Table2[[#This Row],[Reach]]</f>
        <v>0.3166142488118186</v>
      </c>
      <c r="V697">
        <f>Table2[[#This Row],[Revenue_Generated (₹)]]/Table2[[#This Row],[Reach]]</f>
        <v>0.5797054268924221</v>
      </c>
    </row>
    <row r="698" spans="1:22" x14ac:dyDescent="0.3">
      <c r="A698" t="s">
        <v>749</v>
      </c>
      <c r="B698" t="s">
        <v>45</v>
      </c>
      <c r="C698" t="s">
        <v>33</v>
      </c>
      <c r="D698" t="s">
        <v>20</v>
      </c>
      <c r="E698">
        <v>1900125</v>
      </c>
      <c r="F698">
        <v>1250249</v>
      </c>
      <c r="G698">
        <v>2629082</v>
      </c>
      <c r="H698">
        <v>145181</v>
      </c>
      <c r="I698">
        <v>12274</v>
      </c>
      <c r="J698">
        <v>11316</v>
      </c>
      <c r="K698">
        <f t="shared" si="20"/>
        <v>13.498991000992602</v>
      </c>
      <c r="L698">
        <v>96716</v>
      </c>
      <c r="M698">
        <v>195050</v>
      </c>
      <c r="N698">
        <f t="shared" si="21"/>
        <v>101.67293932751562</v>
      </c>
      <c r="O698" s="4">
        <v>45990</v>
      </c>
      <c r="P698" s="4">
        <v>46018</v>
      </c>
      <c r="Q698" t="s">
        <v>21</v>
      </c>
      <c r="R698">
        <f>Table2[[#This Row],[End_Date]]-Table2[[#This Row],[Start_Date]]</f>
        <v>28</v>
      </c>
      <c r="S698" t="str">
        <f>TEXT(Table2[[#This Row],[Start_Date]],"MMM")</f>
        <v>Nov</v>
      </c>
      <c r="T698">
        <f>YEAR(Table2[[#This Row],[Start_Date]])</f>
        <v>2025</v>
      </c>
      <c r="U698">
        <f>Table2[[#This Row],[Campaign_Cost (₹)]]/Table2[[#This Row],[Reach]]</f>
        <v>7.7357390407830753E-2</v>
      </c>
      <c r="V698">
        <f>Table2[[#This Row],[Revenue_Generated (₹)]]/Table2[[#This Row],[Reach]]</f>
        <v>0.15600892302253391</v>
      </c>
    </row>
    <row r="699" spans="1:22" x14ac:dyDescent="0.3">
      <c r="A699" t="s">
        <v>750</v>
      </c>
      <c r="B699" t="s">
        <v>63</v>
      </c>
      <c r="C699" t="s">
        <v>37</v>
      </c>
      <c r="D699" t="s">
        <v>46</v>
      </c>
      <c r="E699">
        <v>770231</v>
      </c>
      <c r="F699">
        <v>496556</v>
      </c>
      <c r="G699">
        <v>941067</v>
      </c>
      <c r="H699">
        <v>71838</v>
      </c>
      <c r="I699">
        <v>7237</v>
      </c>
      <c r="J699">
        <v>2437</v>
      </c>
      <c r="K699">
        <f t="shared" si="20"/>
        <v>16.415469755677105</v>
      </c>
      <c r="L699">
        <v>199118</v>
      </c>
      <c r="M699">
        <v>887985</v>
      </c>
      <c r="N699">
        <f t="shared" si="21"/>
        <v>345.95917998372823</v>
      </c>
      <c r="O699" s="4">
        <v>46052</v>
      </c>
      <c r="P699" s="4">
        <v>46074</v>
      </c>
      <c r="Q699" t="s">
        <v>30</v>
      </c>
      <c r="R699">
        <f>Table2[[#This Row],[End_Date]]-Table2[[#This Row],[Start_Date]]</f>
        <v>22</v>
      </c>
      <c r="S699" t="str">
        <f>TEXT(Table2[[#This Row],[Start_Date]],"MMM")</f>
        <v>Jan</v>
      </c>
      <c r="T699">
        <f>YEAR(Table2[[#This Row],[Start_Date]])</f>
        <v>2026</v>
      </c>
      <c r="U699">
        <f>Table2[[#This Row],[Campaign_Cost (₹)]]/Table2[[#This Row],[Reach]]</f>
        <v>0.40099807473880084</v>
      </c>
      <c r="V699">
        <f>Table2[[#This Row],[Revenue_Generated (₹)]]/Table2[[#This Row],[Reach]]</f>
        <v>1.788287725855694</v>
      </c>
    </row>
    <row r="700" spans="1:22" x14ac:dyDescent="0.3">
      <c r="A700" t="s">
        <v>751</v>
      </c>
      <c r="B700" t="s">
        <v>39</v>
      </c>
      <c r="C700" t="s">
        <v>19</v>
      </c>
      <c r="D700" t="s">
        <v>51</v>
      </c>
      <c r="E700">
        <v>1175561</v>
      </c>
      <c r="F700">
        <v>433802</v>
      </c>
      <c r="G700">
        <v>1045887</v>
      </c>
      <c r="H700">
        <v>29258</v>
      </c>
      <c r="I700">
        <v>3856</v>
      </c>
      <c r="J700">
        <v>633</v>
      </c>
      <c r="K700">
        <f t="shared" si="20"/>
        <v>7.7793555585267011</v>
      </c>
      <c r="L700">
        <v>193451</v>
      </c>
      <c r="M700">
        <v>302263</v>
      </c>
      <c r="N700">
        <f t="shared" si="21"/>
        <v>56.247835369163248</v>
      </c>
      <c r="O700" s="4">
        <v>45744</v>
      </c>
      <c r="P700" s="4">
        <v>45764</v>
      </c>
      <c r="Q700" t="s">
        <v>41</v>
      </c>
      <c r="R700">
        <f>Table2[[#This Row],[End_Date]]-Table2[[#This Row],[Start_Date]]</f>
        <v>20</v>
      </c>
      <c r="S700" t="str">
        <f>TEXT(Table2[[#This Row],[Start_Date]],"MMM")</f>
        <v>Mar</v>
      </c>
      <c r="T700">
        <f>YEAR(Table2[[#This Row],[Start_Date]])</f>
        <v>2025</v>
      </c>
      <c r="U700">
        <f>Table2[[#This Row],[Campaign_Cost (₹)]]/Table2[[#This Row],[Reach]]</f>
        <v>0.44594308002268318</v>
      </c>
      <c r="V700">
        <f>Table2[[#This Row],[Revenue_Generated (₹)]]/Table2[[#This Row],[Reach]]</f>
        <v>0.69677640951401787</v>
      </c>
    </row>
    <row r="701" spans="1:22" x14ac:dyDescent="0.3">
      <c r="A701" t="s">
        <v>752</v>
      </c>
      <c r="B701" t="s">
        <v>80</v>
      </c>
      <c r="C701" t="s">
        <v>37</v>
      </c>
      <c r="D701" t="s">
        <v>40</v>
      </c>
      <c r="E701">
        <v>454682</v>
      </c>
      <c r="F701">
        <v>135797</v>
      </c>
      <c r="G701">
        <v>229851</v>
      </c>
      <c r="H701">
        <v>9250</v>
      </c>
      <c r="I701">
        <v>808</v>
      </c>
      <c r="J701">
        <v>320</v>
      </c>
      <c r="K701">
        <f t="shared" si="20"/>
        <v>7.6422895940263773</v>
      </c>
      <c r="L701">
        <v>479471</v>
      </c>
      <c r="M701">
        <v>835739</v>
      </c>
      <c r="N701">
        <f t="shared" si="21"/>
        <v>74.304389629404071</v>
      </c>
      <c r="O701" s="4">
        <v>45878</v>
      </c>
      <c r="P701" s="4">
        <v>45885</v>
      </c>
      <c r="Q701" t="s">
        <v>54</v>
      </c>
      <c r="R701">
        <f>Table2[[#This Row],[End_Date]]-Table2[[#This Row],[Start_Date]]</f>
        <v>7</v>
      </c>
      <c r="S701" t="str">
        <f>TEXT(Table2[[#This Row],[Start_Date]],"MMM")</f>
        <v>Aug</v>
      </c>
      <c r="T701">
        <f>YEAR(Table2[[#This Row],[Start_Date]])</f>
        <v>2025</v>
      </c>
      <c r="U701">
        <f>Table2[[#This Row],[Campaign_Cost (₹)]]/Table2[[#This Row],[Reach]]</f>
        <v>3.5307922855438632</v>
      </c>
      <c r="V701">
        <f>Table2[[#This Row],[Revenue_Generated (₹)]]/Table2[[#This Row],[Reach]]</f>
        <v>6.1543259423993169</v>
      </c>
    </row>
    <row r="702" spans="1:22" x14ac:dyDescent="0.3">
      <c r="A702" t="s">
        <v>753</v>
      </c>
      <c r="B702" t="s">
        <v>80</v>
      </c>
      <c r="C702" t="s">
        <v>43</v>
      </c>
      <c r="D702" t="s">
        <v>72</v>
      </c>
      <c r="E702">
        <v>173760</v>
      </c>
      <c r="F702">
        <v>60431</v>
      </c>
      <c r="G702">
        <v>79272</v>
      </c>
      <c r="H702">
        <v>4683</v>
      </c>
      <c r="I702">
        <v>156</v>
      </c>
      <c r="J702">
        <v>218</v>
      </c>
      <c r="K702">
        <f t="shared" si="20"/>
        <v>8.3682216081150411</v>
      </c>
      <c r="L702">
        <v>13947</v>
      </c>
      <c r="M702">
        <v>46190</v>
      </c>
      <c r="N702">
        <f t="shared" si="21"/>
        <v>231.18233311823332</v>
      </c>
      <c r="O702" s="4">
        <v>45673</v>
      </c>
      <c r="P702" s="4">
        <v>45703</v>
      </c>
      <c r="Q702" t="s">
        <v>30</v>
      </c>
      <c r="R702">
        <f>Table2[[#This Row],[End_Date]]-Table2[[#This Row],[Start_Date]]</f>
        <v>30</v>
      </c>
      <c r="S702" t="str">
        <f>TEXT(Table2[[#This Row],[Start_Date]],"MMM")</f>
        <v>Jan</v>
      </c>
      <c r="T702">
        <f>YEAR(Table2[[#This Row],[Start_Date]])</f>
        <v>2025</v>
      </c>
      <c r="U702">
        <f>Table2[[#This Row],[Campaign_Cost (₹)]]/Table2[[#This Row],[Reach]]</f>
        <v>0.23079214310535984</v>
      </c>
      <c r="V702">
        <f>Table2[[#This Row],[Revenue_Generated (₹)]]/Table2[[#This Row],[Reach]]</f>
        <v>0.76434280418990252</v>
      </c>
    </row>
    <row r="703" spans="1:22" x14ac:dyDescent="0.3">
      <c r="A703" t="s">
        <v>754</v>
      </c>
      <c r="B703" t="s">
        <v>80</v>
      </c>
      <c r="C703" t="s">
        <v>43</v>
      </c>
      <c r="D703" t="s">
        <v>24</v>
      </c>
      <c r="E703">
        <v>1574130</v>
      </c>
      <c r="F703">
        <v>1122787</v>
      </c>
      <c r="G703">
        <v>1362217</v>
      </c>
      <c r="H703">
        <v>102014</v>
      </c>
      <c r="I703">
        <v>8240</v>
      </c>
      <c r="J703">
        <v>7726</v>
      </c>
      <c r="K703">
        <f t="shared" si="20"/>
        <v>10.507781084034638</v>
      </c>
      <c r="L703">
        <v>491487</v>
      </c>
      <c r="M703">
        <v>1358319</v>
      </c>
      <c r="N703">
        <f t="shared" si="21"/>
        <v>176.36926307308229</v>
      </c>
      <c r="O703" s="4">
        <v>46013</v>
      </c>
      <c r="P703" s="4">
        <v>46027</v>
      </c>
      <c r="Q703" t="s">
        <v>47</v>
      </c>
      <c r="R703">
        <f>Table2[[#This Row],[End_Date]]-Table2[[#This Row],[Start_Date]]</f>
        <v>14</v>
      </c>
      <c r="S703" t="str">
        <f>TEXT(Table2[[#This Row],[Start_Date]],"MMM")</f>
        <v>Dec</v>
      </c>
      <c r="T703">
        <f>YEAR(Table2[[#This Row],[Start_Date]])</f>
        <v>2025</v>
      </c>
      <c r="U703">
        <f>Table2[[#This Row],[Campaign_Cost (₹)]]/Table2[[#This Row],[Reach]]</f>
        <v>0.43773841343015191</v>
      </c>
      <c r="V703">
        <f>Table2[[#This Row],[Revenue_Generated (₹)]]/Table2[[#This Row],[Reach]]</f>
        <v>1.2097744273847133</v>
      </c>
    </row>
    <row r="704" spans="1:22" x14ac:dyDescent="0.3">
      <c r="A704" t="s">
        <v>755</v>
      </c>
      <c r="B704" t="s">
        <v>80</v>
      </c>
      <c r="C704" t="s">
        <v>33</v>
      </c>
      <c r="D704" t="s">
        <v>51</v>
      </c>
      <c r="E704">
        <v>690275</v>
      </c>
      <c r="F704">
        <v>467395</v>
      </c>
      <c r="G704">
        <v>775683</v>
      </c>
      <c r="H704">
        <v>41885</v>
      </c>
      <c r="I704">
        <v>2736</v>
      </c>
      <c r="J704">
        <v>3602</v>
      </c>
      <c r="K704">
        <f t="shared" si="20"/>
        <v>10.317397490345426</v>
      </c>
      <c r="L704">
        <v>486255</v>
      </c>
      <c r="M704">
        <v>2144276</v>
      </c>
      <c r="N704">
        <f t="shared" si="21"/>
        <v>340.9776763220944</v>
      </c>
      <c r="O704" s="4">
        <v>46058</v>
      </c>
      <c r="P704" s="4">
        <v>46088</v>
      </c>
      <c r="Q704" t="s">
        <v>41</v>
      </c>
      <c r="R704">
        <f>Table2[[#This Row],[End_Date]]-Table2[[#This Row],[Start_Date]]</f>
        <v>30</v>
      </c>
      <c r="S704" t="str">
        <f>TEXT(Table2[[#This Row],[Start_Date]],"MMM")</f>
        <v>Feb</v>
      </c>
      <c r="T704">
        <f>YEAR(Table2[[#This Row],[Start_Date]])</f>
        <v>2026</v>
      </c>
      <c r="U704">
        <f>Table2[[#This Row],[Campaign_Cost (₹)]]/Table2[[#This Row],[Reach]]</f>
        <v>1.0403513088501162</v>
      </c>
      <c r="V704">
        <f>Table2[[#This Row],[Revenue_Generated (₹)]]/Table2[[#This Row],[Reach]]</f>
        <v>4.5877170273537375</v>
      </c>
    </row>
    <row r="705" spans="1:22" x14ac:dyDescent="0.3">
      <c r="A705" t="s">
        <v>756</v>
      </c>
      <c r="B705" t="s">
        <v>49</v>
      </c>
      <c r="C705" t="s">
        <v>37</v>
      </c>
      <c r="D705" t="s">
        <v>20</v>
      </c>
      <c r="E705">
        <v>1377091</v>
      </c>
      <c r="F705">
        <v>1011872</v>
      </c>
      <c r="G705">
        <v>2472469</v>
      </c>
      <c r="H705">
        <v>66418</v>
      </c>
      <c r="I705">
        <v>6058</v>
      </c>
      <c r="J705">
        <v>1389</v>
      </c>
      <c r="K705">
        <f t="shared" si="20"/>
        <v>7.2998363429366568</v>
      </c>
      <c r="L705">
        <v>351948</v>
      </c>
      <c r="M705">
        <v>1372282</v>
      </c>
      <c r="N705">
        <f t="shared" si="21"/>
        <v>289.9104413151943</v>
      </c>
      <c r="O705" s="4">
        <v>45899</v>
      </c>
      <c r="P705" s="4">
        <v>45923</v>
      </c>
      <c r="Q705" t="s">
        <v>41</v>
      </c>
      <c r="R705">
        <f>Table2[[#This Row],[End_Date]]-Table2[[#This Row],[Start_Date]]</f>
        <v>24</v>
      </c>
      <c r="S705" t="str">
        <f>TEXT(Table2[[#This Row],[Start_Date]],"MMM")</f>
        <v>Aug</v>
      </c>
      <c r="T705">
        <f>YEAR(Table2[[#This Row],[Start_Date]])</f>
        <v>2025</v>
      </c>
      <c r="U705">
        <f>Table2[[#This Row],[Campaign_Cost (₹)]]/Table2[[#This Row],[Reach]]</f>
        <v>0.34781869643591284</v>
      </c>
      <c r="V705">
        <f>Table2[[#This Row],[Revenue_Generated (₹)]]/Table2[[#This Row],[Reach]]</f>
        <v>1.3561814142500237</v>
      </c>
    </row>
    <row r="706" spans="1:22" x14ac:dyDescent="0.3">
      <c r="A706" t="s">
        <v>757</v>
      </c>
      <c r="B706" t="s">
        <v>57</v>
      </c>
      <c r="C706" t="s">
        <v>28</v>
      </c>
      <c r="D706" t="s">
        <v>20</v>
      </c>
      <c r="E706">
        <v>56432</v>
      </c>
      <c r="F706">
        <v>31472</v>
      </c>
      <c r="G706">
        <v>76184</v>
      </c>
      <c r="H706">
        <v>4114</v>
      </c>
      <c r="I706">
        <v>129</v>
      </c>
      <c r="J706">
        <v>349</v>
      </c>
      <c r="K706">
        <f t="shared" ref="K706:K769" si="22">((H706+I706+J706)/F706)*100</f>
        <v>14.590747330960854</v>
      </c>
      <c r="L706">
        <v>400767</v>
      </c>
      <c r="M706">
        <v>1519752</v>
      </c>
      <c r="N706">
        <f t="shared" ref="N706:N769" si="23">((M706-L706)/L706)*100</f>
        <v>279.21086316987174</v>
      </c>
      <c r="O706" s="4">
        <v>45954</v>
      </c>
      <c r="P706" s="4">
        <v>45963</v>
      </c>
      <c r="Q706" t="s">
        <v>54</v>
      </c>
      <c r="R706">
        <f>Table2[[#This Row],[End_Date]]-Table2[[#This Row],[Start_Date]]</f>
        <v>9</v>
      </c>
      <c r="S706" t="str">
        <f>TEXT(Table2[[#This Row],[Start_Date]],"MMM")</f>
        <v>Oct</v>
      </c>
      <c r="T706">
        <f>YEAR(Table2[[#This Row],[Start_Date]])</f>
        <v>2025</v>
      </c>
      <c r="U706">
        <f>Table2[[#This Row],[Campaign_Cost (₹)]]/Table2[[#This Row],[Reach]]</f>
        <v>12.734081087951195</v>
      </c>
      <c r="V706">
        <f>Table2[[#This Row],[Revenue_Generated (₹)]]/Table2[[#This Row],[Reach]]</f>
        <v>48.289018810371125</v>
      </c>
    </row>
    <row r="707" spans="1:22" x14ac:dyDescent="0.3">
      <c r="A707" t="s">
        <v>758</v>
      </c>
      <c r="B707" t="s">
        <v>61</v>
      </c>
      <c r="C707" t="s">
        <v>33</v>
      </c>
      <c r="D707" t="s">
        <v>24</v>
      </c>
      <c r="E707">
        <v>1409169</v>
      </c>
      <c r="F707">
        <v>369182</v>
      </c>
      <c r="G707">
        <v>667156</v>
      </c>
      <c r="H707">
        <v>12596</v>
      </c>
      <c r="I707">
        <v>1808</v>
      </c>
      <c r="J707">
        <v>991</v>
      </c>
      <c r="K707">
        <f t="shared" si="22"/>
        <v>4.1700299581236351</v>
      </c>
      <c r="L707">
        <v>267419</v>
      </c>
      <c r="M707">
        <v>458978</v>
      </c>
      <c r="N707">
        <f t="shared" si="23"/>
        <v>71.632531719885279</v>
      </c>
      <c r="O707" s="4">
        <v>45716</v>
      </c>
      <c r="P707" s="4">
        <v>45731</v>
      </c>
      <c r="Q707" t="s">
        <v>21</v>
      </c>
      <c r="R707">
        <f>Table2[[#This Row],[End_Date]]-Table2[[#This Row],[Start_Date]]</f>
        <v>15</v>
      </c>
      <c r="S707" t="str">
        <f>TEXT(Table2[[#This Row],[Start_Date]],"MMM")</f>
        <v>Feb</v>
      </c>
      <c r="T707">
        <f>YEAR(Table2[[#This Row],[Start_Date]])</f>
        <v>2025</v>
      </c>
      <c r="U707">
        <f>Table2[[#This Row],[Campaign_Cost (₹)]]/Table2[[#This Row],[Reach]]</f>
        <v>0.72435546695125985</v>
      </c>
      <c r="V707">
        <f>Table2[[#This Row],[Revenue_Generated (₹)]]/Table2[[#This Row],[Reach]]</f>
        <v>1.2432296265798441</v>
      </c>
    </row>
    <row r="708" spans="1:22" x14ac:dyDescent="0.3">
      <c r="A708" t="s">
        <v>759</v>
      </c>
      <c r="B708" t="s">
        <v>36</v>
      </c>
      <c r="C708" t="s">
        <v>37</v>
      </c>
      <c r="D708" t="s">
        <v>29</v>
      </c>
      <c r="E708">
        <v>186545</v>
      </c>
      <c r="F708">
        <v>161195</v>
      </c>
      <c r="G708">
        <v>462225</v>
      </c>
      <c r="H708">
        <v>18878</v>
      </c>
      <c r="I708">
        <v>2429</v>
      </c>
      <c r="J708">
        <v>1608</v>
      </c>
      <c r="K708">
        <f t="shared" si="22"/>
        <v>14.215701479574427</v>
      </c>
      <c r="L708">
        <v>235598</v>
      </c>
      <c r="M708">
        <v>461285</v>
      </c>
      <c r="N708">
        <f t="shared" si="23"/>
        <v>95.793258007283583</v>
      </c>
      <c r="O708" s="4">
        <v>46071</v>
      </c>
      <c r="P708" s="4">
        <v>46098</v>
      </c>
      <c r="Q708" t="s">
        <v>34</v>
      </c>
      <c r="R708">
        <f>Table2[[#This Row],[End_Date]]-Table2[[#This Row],[Start_Date]]</f>
        <v>27</v>
      </c>
      <c r="S708" t="str">
        <f>TEXT(Table2[[#This Row],[Start_Date]],"MMM")</f>
        <v>Feb</v>
      </c>
      <c r="T708">
        <f>YEAR(Table2[[#This Row],[Start_Date]])</f>
        <v>2026</v>
      </c>
      <c r="U708">
        <f>Table2[[#This Row],[Campaign_Cost (₹)]]/Table2[[#This Row],[Reach]]</f>
        <v>1.4615713886907162</v>
      </c>
      <c r="V708">
        <f>Table2[[#This Row],[Revenue_Generated (₹)]]/Table2[[#This Row],[Reach]]</f>
        <v>2.8616582400198518</v>
      </c>
    </row>
    <row r="709" spans="1:22" x14ac:dyDescent="0.3">
      <c r="A709" t="s">
        <v>760</v>
      </c>
      <c r="B709" t="s">
        <v>53</v>
      </c>
      <c r="C709" t="s">
        <v>43</v>
      </c>
      <c r="D709" t="s">
        <v>20</v>
      </c>
      <c r="E709">
        <v>719274</v>
      </c>
      <c r="F709">
        <v>221786</v>
      </c>
      <c r="G709">
        <v>527337</v>
      </c>
      <c r="H709">
        <v>17299</v>
      </c>
      <c r="I709">
        <v>580</v>
      </c>
      <c r="J709">
        <v>1109</v>
      </c>
      <c r="K709">
        <f t="shared" si="22"/>
        <v>8.5614060400566316</v>
      </c>
      <c r="L709">
        <v>397186</v>
      </c>
      <c r="M709">
        <v>1504660</v>
      </c>
      <c r="N709">
        <f t="shared" si="23"/>
        <v>278.83006953920835</v>
      </c>
      <c r="O709" s="4">
        <v>45714</v>
      </c>
      <c r="P709" s="4">
        <v>45723</v>
      </c>
      <c r="Q709" t="s">
        <v>25</v>
      </c>
      <c r="R709">
        <f>Table2[[#This Row],[End_Date]]-Table2[[#This Row],[Start_Date]]</f>
        <v>9</v>
      </c>
      <c r="S709" t="str">
        <f>TEXT(Table2[[#This Row],[Start_Date]],"MMM")</f>
        <v>Feb</v>
      </c>
      <c r="T709">
        <f>YEAR(Table2[[#This Row],[Start_Date]])</f>
        <v>2025</v>
      </c>
      <c r="U709">
        <f>Table2[[#This Row],[Campaign_Cost (₹)]]/Table2[[#This Row],[Reach]]</f>
        <v>1.7908524433462887</v>
      </c>
      <c r="V709">
        <f>Table2[[#This Row],[Revenue_Generated (₹)]]/Table2[[#This Row],[Reach]]</f>
        <v>6.7842875564733571</v>
      </c>
    </row>
    <row r="710" spans="1:22" x14ac:dyDescent="0.3">
      <c r="A710" t="s">
        <v>761</v>
      </c>
      <c r="B710" t="s">
        <v>80</v>
      </c>
      <c r="C710" t="s">
        <v>28</v>
      </c>
      <c r="D710" t="s">
        <v>20</v>
      </c>
      <c r="E710">
        <v>97980</v>
      </c>
      <c r="F710">
        <v>49752</v>
      </c>
      <c r="G710">
        <v>68971</v>
      </c>
      <c r="H710">
        <v>2960</v>
      </c>
      <c r="I710">
        <v>288</v>
      </c>
      <c r="J710">
        <v>83</v>
      </c>
      <c r="K710">
        <f t="shared" si="22"/>
        <v>6.6952082328348608</v>
      </c>
      <c r="L710">
        <v>487325</v>
      </c>
      <c r="M710">
        <v>2208670</v>
      </c>
      <c r="N710">
        <f t="shared" si="23"/>
        <v>353.22320833119585</v>
      </c>
      <c r="O710" s="4">
        <v>45898</v>
      </c>
      <c r="P710" s="4">
        <v>45919</v>
      </c>
      <c r="Q710" t="s">
        <v>47</v>
      </c>
      <c r="R710">
        <f>Table2[[#This Row],[End_Date]]-Table2[[#This Row],[Start_Date]]</f>
        <v>21</v>
      </c>
      <c r="S710" t="str">
        <f>TEXT(Table2[[#This Row],[Start_Date]],"MMM")</f>
        <v>Aug</v>
      </c>
      <c r="T710">
        <f>YEAR(Table2[[#This Row],[Start_Date]])</f>
        <v>2025</v>
      </c>
      <c r="U710">
        <f>Table2[[#This Row],[Campaign_Cost (₹)]]/Table2[[#This Row],[Reach]]</f>
        <v>9.795083614729057</v>
      </c>
      <c r="V710">
        <f>Table2[[#This Row],[Revenue_Generated (₹)]]/Table2[[#This Row],[Reach]]</f>
        <v>44.393592217398293</v>
      </c>
    </row>
    <row r="711" spans="1:22" x14ac:dyDescent="0.3">
      <c r="A711" t="s">
        <v>762</v>
      </c>
      <c r="B711" t="s">
        <v>32</v>
      </c>
      <c r="C711" t="s">
        <v>19</v>
      </c>
      <c r="D711" t="s">
        <v>20</v>
      </c>
      <c r="E711">
        <v>186138</v>
      </c>
      <c r="F711">
        <v>118148</v>
      </c>
      <c r="G711">
        <v>197704</v>
      </c>
      <c r="H711">
        <v>12170</v>
      </c>
      <c r="I711">
        <v>1194</v>
      </c>
      <c r="J711">
        <v>1061</v>
      </c>
      <c r="K711">
        <f t="shared" si="22"/>
        <v>12.209262958323459</v>
      </c>
      <c r="L711">
        <v>126437</v>
      </c>
      <c r="M711">
        <v>391074</v>
      </c>
      <c r="N711">
        <f t="shared" si="23"/>
        <v>209.30344756677238</v>
      </c>
      <c r="O711" s="4">
        <v>45997</v>
      </c>
      <c r="P711" s="4">
        <v>46023</v>
      </c>
      <c r="Q711" t="s">
        <v>41</v>
      </c>
      <c r="R711">
        <f>Table2[[#This Row],[End_Date]]-Table2[[#This Row],[Start_Date]]</f>
        <v>26</v>
      </c>
      <c r="S711" t="str">
        <f>TEXT(Table2[[#This Row],[Start_Date]],"MMM")</f>
        <v>Dec</v>
      </c>
      <c r="T711">
        <f>YEAR(Table2[[#This Row],[Start_Date]])</f>
        <v>2025</v>
      </c>
      <c r="U711">
        <f>Table2[[#This Row],[Campaign_Cost (₹)]]/Table2[[#This Row],[Reach]]</f>
        <v>1.0701577682229069</v>
      </c>
      <c r="V711">
        <f>Table2[[#This Row],[Revenue_Generated (₹)]]/Table2[[#This Row],[Reach]]</f>
        <v>3.3100348715170802</v>
      </c>
    </row>
    <row r="712" spans="1:22" x14ac:dyDescent="0.3">
      <c r="A712" t="s">
        <v>763</v>
      </c>
      <c r="B712" t="s">
        <v>61</v>
      </c>
      <c r="C712" t="s">
        <v>43</v>
      </c>
      <c r="D712" t="s">
        <v>51</v>
      </c>
      <c r="E712">
        <v>1488671</v>
      </c>
      <c r="F712">
        <v>997624</v>
      </c>
      <c r="G712">
        <v>1456637</v>
      </c>
      <c r="H712">
        <v>145405</v>
      </c>
      <c r="I712">
        <v>20318</v>
      </c>
      <c r="J712">
        <v>5329</v>
      </c>
      <c r="K712">
        <f t="shared" si="22"/>
        <v>17.145938750471117</v>
      </c>
      <c r="L712">
        <v>214031</v>
      </c>
      <c r="M712">
        <v>291089</v>
      </c>
      <c r="N712">
        <f t="shared" si="23"/>
        <v>36.003195798739434</v>
      </c>
      <c r="O712" s="4">
        <v>46057</v>
      </c>
      <c r="P712" s="4">
        <v>46080</v>
      </c>
      <c r="Q712" t="s">
        <v>30</v>
      </c>
      <c r="R712">
        <f>Table2[[#This Row],[End_Date]]-Table2[[#This Row],[Start_Date]]</f>
        <v>23</v>
      </c>
      <c r="S712" t="str">
        <f>TEXT(Table2[[#This Row],[Start_Date]],"MMM")</f>
        <v>Feb</v>
      </c>
      <c r="T712">
        <f>YEAR(Table2[[#This Row],[Start_Date]])</f>
        <v>2026</v>
      </c>
      <c r="U712">
        <f>Table2[[#This Row],[Campaign_Cost (₹)]]/Table2[[#This Row],[Reach]]</f>
        <v>0.21454074881919441</v>
      </c>
      <c r="V712">
        <f>Table2[[#This Row],[Revenue_Generated (₹)]]/Table2[[#This Row],[Reach]]</f>
        <v>0.29178227468465073</v>
      </c>
    </row>
    <row r="713" spans="1:22" x14ac:dyDescent="0.3">
      <c r="A713" t="s">
        <v>764</v>
      </c>
      <c r="B713" t="s">
        <v>57</v>
      </c>
      <c r="C713" t="s">
        <v>28</v>
      </c>
      <c r="D713" t="s">
        <v>58</v>
      </c>
      <c r="E713">
        <v>802211</v>
      </c>
      <c r="F713">
        <v>616321</v>
      </c>
      <c r="G713">
        <v>1001834</v>
      </c>
      <c r="H713">
        <v>86740</v>
      </c>
      <c r="I713">
        <v>5993</v>
      </c>
      <c r="J713">
        <v>6975</v>
      </c>
      <c r="K713">
        <f t="shared" si="22"/>
        <v>16.177933252314947</v>
      </c>
      <c r="L713">
        <v>29779</v>
      </c>
      <c r="M713">
        <v>141485</v>
      </c>
      <c r="N713">
        <f t="shared" si="23"/>
        <v>375.11669297155714</v>
      </c>
      <c r="O713" s="4">
        <v>45881</v>
      </c>
      <c r="P713" s="4">
        <v>45910</v>
      </c>
      <c r="Q713" t="s">
        <v>30</v>
      </c>
      <c r="R713">
        <f>Table2[[#This Row],[End_Date]]-Table2[[#This Row],[Start_Date]]</f>
        <v>29</v>
      </c>
      <c r="S713" t="str">
        <f>TEXT(Table2[[#This Row],[Start_Date]],"MMM")</f>
        <v>Aug</v>
      </c>
      <c r="T713">
        <f>YEAR(Table2[[#This Row],[Start_Date]])</f>
        <v>2025</v>
      </c>
      <c r="U713">
        <f>Table2[[#This Row],[Campaign_Cost (₹)]]/Table2[[#This Row],[Reach]]</f>
        <v>4.831735410605837E-2</v>
      </c>
      <c r="V713">
        <f>Table2[[#This Row],[Revenue_Generated (₹)]]/Table2[[#This Row],[Reach]]</f>
        <v>0.2295638149600614</v>
      </c>
    </row>
    <row r="714" spans="1:22" x14ac:dyDescent="0.3">
      <c r="A714" t="s">
        <v>765</v>
      </c>
      <c r="B714" t="s">
        <v>49</v>
      </c>
      <c r="C714" t="s">
        <v>19</v>
      </c>
      <c r="D714" t="s">
        <v>29</v>
      </c>
      <c r="E714">
        <v>959587</v>
      </c>
      <c r="F714">
        <v>324299</v>
      </c>
      <c r="G714">
        <v>491324</v>
      </c>
      <c r="H714">
        <v>30663</v>
      </c>
      <c r="I714">
        <v>4567</v>
      </c>
      <c r="J714">
        <v>1396</v>
      </c>
      <c r="K714">
        <f t="shared" si="22"/>
        <v>11.293898531910367</v>
      </c>
      <c r="L714">
        <v>97421</v>
      </c>
      <c r="M714">
        <v>343723</v>
      </c>
      <c r="N714">
        <f t="shared" si="23"/>
        <v>252.8222867759518</v>
      </c>
      <c r="O714" s="4">
        <v>46012</v>
      </c>
      <c r="P714" s="4">
        <v>46022</v>
      </c>
      <c r="Q714" t="s">
        <v>78</v>
      </c>
      <c r="R714">
        <f>Table2[[#This Row],[End_Date]]-Table2[[#This Row],[Start_Date]]</f>
        <v>10</v>
      </c>
      <c r="S714" t="str">
        <f>TEXT(Table2[[#This Row],[Start_Date]],"MMM")</f>
        <v>Dec</v>
      </c>
      <c r="T714">
        <f>YEAR(Table2[[#This Row],[Start_Date]])</f>
        <v>2025</v>
      </c>
      <c r="U714">
        <f>Table2[[#This Row],[Campaign_Cost (₹)]]/Table2[[#This Row],[Reach]]</f>
        <v>0.30040487328052201</v>
      </c>
      <c r="V714">
        <f>Table2[[#This Row],[Revenue_Generated (₹)]]/Table2[[#This Row],[Reach]]</f>
        <v>1.0598953434947378</v>
      </c>
    </row>
    <row r="715" spans="1:22" x14ac:dyDescent="0.3">
      <c r="A715" t="s">
        <v>766</v>
      </c>
      <c r="B715" t="s">
        <v>49</v>
      </c>
      <c r="C715" t="s">
        <v>19</v>
      </c>
      <c r="D715" t="s">
        <v>20</v>
      </c>
      <c r="E715">
        <v>1242096</v>
      </c>
      <c r="F715">
        <v>791545</v>
      </c>
      <c r="G715">
        <v>2333716</v>
      </c>
      <c r="H715">
        <v>30962</v>
      </c>
      <c r="I715">
        <v>1484</v>
      </c>
      <c r="J715">
        <v>1849</v>
      </c>
      <c r="K715">
        <f t="shared" si="22"/>
        <v>4.3326658623325267</v>
      </c>
      <c r="L715">
        <v>132190</v>
      </c>
      <c r="M715">
        <v>192667</v>
      </c>
      <c r="N715">
        <f t="shared" si="23"/>
        <v>45.750056736515617</v>
      </c>
      <c r="O715" s="4">
        <v>45983</v>
      </c>
      <c r="P715" s="4">
        <v>46002</v>
      </c>
      <c r="Q715" t="s">
        <v>54</v>
      </c>
      <c r="R715">
        <f>Table2[[#This Row],[End_Date]]-Table2[[#This Row],[Start_Date]]</f>
        <v>19</v>
      </c>
      <c r="S715" t="str">
        <f>TEXT(Table2[[#This Row],[Start_Date]],"MMM")</f>
        <v>Nov</v>
      </c>
      <c r="T715">
        <f>YEAR(Table2[[#This Row],[Start_Date]])</f>
        <v>2025</v>
      </c>
      <c r="U715">
        <f>Table2[[#This Row],[Campaign_Cost (₹)]]/Table2[[#This Row],[Reach]]</f>
        <v>0.16700250775382322</v>
      </c>
      <c r="V715">
        <f>Table2[[#This Row],[Revenue_Generated (₹)]]/Table2[[#This Row],[Reach]]</f>
        <v>0.24340624980260125</v>
      </c>
    </row>
    <row r="716" spans="1:22" x14ac:dyDescent="0.3">
      <c r="A716" t="s">
        <v>767</v>
      </c>
      <c r="B716" t="s">
        <v>103</v>
      </c>
      <c r="C716" t="s">
        <v>19</v>
      </c>
      <c r="D716" t="s">
        <v>58</v>
      </c>
      <c r="E716">
        <v>1873789</v>
      </c>
      <c r="F716">
        <v>1480095</v>
      </c>
      <c r="G716">
        <v>3052294</v>
      </c>
      <c r="H716">
        <v>150542</v>
      </c>
      <c r="I716">
        <v>8186</v>
      </c>
      <c r="J716">
        <v>5890</v>
      </c>
      <c r="K716">
        <f t="shared" si="22"/>
        <v>11.122123917721497</v>
      </c>
      <c r="L716">
        <v>355600</v>
      </c>
      <c r="M716">
        <v>754952</v>
      </c>
      <c r="N716">
        <f t="shared" si="23"/>
        <v>112.30371203599549</v>
      </c>
      <c r="O716" s="4">
        <v>46002</v>
      </c>
      <c r="P716" s="4">
        <v>46025</v>
      </c>
      <c r="Q716" t="s">
        <v>47</v>
      </c>
      <c r="R716">
        <f>Table2[[#This Row],[End_Date]]-Table2[[#This Row],[Start_Date]]</f>
        <v>23</v>
      </c>
      <c r="S716" t="str">
        <f>TEXT(Table2[[#This Row],[Start_Date]],"MMM")</f>
        <v>Dec</v>
      </c>
      <c r="T716">
        <f>YEAR(Table2[[#This Row],[Start_Date]])</f>
        <v>2025</v>
      </c>
      <c r="U716">
        <f>Table2[[#This Row],[Campaign_Cost (₹)]]/Table2[[#This Row],[Reach]]</f>
        <v>0.24025484850634587</v>
      </c>
      <c r="V716">
        <f>Table2[[#This Row],[Revenue_Generated (₹)]]/Table2[[#This Row],[Reach]]</f>
        <v>0.51006996172542973</v>
      </c>
    </row>
    <row r="717" spans="1:22" x14ac:dyDescent="0.3">
      <c r="A717" t="s">
        <v>768</v>
      </c>
      <c r="B717" t="s">
        <v>36</v>
      </c>
      <c r="C717" t="s">
        <v>37</v>
      </c>
      <c r="D717" t="s">
        <v>46</v>
      </c>
      <c r="E717">
        <v>1402698</v>
      </c>
      <c r="F717">
        <v>510949</v>
      </c>
      <c r="G717">
        <v>1500855</v>
      </c>
      <c r="H717">
        <v>17668</v>
      </c>
      <c r="I717">
        <v>1149</v>
      </c>
      <c r="J717">
        <v>1439</v>
      </c>
      <c r="K717">
        <f t="shared" si="22"/>
        <v>3.9643878351851161</v>
      </c>
      <c r="L717">
        <v>181259</v>
      </c>
      <c r="M717">
        <v>487774</v>
      </c>
      <c r="N717">
        <f t="shared" si="23"/>
        <v>169.10332728305906</v>
      </c>
      <c r="O717" s="4">
        <v>46080</v>
      </c>
      <c r="P717" s="4">
        <v>46105</v>
      </c>
      <c r="Q717" t="s">
        <v>41</v>
      </c>
      <c r="R717">
        <f>Table2[[#This Row],[End_Date]]-Table2[[#This Row],[Start_Date]]</f>
        <v>25</v>
      </c>
      <c r="S717" t="str">
        <f>TEXT(Table2[[#This Row],[Start_Date]],"MMM")</f>
        <v>Feb</v>
      </c>
      <c r="T717">
        <f>YEAR(Table2[[#This Row],[Start_Date]])</f>
        <v>2026</v>
      </c>
      <c r="U717">
        <f>Table2[[#This Row],[Campaign_Cost (₹)]]/Table2[[#This Row],[Reach]]</f>
        <v>0.3547496912607716</v>
      </c>
      <c r="V717">
        <f>Table2[[#This Row],[Revenue_Generated (₹)]]/Table2[[#This Row],[Reach]]</f>
        <v>0.95464322270911584</v>
      </c>
    </row>
    <row r="718" spans="1:22" x14ac:dyDescent="0.3">
      <c r="A718" t="s">
        <v>769</v>
      </c>
      <c r="B718" t="s">
        <v>39</v>
      </c>
      <c r="C718" t="s">
        <v>43</v>
      </c>
      <c r="D718" t="s">
        <v>58</v>
      </c>
      <c r="E718">
        <v>1838695</v>
      </c>
      <c r="F718">
        <v>1394801</v>
      </c>
      <c r="G718">
        <v>3478031</v>
      </c>
      <c r="H718">
        <v>147082</v>
      </c>
      <c r="I718">
        <v>5185</v>
      </c>
      <c r="J718">
        <v>13423</v>
      </c>
      <c r="K718">
        <f t="shared" si="22"/>
        <v>11.879113938117337</v>
      </c>
      <c r="L718">
        <v>329506</v>
      </c>
      <c r="M718">
        <v>418018</v>
      </c>
      <c r="N718">
        <f t="shared" si="23"/>
        <v>26.862029826467499</v>
      </c>
      <c r="O718" s="4">
        <v>45912</v>
      </c>
      <c r="P718" s="4">
        <v>45941</v>
      </c>
      <c r="Q718" t="s">
        <v>41</v>
      </c>
      <c r="R718">
        <f>Table2[[#This Row],[End_Date]]-Table2[[#This Row],[Start_Date]]</f>
        <v>29</v>
      </c>
      <c r="S718" t="str">
        <f>TEXT(Table2[[#This Row],[Start_Date]],"MMM")</f>
        <v>Sep</v>
      </c>
      <c r="T718">
        <f>YEAR(Table2[[#This Row],[Start_Date]])</f>
        <v>2025</v>
      </c>
      <c r="U718">
        <f>Table2[[#This Row],[Campaign_Cost (₹)]]/Table2[[#This Row],[Reach]]</f>
        <v>0.23623871792463585</v>
      </c>
      <c r="V718">
        <f>Table2[[#This Row],[Revenue_Generated (₹)]]/Table2[[#This Row],[Reach]]</f>
        <v>0.29969723279521593</v>
      </c>
    </row>
    <row r="719" spans="1:22" x14ac:dyDescent="0.3">
      <c r="A719" t="s">
        <v>770</v>
      </c>
      <c r="B719" t="s">
        <v>53</v>
      </c>
      <c r="C719" t="s">
        <v>43</v>
      </c>
      <c r="D719" t="s">
        <v>40</v>
      </c>
      <c r="E719">
        <v>399257</v>
      </c>
      <c r="F719">
        <v>252178</v>
      </c>
      <c r="G719">
        <v>454772</v>
      </c>
      <c r="H719">
        <v>31009</v>
      </c>
      <c r="I719">
        <v>2577</v>
      </c>
      <c r="J719">
        <v>2807</v>
      </c>
      <c r="K719">
        <f t="shared" si="22"/>
        <v>14.431473007161607</v>
      </c>
      <c r="L719">
        <v>228519</v>
      </c>
      <c r="M719">
        <v>491249</v>
      </c>
      <c r="N719">
        <f t="shared" si="23"/>
        <v>114.97074641495892</v>
      </c>
      <c r="O719" s="4">
        <v>46018</v>
      </c>
      <c r="P719" s="4">
        <v>46028</v>
      </c>
      <c r="Q719" t="s">
        <v>47</v>
      </c>
      <c r="R719">
        <f>Table2[[#This Row],[End_Date]]-Table2[[#This Row],[Start_Date]]</f>
        <v>10</v>
      </c>
      <c r="S719" t="str">
        <f>TEXT(Table2[[#This Row],[Start_Date]],"MMM")</f>
        <v>Dec</v>
      </c>
      <c r="T719">
        <f>YEAR(Table2[[#This Row],[Start_Date]])</f>
        <v>2025</v>
      </c>
      <c r="U719">
        <f>Table2[[#This Row],[Campaign_Cost (₹)]]/Table2[[#This Row],[Reach]]</f>
        <v>0.90618134809539297</v>
      </c>
      <c r="V719">
        <f>Table2[[#This Row],[Revenue_Generated (₹)]]/Table2[[#This Row],[Reach]]</f>
        <v>1.9480248078738034</v>
      </c>
    </row>
    <row r="720" spans="1:22" x14ac:dyDescent="0.3">
      <c r="A720" t="s">
        <v>771</v>
      </c>
      <c r="B720" t="s">
        <v>49</v>
      </c>
      <c r="C720" t="s">
        <v>28</v>
      </c>
      <c r="D720" t="s">
        <v>46</v>
      </c>
      <c r="E720">
        <v>1332490</v>
      </c>
      <c r="F720">
        <v>809117</v>
      </c>
      <c r="G720">
        <v>1941865</v>
      </c>
      <c r="H720">
        <v>56787</v>
      </c>
      <c r="I720">
        <v>5512</v>
      </c>
      <c r="J720">
        <v>5453</v>
      </c>
      <c r="K720">
        <f t="shared" si="22"/>
        <v>8.3735726724317985</v>
      </c>
      <c r="L720">
        <v>336351</v>
      </c>
      <c r="M720">
        <v>1504760</v>
      </c>
      <c r="N720">
        <f t="shared" si="23"/>
        <v>347.37788798011604</v>
      </c>
      <c r="O720" s="4">
        <v>46084</v>
      </c>
      <c r="P720" s="4">
        <v>46098</v>
      </c>
      <c r="Q720" t="s">
        <v>25</v>
      </c>
      <c r="R720">
        <f>Table2[[#This Row],[End_Date]]-Table2[[#This Row],[Start_Date]]</f>
        <v>14</v>
      </c>
      <c r="S720" t="str">
        <f>TEXT(Table2[[#This Row],[Start_Date]],"MMM")</f>
        <v>Mar</v>
      </c>
      <c r="T720">
        <f>YEAR(Table2[[#This Row],[Start_Date]])</f>
        <v>2026</v>
      </c>
      <c r="U720">
        <f>Table2[[#This Row],[Campaign_Cost (₹)]]/Table2[[#This Row],[Reach]]</f>
        <v>0.4157013139014506</v>
      </c>
      <c r="V720">
        <f>Table2[[#This Row],[Revenue_Generated (₹)]]/Table2[[#This Row],[Reach]]</f>
        <v>1.8597557584379021</v>
      </c>
    </row>
    <row r="721" spans="1:22" x14ac:dyDescent="0.3">
      <c r="A721" t="s">
        <v>772</v>
      </c>
      <c r="B721" t="s">
        <v>63</v>
      </c>
      <c r="C721" t="s">
        <v>43</v>
      </c>
      <c r="D721" t="s">
        <v>20</v>
      </c>
      <c r="E721">
        <v>1979294</v>
      </c>
      <c r="F721">
        <v>768669</v>
      </c>
      <c r="G721">
        <v>2165311</v>
      </c>
      <c r="H721">
        <v>55961</v>
      </c>
      <c r="I721">
        <v>2730</v>
      </c>
      <c r="J721">
        <v>3057</v>
      </c>
      <c r="K721">
        <f t="shared" si="22"/>
        <v>8.0331065777337187</v>
      </c>
      <c r="L721">
        <v>223562</v>
      </c>
      <c r="M721">
        <v>724086</v>
      </c>
      <c r="N721">
        <f t="shared" si="23"/>
        <v>223.88599135810199</v>
      </c>
      <c r="O721" s="4">
        <v>46056</v>
      </c>
      <c r="P721" s="4">
        <v>46074</v>
      </c>
      <c r="Q721" t="s">
        <v>34</v>
      </c>
      <c r="R721">
        <f>Table2[[#This Row],[End_Date]]-Table2[[#This Row],[Start_Date]]</f>
        <v>18</v>
      </c>
      <c r="S721" t="str">
        <f>TEXT(Table2[[#This Row],[Start_Date]],"MMM")</f>
        <v>Feb</v>
      </c>
      <c r="T721">
        <f>YEAR(Table2[[#This Row],[Start_Date]])</f>
        <v>2026</v>
      </c>
      <c r="U721">
        <f>Table2[[#This Row],[Campaign_Cost (₹)]]/Table2[[#This Row],[Reach]]</f>
        <v>0.29084300264483154</v>
      </c>
      <c r="V721">
        <f>Table2[[#This Row],[Revenue_Generated (₹)]]/Table2[[#This Row],[Reach]]</f>
        <v>0.94199974241188345</v>
      </c>
    </row>
    <row r="722" spans="1:22" x14ac:dyDescent="0.3">
      <c r="A722" t="s">
        <v>773</v>
      </c>
      <c r="B722" t="s">
        <v>27</v>
      </c>
      <c r="C722" t="s">
        <v>43</v>
      </c>
      <c r="D722" t="s">
        <v>40</v>
      </c>
      <c r="E722">
        <v>1686851</v>
      </c>
      <c r="F722">
        <v>452888</v>
      </c>
      <c r="G722">
        <v>669735</v>
      </c>
      <c r="H722">
        <v>19892</v>
      </c>
      <c r="I722">
        <v>825</v>
      </c>
      <c r="J722">
        <v>1686</v>
      </c>
      <c r="K722">
        <f t="shared" si="22"/>
        <v>4.9466976382681809</v>
      </c>
      <c r="L722">
        <v>222325</v>
      </c>
      <c r="M722">
        <v>744740</v>
      </c>
      <c r="N722">
        <f t="shared" si="23"/>
        <v>234.97807264140334</v>
      </c>
      <c r="O722" s="4">
        <v>45877</v>
      </c>
      <c r="P722" s="4">
        <v>45906</v>
      </c>
      <c r="Q722" t="s">
        <v>47</v>
      </c>
      <c r="R722">
        <f>Table2[[#This Row],[End_Date]]-Table2[[#This Row],[Start_Date]]</f>
        <v>29</v>
      </c>
      <c r="S722" t="str">
        <f>TEXT(Table2[[#This Row],[Start_Date]],"MMM")</f>
        <v>Aug</v>
      </c>
      <c r="T722">
        <f>YEAR(Table2[[#This Row],[Start_Date]])</f>
        <v>2025</v>
      </c>
      <c r="U722">
        <f>Table2[[#This Row],[Campaign_Cost (₹)]]/Table2[[#This Row],[Reach]]</f>
        <v>0.49090503612372155</v>
      </c>
      <c r="V722">
        <f>Table2[[#This Row],[Revenue_Generated (₹)]]/Table2[[#This Row],[Reach]]</f>
        <v>1.6444242285068273</v>
      </c>
    </row>
    <row r="723" spans="1:22" x14ac:dyDescent="0.3">
      <c r="A723" t="s">
        <v>774</v>
      </c>
      <c r="B723" t="s">
        <v>53</v>
      </c>
      <c r="C723" t="s">
        <v>37</v>
      </c>
      <c r="D723" t="s">
        <v>29</v>
      </c>
      <c r="E723">
        <v>498621</v>
      </c>
      <c r="F723">
        <v>265156</v>
      </c>
      <c r="G723">
        <v>296537</v>
      </c>
      <c r="H723">
        <v>18040</v>
      </c>
      <c r="I723">
        <v>1297</v>
      </c>
      <c r="J723">
        <v>1272</v>
      </c>
      <c r="K723">
        <f t="shared" si="22"/>
        <v>7.7724056781668143</v>
      </c>
      <c r="L723">
        <v>146113</v>
      </c>
      <c r="M723">
        <v>665390</v>
      </c>
      <c r="N723">
        <f t="shared" si="23"/>
        <v>355.39411277572839</v>
      </c>
      <c r="O723" s="4">
        <v>45840</v>
      </c>
      <c r="P723" s="4">
        <v>45854</v>
      </c>
      <c r="Q723" t="s">
        <v>30</v>
      </c>
      <c r="R723">
        <f>Table2[[#This Row],[End_Date]]-Table2[[#This Row],[Start_Date]]</f>
        <v>14</v>
      </c>
      <c r="S723" t="str">
        <f>TEXT(Table2[[#This Row],[Start_Date]],"MMM")</f>
        <v>Jul</v>
      </c>
      <c r="T723">
        <f>YEAR(Table2[[#This Row],[Start_Date]])</f>
        <v>2025</v>
      </c>
      <c r="U723">
        <f>Table2[[#This Row],[Campaign_Cost (₹)]]/Table2[[#This Row],[Reach]]</f>
        <v>0.55104542231742826</v>
      </c>
      <c r="V723">
        <f>Table2[[#This Row],[Revenue_Generated (₹)]]/Table2[[#This Row],[Reach]]</f>
        <v>2.509428411953718</v>
      </c>
    </row>
    <row r="724" spans="1:22" x14ac:dyDescent="0.3">
      <c r="A724" t="s">
        <v>775</v>
      </c>
      <c r="B724" t="s">
        <v>53</v>
      </c>
      <c r="C724" t="s">
        <v>28</v>
      </c>
      <c r="D724" t="s">
        <v>20</v>
      </c>
      <c r="E724">
        <v>316283</v>
      </c>
      <c r="F724">
        <v>199667</v>
      </c>
      <c r="G724">
        <v>447292</v>
      </c>
      <c r="H724">
        <v>20035</v>
      </c>
      <c r="I724">
        <v>1741</v>
      </c>
      <c r="J724">
        <v>1955</v>
      </c>
      <c r="K724">
        <f t="shared" si="22"/>
        <v>11.885289006195315</v>
      </c>
      <c r="L724">
        <v>27045</v>
      </c>
      <c r="M724">
        <v>96534</v>
      </c>
      <c r="N724">
        <f t="shared" si="23"/>
        <v>256.93843594009979</v>
      </c>
      <c r="O724" s="4">
        <v>45735</v>
      </c>
      <c r="P724" s="4">
        <v>45747</v>
      </c>
      <c r="Q724" t="s">
        <v>21</v>
      </c>
      <c r="R724">
        <f>Table2[[#This Row],[End_Date]]-Table2[[#This Row],[Start_Date]]</f>
        <v>12</v>
      </c>
      <c r="S724" t="str">
        <f>TEXT(Table2[[#This Row],[Start_Date]],"MMM")</f>
        <v>Mar</v>
      </c>
      <c r="T724">
        <f>YEAR(Table2[[#This Row],[Start_Date]])</f>
        <v>2025</v>
      </c>
      <c r="U724">
        <f>Table2[[#This Row],[Campaign_Cost (₹)]]/Table2[[#This Row],[Reach]]</f>
        <v>0.13545052512433201</v>
      </c>
      <c r="V724">
        <f>Table2[[#This Row],[Revenue_Generated (₹)]]/Table2[[#This Row],[Reach]]</f>
        <v>0.48347498585144266</v>
      </c>
    </row>
    <row r="725" spans="1:22" x14ac:dyDescent="0.3">
      <c r="A725" t="s">
        <v>776</v>
      </c>
      <c r="B725" t="s">
        <v>53</v>
      </c>
      <c r="C725" t="s">
        <v>33</v>
      </c>
      <c r="D725" t="s">
        <v>58</v>
      </c>
      <c r="E725">
        <v>1470687</v>
      </c>
      <c r="F725">
        <v>923155</v>
      </c>
      <c r="G725">
        <v>1147708</v>
      </c>
      <c r="H725">
        <v>106521</v>
      </c>
      <c r="I725">
        <v>10063</v>
      </c>
      <c r="J725">
        <v>7332</v>
      </c>
      <c r="K725">
        <f t="shared" si="22"/>
        <v>13.423097962963965</v>
      </c>
      <c r="L725">
        <v>21937</v>
      </c>
      <c r="M725">
        <v>103437</v>
      </c>
      <c r="N725">
        <f t="shared" si="23"/>
        <v>371.51843916670464</v>
      </c>
      <c r="O725" s="4">
        <v>45849</v>
      </c>
      <c r="P725" s="4">
        <v>45871</v>
      </c>
      <c r="Q725" t="s">
        <v>30</v>
      </c>
      <c r="R725">
        <f>Table2[[#This Row],[End_Date]]-Table2[[#This Row],[Start_Date]]</f>
        <v>22</v>
      </c>
      <c r="S725" t="str">
        <f>TEXT(Table2[[#This Row],[Start_Date]],"MMM")</f>
        <v>Jul</v>
      </c>
      <c r="T725">
        <f>YEAR(Table2[[#This Row],[Start_Date]])</f>
        <v>2025</v>
      </c>
      <c r="U725">
        <f>Table2[[#This Row],[Campaign_Cost (₹)]]/Table2[[#This Row],[Reach]]</f>
        <v>2.3763073373377169E-2</v>
      </c>
      <c r="V725">
        <f>Table2[[#This Row],[Revenue_Generated (₹)]]/Table2[[#This Row],[Reach]]</f>
        <v>0.11204727266818681</v>
      </c>
    </row>
    <row r="726" spans="1:22" x14ac:dyDescent="0.3">
      <c r="A726" t="s">
        <v>777</v>
      </c>
      <c r="B726" t="s">
        <v>27</v>
      </c>
      <c r="C726" t="s">
        <v>33</v>
      </c>
      <c r="D726" t="s">
        <v>58</v>
      </c>
      <c r="E726">
        <v>179961</v>
      </c>
      <c r="F726">
        <v>128815</v>
      </c>
      <c r="G726">
        <v>190558</v>
      </c>
      <c r="H726">
        <v>8998</v>
      </c>
      <c r="I726">
        <v>1101</v>
      </c>
      <c r="J726">
        <v>711</v>
      </c>
      <c r="K726">
        <f t="shared" si="22"/>
        <v>8.3918798276598228</v>
      </c>
      <c r="L726">
        <v>380783</v>
      </c>
      <c r="M726">
        <v>914995</v>
      </c>
      <c r="N726">
        <f t="shared" si="23"/>
        <v>140.29302778748001</v>
      </c>
      <c r="O726" s="4">
        <v>45749</v>
      </c>
      <c r="P726" s="4">
        <v>45762</v>
      </c>
      <c r="Q726" t="s">
        <v>47</v>
      </c>
      <c r="R726">
        <f>Table2[[#This Row],[End_Date]]-Table2[[#This Row],[Start_Date]]</f>
        <v>13</v>
      </c>
      <c r="S726" t="str">
        <f>TEXT(Table2[[#This Row],[Start_Date]],"MMM")</f>
        <v>Apr</v>
      </c>
      <c r="T726">
        <f>YEAR(Table2[[#This Row],[Start_Date]])</f>
        <v>2025</v>
      </c>
      <c r="U726">
        <f>Table2[[#This Row],[Campaign_Cost (₹)]]/Table2[[#This Row],[Reach]]</f>
        <v>2.9560454915964756</v>
      </c>
      <c r="V726">
        <f>Table2[[#This Row],[Revenue_Generated (₹)]]/Table2[[#This Row],[Reach]]</f>
        <v>7.1031712145324688</v>
      </c>
    </row>
    <row r="727" spans="1:22" x14ac:dyDescent="0.3">
      <c r="A727" t="s">
        <v>778</v>
      </c>
      <c r="B727" t="s">
        <v>63</v>
      </c>
      <c r="C727" t="s">
        <v>33</v>
      </c>
      <c r="D727" t="s">
        <v>51</v>
      </c>
      <c r="E727">
        <v>571578</v>
      </c>
      <c r="F727">
        <v>277979</v>
      </c>
      <c r="G727">
        <v>557622</v>
      </c>
      <c r="H727">
        <v>35968</v>
      </c>
      <c r="I727">
        <v>4169</v>
      </c>
      <c r="J727">
        <v>1833</v>
      </c>
      <c r="K727">
        <f t="shared" si="22"/>
        <v>15.098262818414341</v>
      </c>
      <c r="L727">
        <v>112940</v>
      </c>
      <c r="M727">
        <v>514963</v>
      </c>
      <c r="N727">
        <f t="shared" si="23"/>
        <v>355.96157251638039</v>
      </c>
      <c r="O727" s="4">
        <v>46070</v>
      </c>
      <c r="P727" s="4">
        <v>46098</v>
      </c>
      <c r="Q727" t="s">
        <v>41</v>
      </c>
      <c r="R727">
        <f>Table2[[#This Row],[End_Date]]-Table2[[#This Row],[Start_Date]]</f>
        <v>28</v>
      </c>
      <c r="S727" t="str">
        <f>TEXT(Table2[[#This Row],[Start_Date]],"MMM")</f>
        <v>Feb</v>
      </c>
      <c r="T727">
        <f>YEAR(Table2[[#This Row],[Start_Date]])</f>
        <v>2026</v>
      </c>
      <c r="U727">
        <f>Table2[[#This Row],[Campaign_Cost (₹)]]/Table2[[#This Row],[Reach]]</f>
        <v>0.40628968375308927</v>
      </c>
      <c r="V727">
        <f>Table2[[#This Row],[Revenue_Generated (₹)]]/Table2[[#This Row],[Reach]]</f>
        <v>1.8525248310124145</v>
      </c>
    </row>
    <row r="728" spans="1:22" x14ac:dyDescent="0.3">
      <c r="A728" t="s">
        <v>779</v>
      </c>
      <c r="B728" t="s">
        <v>27</v>
      </c>
      <c r="C728" t="s">
        <v>43</v>
      </c>
      <c r="D728" t="s">
        <v>58</v>
      </c>
      <c r="E728">
        <v>1907772</v>
      </c>
      <c r="F728">
        <v>1566766</v>
      </c>
      <c r="G728">
        <v>2489435</v>
      </c>
      <c r="H728">
        <v>162053</v>
      </c>
      <c r="I728">
        <v>18343</v>
      </c>
      <c r="J728">
        <v>15461</v>
      </c>
      <c r="K728">
        <f t="shared" si="22"/>
        <v>12.500718039579617</v>
      </c>
      <c r="L728">
        <v>269690</v>
      </c>
      <c r="M728">
        <v>599877</v>
      </c>
      <c r="N728">
        <f t="shared" si="23"/>
        <v>122.432051614817</v>
      </c>
      <c r="O728" s="4">
        <v>45796</v>
      </c>
      <c r="P728" s="4">
        <v>45813</v>
      </c>
      <c r="Q728" t="s">
        <v>47</v>
      </c>
      <c r="R728">
        <f>Table2[[#This Row],[End_Date]]-Table2[[#This Row],[Start_Date]]</f>
        <v>17</v>
      </c>
      <c r="S728" t="str">
        <f>TEXT(Table2[[#This Row],[Start_Date]],"MMM")</f>
        <v>May</v>
      </c>
      <c r="T728">
        <f>YEAR(Table2[[#This Row],[Start_Date]])</f>
        <v>2025</v>
      </c>
      <c r="U728">
        <f>Table2[[#This Row],[Campaign_Cost (₹)]]/Table2[[#This Row],[Reach]]</f>
        <v>0.17213163931308184</v>
      </c>
      <c r="V728">
        <f>Table2[[#This Row],[Revenue_Generated (₹)]]/Table2[[#This Row],[Reach]]</f>
        <v>0.38287593680230486</v>
      </c>
    </row>
    <row r="729" spans="1:22" x14ac:dyDescent="0.3">
      <c r="A729" t="s">
        <v>780</v>
      </c>
      <c r="B729" t="s">
        <v>23</v>
      </c>
      <c r="C729" t="s">
        <v>43</v>
      </c>
      <c r="D729" t="s">
        <v>20</v>
      </c>
      <c r="E729">
        <v>605506</v>
      </c>
      <c r="F729">
        <v>279650</v>
      </c>
      <c r="G729">
        <v>763245</v>
      </c>
      <c r="H729">
        <v>14758</v>
      </c>
      <c r="I729">
        <v>1029</v>
      </c>
      <c r="J729">
        <v>581</v>
      </c>
      <c r="K729">
        <f t="shared" si="22"/>
        <v>5.8530305739316999</v>
      </c>
      <c r="L729">
        <v>268592</v>
      </c>
      <c r="M729">
        <v>1279762</v>
      </c>
      <c r="N729">
        <f t="shared" si="23"/>
        <v>376.47063203669506</v>
      </c>
      <c r="O729" s="4">
        <v>46067</v>
      </c>
      <c r="P729" s="4">
        <v>46085</v>
      </c>
      <c r="Q729" t="s">
        <v>41</v>
      </c>
      <c r="R729">
        <f>Table2[[#This Row],[End_Date]]-Table2[[#This Row],[Start_Date]]</f>
        <v>18</v>
      </c>
      <c r="S729" t="str">
        <f>TEXT(Table2[[#This Row],[Start_Date]],"MMM")</f>
        <v>Feb</v>
      </c>
      <c r="T729">
        <f>YEAR(Table2[[#This Row],[Start_Date]])</f>
        <v>2026</v>
      </c>
      <c r="U729">
        <f>Table2[[#This Row],[Campaign_Cost (₹)]]/Table2[[#This Row],[Reach]]</f>
        <v>0.96045771500089394</v>
      </c>
      <c r="V729">
        <f>Table2[[#This Row],[Revenue_Generated (₹)]]/Table2[[#This Row],[Reach]]</f>
        <v>4.5762989451099587</v>
      </c>
    </row>
    <row r="730" spans="1:22" x14ac:dyDescent="0.3">
      <c r="A730" t="s">
        <v>781</v>
      </c>
      <c r="B730" t="s">
        <v>53</v>
      </c>
      <c r="C730" t="s">
        <v>37</v>
      </c>
      <c r="D730" t="s">
        <v>40</v>
      </c>
      <c r="E730">
        <v>518136</v>
      </c>
      <c r="F730">
        <v>207333</v>
      </c>
      <c r="G730">
        <v>433769</v>
      </c>
      <c r="H730">
        <v>22585</v>
      </c>
      <c r="I730">
        <v>871</v>
      </c>
      <c r="J730">
        <v>1256</v>
      </c>
      <c r="K730">
        <f t="shared" si="22"/>
        <v>11.91899022345695</v>
      </c>
      <c r="L730">
        <v>397085</v>
      </c>
      <c r="M730">
        <v>1109702</v>
      </c>
      <c r="N730">
        <f t="shared" si="23"/>
        <v>179.46207990732464</v>
      </c>
      <c r="O730" s="4">
        <v>46065</v>
      </c>
      <c r="P730" s="4">
        <v>46091</v>
      </c>
      <c r="Q730" t="s">
        <v>41</v>
      </c>
      <c r="R730">
        <f>Table2[[#This Row],[End_Date]]-Table2[[#This Row],[Start_Date]]</f>
        <v>26</v>
      </c>
      <c r="S730" t="str">
        <f>TEXT(Table2[[#This Row],[Start_Date]],"MMM")</f>
        <v>Feb</v>
      </c>
      <c r="T730">
        <f>YEAR(Table2[[#This Row],[Start_Date]])</f>
        <v>2026</v>
      </c>
      <c r="U730">
        <f>Table2[[#This Row],[Campaign_Cost (₹)]]/Table2[[#This Row],[Reach]]</f>
        <v>1.9152040437364046</v>
      </c>
      <c r="V730">
        <f>Table2[[#This Row],[Revenue_Generated (₹)]]/Table2[[#This Row],[Reach]]</f>
        <v>5.3522690550949434</v>
      </c>
    </row>
    <row r="731" spans="1:22" x14ac:dyDescent="0.3">
      <c r="A731" t="s">
        <v>782</v>
      </c>
      <c r="B731" t="s">
        <v>36</v>
      </c>
      <c r="C731" t="s">
        <v>28</v>
      </c>
      <c r="D731" t="s">
        <v>29</v>
      </c>
      <c r="E731">
        <v>839485</v>
      </c>
      <c r="F731">
        <v>594413</v>
      </c>
      <c r="G731">
        <v>664911</v>
      </c>
      <c r="H731">
        <v>54399</v>
      </c>
      <c r="I731">
        <v>2540</v>
      </c>
      <c r="J731">
        <v>3271</v>
      </c>
      <c r="K731">
        <f t="shared" si="22"/>
        <v>10.129320859402471</v>
      </c>
      <c r="L731">
        <v>473597</v>
      </c>
      <c r="M731">
        <v>2185173</v>
      </c>
      <c r="N731">
        <f t="shared" si="23"/>
        <v>361.39924872834916</v>
      </c>
      <c r="O731" s="4">
        <v>46149</v>
      </c>
      <c r="P731" s="4">
        <v>46165</v>
      </c>
      <c r="Q731" t="s">
        <v>47</v>
      </c>
      <c r="R731">
        <f>Table2[[#This Row],[End_Date]]-Table2[[#This Row],[Start_Date]]</f>
        <v>16</v>
      </c>
      <c r="S731" t="str">
        <f>TEXT(Table2[[#This Row],[Start_Date]],"MMM")</f>
        <v>May</v>
      </c>
      <c r="T731">
        <f>YEAR(Table2[[#This Row],[Start_Date]])</f>
        <v>2026</v>
      </c>
      <c r="U731">
        <f>Table2[[#This Row],[Campaign_Cost (₹)]]/Table2[[#This Row],[Reach]]</f>
        <v>0.79674737934735618</v>
      </c>
      <c r="V731">
        <f>Table2[[#This Row],[Revenue_Generated (₹)]]/Table2[[#This Row],[Reach]]</f>
        <v>3.6761864225715115</v>
      </c>
    </row>
    <row r="732" spans="1:22" x14ac:dyDescent="0.3">
      <c r="A732" t="s">
        <v>783</v>
      </c>
      <c r="B732" t="s">
        <v>75</v>
      </c>
      <c r="C732" t="s">
        <v>33</v>
      </c>
      <c r="D732" t="s">
        <v>40</v>
      </c>
      <c r="E732">
        <v>1246473</v>
      </c>
      <c r="F732">
        <v>521364</v>
      </c>
      <c r="G732">
        <v>880134</v>
      </c>
      <c r="H732">
        <v>49389</v>
      </c>
      <c r="I732">
        <v>1550</v>
      </c>
      <c r="J732">
        <v>3869</v>
      </c>
      <c r="K732">
        <f t="shared" si="22"/>
        <v>10.512425100313791</v>
      </c>
      <c r="L732">
        <v>103145</v>
      </c>
      <c r="M732">
        <v>471419</v>
      </c>
      <c r="N732">
        <f t="shared" si="23"/>
        <v>357.04493673954141</v>
      </c>
      <c r="O732" s="4">
        <v>45928</v>
      </c>
      <c r="P732" s="4">
        <v>45954</v>
      </c>
      <c r="Q732" t="s">
        <v>41</v>
      </c>
      <c r="R732">
        <f>Table2[[#This Row],[End_Date]]-Table2[[#This Row],[Start_Date]]</f>
        <v>26</v>
      </c>
      <c r="S732" t="str">
        <f>TEXT(Table2[[#This Row],[Start_Date]],"MMM")</f>
        <v>Sep</v>
      </c>
      <c r="T732">
        <f>YEAR(Table2[[#This Row],[Start_Date]])</f>
        <v>2025</v>
      </c>
      <c r="U732">
        <f>Table2[[#This Row],[Campaign_Cost (₹)]]/Table2[[#This Row],[Reach]]</f>
        <v>0.19783682801267444</v>
      </c>
      <c r="V732">
        <f>Table2[[#This Row],[Revenue_Generated (₹)]]/Table2[[#This Row],[Reach]]</f>
        <v>0.90420320543804333</v>
      </c>
    </row>
    <row r="733" spans="1:22" x14ac:dyDescent="0.3">
      <c r="A733" t="s">
        <v>784</v>
      </c>
      <c r="B733" t="s">
        <v>63</v>
      </c>
      <c r="C733" t="s">
        <v>28</v>
      </c>
      <c r="D733" t="s">
        <v>24</v>
      </c>
      <c r="E733">
        <v>1309128</v>
      </c>
      <c r="F733">
        <v>704014</v>
      </c>
      <c r="G733">
        <v>1941698</v>
      </c>
      <c r="H733">
        <v>85255</v>
      </c>
      <c r="I733">
        <v>3574</v>
      </c>
      <c r="J733">
        <v>4169</v>
      </c>
      <c r="K733">
        <f t="shared" si="22"/>
        <v>13.20968048930845</v>
      </c>
      <c r="L733">
        <v>328337</v>
      </c>
      <c r="M733">
        <v>382415</v>
      </c>
      <c r="N733">
        <f t="shared" si="23"/>
        <v>16.470272920810022</v>
      </c>
      <c r="O733" s="4">
        <v>45917</v>
      </c>
      <c r="P733" s="4">
        <v>45931</v>
      </c>
      <c r="Q733" t="s">
        <v>21</v>
      </c>
      <c r="R733">
        <f>Table2[[#This Row],[End_Date]]-Table2[[#This Row],[Start_Date]]</f>
        <v>14</v>
      </c>
      <c r="S733" t="str">
        <f>TEXT(Table2[[#This Row],[Start_Date]],"MMM")</f>
        <v>Sep</v>
      </c>
      <c r="T733">
        <f>YEAR(Table2[[#This Row],[Start_Date]])</f>
        <v>2025</v>
      </c>
      <c r="U733">
        <f>Table2[[#This Row],[Campaign_Cost (₹)]]/Table2[[#This Row],[Reach]]</f>
        <v>0.46637850951827664</v>
      </c>
      <c r="V733">
        <f>Table2[[#This Row],[Revenue_Generated (₹)]]/Table2[[#This Row],[Reach]]</f>
        <v>0.54319232287994268</v>
      </c>
    </row>
    <row r="734" spans="1:22" x14ac:dyDescent="0.3">
      <c r="A734" t="s">
        <v>785</v>
      </c>
      <c r="B734" t="s">
        <v>75</v>
      </c>
      <c r="C734" t="s">
        <v>19</v>
      </c>
      <c r="D734" t="s">
        <v>29</v>
      </c>
      <c r="E734">
        <v>444939</v>
      </c>
      <c r="F734">
        <v>324020</v>
      </c>
      <c r="G734">
        <v>444622</v>
      </c>
      <c r="H734">
        <v>28163</v>
      </c>
      <c r="I734">
        <v>2289</v>
      </c>
      <c r="J734">
        <v>902</v>
      </c>
      <c r="K734">
        <f t="shared" si="22"/>
        <v>9.6765631751126477</v>
      </c>
      <c r="L734">
        <v>186263</v>
      </c>
      <c r="M734">
        <v>804528</v>
      </c>
      <c r="N734">
        <f t="shared" si="23"/>
        <v>331.93119406430691</v>
      </c>
      <c r="O734" s="4">
        <v>45999</v>
      </c>
      <c r="P734" s="4">
        <v>46028</v>
      </c>
      <c r="Q734" t="s">
        <v>21</v>
      </c>
      <c r="R734">
        <f>Table2[[#This Row],[End_Date]]-Table2[[#This Row],[Start_Date]]</f>
        <v>29</v>
      </c>
      <c r="S734" t="str">
        <f>TEXT(Table2[[#This Row],[Start_Date]],"MMM")</f>
        <v>Dec</v>
      </c>
      <c r="T734">
        <f>YEAR(Table2[[#This Row],[Start_Date]])</f>
        <v>2025</v>
      </c>
      <c r="U734">
        <f>Table2[[#This Row],[Campaign_Cost (₹)]]/Table2[[#This Row],[Reach]]</f>
        <v>0.57485031788161223</v>
      </c>
      <c r="V734">
        <f>Table2[[#This Row],[Revenue_Generated (₹)]]/Table2[[#This Row],[Reach]]</f>
        <v>2.4829578421085117</v>
      </c>
    </row>
    <row r="735" spans="1:22" x14ac:dyDescent="0.3">
      <c r="A735" t="s">
        <v>786</v>
      </c>
      <c r="B735" t="s">
        <v>18</v>
      </c>
      <c r="C735" t="s">
        <v>33</v>
      </c>
      <c r="D735" t="s">
        <v>29</v>
      </c>
      <c r="E735">
        <v>1167573</v>
      </c>
      <c r="F735">
        <v>674477</v>
      </c>
      <c r="G735">
        <v>1038793</v>
      </c>
      <c r="H735">
        <v>48946</v>
      </c>
      <c r="I735">
        <v>4014</v>
      </c>
      <c r="J735">
        <v>2330</v>
      </c>
      <c r="K735">
        <f t="shared" si="22"/>
        <v>8.1974626265980906</v>
      </c>
      <c r="L735">
        <v>160492</v>
      </c>
      <c r="M735">
        <v>693840</v>
      </c>
      <c r="N735">
        <f t="shared" si="23"/>
        <v>332.3206141116068</v>
      </c>
      <c r="O735" s="4">
        <v>45717</v>
      </c>
      <c r="P735" s="4">
        <v>45728</v>
      </c>
      <c r="Q735" t="s">
        <v>78</v>
      </c>
      <c r="R735">
        <f>Table2[[#This Row],[End_Date]]-Table2[[#This Row],[Start_Date]]</f>
        <v>11</v>
      </c>
      <c r="S735" t="str">
        <f>TEXT(Table2[[#This Row],[Start_Date]],"MMM")</f>
        <v>Mar</v>
      </c>
      <c r="T735">
        <f>YEAR(Table2[[#This Row],[Start_Date]])</f>
        <v>2025</v>
      </c>
      <c r="U735">
        <f>Table2[[#This Row],[Campaign_Cost (₹)]]/Table2[[#This Row],[Reach]]</f>
        <v>0.23795029333839404</v>
      </c>
      <c r="V735">
        <f>Table2[[#This Row],[Revenue_Generated (₹)]]/Table2[[#This Row],[Reach]]</f>
        <v>1.028708169440915</v>
      </c>
    </row>
    <row r="736" spans="1:22" x14ac:dyDescent="0.3">
      <c r="A736" t="s">
        <v>787</v>
      </c>
      <c r="B736" t="s">
        <v>53</v>
      </c>
      <c r="C736" t="s">
        <v>33</v>
      </c>
      <c r="D736" t="s">
        <v>46</v>
      </c>
      <c r="E736">
        <v>459087</v>
      </c>
      <c r="F736">
        <v>243888</v>
      </c>
      <c r="G736">
        <v>390620</v>
      </c>
      <c r="H736">
        <v>25971</v>
      </c>
      <c r="I736">
        <v>1454</v>
      </c>
      <c r="J736">
        <v>697</v>
      </c>
      <c r="K736">
        <f t="shared" si="22"/>
        <v>11.530702617594962</v>
      </c>
      <c r="L736">
        <v>334509</v>
      </c>
      <c r="M736">
        <v>459542</v>
      </c>
      <c r="N736">
        <f t="shared" si="23"/>
        <v>37.378067555730937</v>
      </c>
      <c r="O736" s="4">
        <v>45980</v>
      </c>
      <c r="P736" s="4">
        <v>46010</v>
      </c>
      <c r="Q736" t="s">
        <v>47</v>
      </c>
      <c r="R736">
        <f>Table2[[#This Row],[End_Date]]-Table2[[#This Row],[Start_Date]]</f>
        <v>30</v>
      </c>
      <c r="S736" t="str">
        <f>TEXT(Table2[[#This Row],[Start_Date]],"MMM")</f>
        <v>Nov</v>
      </c>
      <c r="T736">
        <f>YEAR(Table2[[#This Row],[Start_Date]])</f>
        <v>2025</v>
      </c>
      <c r="U736">
        <f>Table2[[#This Row],[Campaign_Cost (₹)]]/Table2[[#This Row],[Reach]]</f>
        <v>1.3715680968313324</v>
      </c>
      <c r="V736">
        <f>Table2[[#This Row],[Revenue_Generated (₹)]]/Table2[[#This Row],[Reach]]</f>
        <v>1.884233746637801</v>
      </c>
    </row>
    <row r="737" spans="1:22" x14ac:dyDescent="0.3">
      <c r="A737" t="s">
        <v>788</v>
      </c>
      <c r="B737" t="s">
        <v>23</v>
      </c>
      <c r="C737" t="s">
        <v>33</v>
      </c>
      <c r="D737" t="s">
        <v>51</v>
      </c>
      <c r="E737">
        <v>325420</v>
      </c>
      <c r="F737">
        <v>250607</v>
      </c>
      <c r="G737">
        <v>383104</v>
      </c>
      <c r="H737">
        <v>28871</v>
      </c>
      <c r="I737">
        <v>3293</v>
      </c>
      <c r="J737">
        <v>1532</v>
      </c>
      <c r="K737">
        <f t="shared" si="22"/>
        <v>13.44575370999214</v>
      </c>
      <c r="L737">
        <v>377628</v>
      </c>
      <c r="M737">
        <v>917288</v>
      </c>
      <c r="N737">
        <f t="shared" si="23"/>
        <v>142.90783522408296</v>
      </c>
      <c r="O737" s="4">
        <v>45790</v>
      </c>
      <c r="P737" s="4">
        <v>45816</v>
      </c>
      <c r="Q737" t="s">
        <v>34</v>
      </c>
      <c r="R737">
        <f>Table2[[#This Row],[End_Date]]-Table2[[#This Row],[Start_Date]]</f>
        <v>26</v>
      </c>
      <c r="S737" t="str">
        <f>TEXT(Table2[[#This Row],[Start_Date]],"MMM")</f>
        <v>May</v>
      </c>
      <c r="T737">
        <f>YEAR(Table2[[#This Row],[Start_Date]])</f>
        <v>2025</v>
      </c>
      <c r="U737">
        <f>Table2[[#This Row],[Campaign_Cost (₹)]]/Table2[[#This Row],[Reach]]</f>
        <v>1.5068533600418184</v>
      </c>
      <c r="V737">
        <f>Table2[[#This Row],[Revenue_Generated (₹)]]/Table2[[#This Row],[Reach]]</f>
        <v>3.6602648768789381</v>
      </c>
    </row>
    <row r="738" spans="1:22" x14ac:dyDescent="0.3">
      <c r="A738" t="s">
        <v>789</v>
      </c>
      <c r="B738" t="s">
        <v>63</v>
      </c>
      <c r="C738" t="s">
        <v>37</v>
      </c>
      <c r="D738" t="s">
        <v>58</v>
      </c>
      <c r="E738">
        <v>1714304</v>
      </c>
      <c r="F738">
        <v>592606</v>
      </c>
      <c r="G738">
        <v>703684</v>
      </c>
      <c r="H738">
        <v>13597</v>
      </c>
      <c r="I738">
        <v>747</v>
      </c>
      <c r="J738">
        <v>900</v>
      </c>
      <c r="K738">
        <f t="shared" si="22"/>
        <v>2.5723668002011455</v>
      </c>
      <c r="L738">
        <v>498818</v>
      </c>
      <c r="M738">
        <v>1261337</v>
      </c>
      <c r="N738">
        <f t="shared" si="23"/>
        <v>152.86517326960936</v>
      </c>
      <c r="O738" s="4">
        <v>45859</v>
      </c>
      <c r="P738" s="4">
        <v>45870</v>
      </c>
      <c r="Q738" t="s">
        <v>34</v>
      </c>
      <c r="R738">
        <f>Table2[[#This Row],[End_Date]]-Table2[[#This Row],[Start_Date]]</f>
        <v>11</v>
      </c>
      <c r="S738" t="str">
        <f>TEXT(Table2[[#This Row],[Start_Date]],"MMM")</f>
        <v>Jul</v>
      </c>
      <c r="T738">
        <f>YEAR(Table2[[#This Row],[Start_Date]])</f>
        <v>2025</v>
      </c>
      <c r="U738">
        <f>Table2[[#This Row],[Campaign_Cost (₹)]]/Table2[[#This Row],[Reach]]</f>
        <v>0.84173633071551757</v>
      </c>
      <c r="V738">
        <f>Table2[[#This Row],[Revenue_Generated (₹)]]/Table2[[#This Row],[Reach]]</f>
        <v>2.1284580311370456</v>
      </c>
    </row>
    <row r="739" spans="1:22" x14ac:dyDescent="0.3">
      <c r="A739" t="s">
        <v>790</v>
      </c>
      <c r="B739" t="s">
        <v>49</v>
      </c>
      <c r="C739" t="s">
        <v>43</v>
      </c>
      <c r="D739" t="s">
        <v>58</v>
      </c>
      <c r="E739">
        <v>1005392</v>
      </c>
      <c r="F739">
        <v>551810</v>
      </c>
      <c r="G739">
        <v>999045</v>
      </c>
      <c r="H739">
        <v>75604</v>
      </c>
      <c r="I739">
        <v>3049</v>
      </c>
      <c r="J739">
        <v>2541</v>
      </c>
      <c r="K739">
        <f t="shared" si="22"/>
        <v>14.714122614668094</v>
      </c>
      <c r="L739">
        <v>345838</v>
      </c>
      <c r="M739">
        <v>1139173</v>
      </c>
      <c r="N739">
        <f t="shared" si="23"/>
        <v>229.39497683886674</v>
      </c>
      <c r="O739" s="4">
        <v>46017</v>
      </c>
      <c r="P739" s="4">
        <v>46026</v>
      </c>
      <c r="Q739" t="s">
        <v>41</v>
      </c>
      <c r="R739">
        <f>Table2[[#This Row],[End_Date]]-Table2[[#This Row],[Start_Date]]</f>
        <v>9</v>
      </c>
      <c r="S739" t="str">
        <f>TEXT(Table2[[#This Row],[Start_Date]],"MMM")</f>
        <v>Dec</v>
      </c>
      <c r="T739">
        <f>YEAR(Table2[[#This Row],[Start_Date]])</f>
        <v>2025</v>
      </c>
      <c r="U739">
        <f>Table2[[#This Row],[Campaign_Cost (₹)]]/Table2[[#This Row],[Reach]]</f>
        <v>0.62673383954622064</v>
      </c>
      <c r="V739">
        <f>Table2[[#This Row],[Revenue_Generated (₹)]]/Table2[[#This Row],[Reach]]</f>
        <v>2.0644297856146139</v>
      </c>
    </row>
    <row r="740" spans="1:22" x14ac:dyDescent="0.3">
      <c r="A740" t="s">
        <v>791</v>
      </c>
      <c r="B740" t="s">
        <v>80</v>
      </c>
      <c r="C740" t="s">
        <v>43</v>
      </c>
      <c r="D740" t="s">
        <v>51</v>
      </c>
      <c r="E740">
        <v>1981477</v>
      </c>
      <c r="F740">
        <v>1537000</v>
      </c>
      <c r="G740">
        <v>3059570</v>
      </c>
      <c r="H740">
        <v>98938</v>
      </c>
      <c r="I740">
        <v>13525</v>
      </c>
      <c r="J740">
        <v>4590</v>
      </c>
      <c r="K740">
        <f t="shared" si="22"/>
        <v>7.6156798959011063</v>
      </c>
      <c r="L740">
        <v>127829</v>
      </c>
      <c r="M740">
        <v>506508</v>
      </c>
      <c r="N740">
        <f t="shared" si="23"/>
        <v>296.23872517190938</v>
      </c>
      <c r="O740" s="4">
        <v>46096</v>
      </c>
      <c r="P740" s="4">
        <v>46106</v>
      </c>
      <c r="Q740" t="s">
        <v>41</v>
      </c>
      <c r="R740">
        <f>Table2[[#This Row],[End_Date]]-Table2[[#This Row],[Start_Date]]</f>
        <v>10</v>
      </c>
      <c r="S740" t="str">
        <f>TEXT(Table2[[#This Row],[Start_Date]],"MMM")</f>
        <v>Mar</v>
      </c>
      <c r="T740">
        <f>YEAR(Table2[[#This Row],[Start_Date]])</f>
        <v>2026</v>
      </c>
      <c r="U740">
        <f>Table2[[#This Row],[Campaign_Cost (₹)]]/Table2[[#This Row],[Reach]]</f>
        <v>8.3167859466493174E-2</v>
      </c>
      <c r="V740">
        <f>Table2[[#This Row],[Revenue_Generated (₹)]]/Table2[[#This Row],[Reach]]</f>
        <v>0.32954326610279766</v>
      </c>
    </row>
    <row r="741" spans="1:22" x14ac:dyDescent="0.3">
      <c r="A741" t="s">
        <v>792</v>
      </c>
      <c r="B741" t="s">
        <v>61</v>
      </c>
      <c r="C741" t="s">
        <v>28</v>
      </c>
      <c r="D741" t="s">
        <v>40</v>
      </c>
      <c r="E741">
        <v>216013</v>
      </c>
      <c r="F741">
        <v>125034</v>
      </c>
      <c r="G741">
        <v>280779</v>
      </c>
      <c r="H741">
        <v>4803</v>
      </c>
      <c r="I741">
        <v>229</v>
      </c>
      <c r="J741">
        <v>236</v>
      </c>
      <c r="K741">
        <f t="shared" si="22"/>
        <v>4.2132539949133836</v>
      </c>
      <c r="L741">
        <v>329261</v>
      </c>
      <c r="M741">
        <v>982522</v>
      </c>
      <c r="N741">
        <f t="shared" si="23"/>
        <v>198.40217942604804</v>
      </c>
      <c r="O741" s="4">
        <v>45972</v>
      </c>
      <c r="P741" s="4">
        <v>45994</v>
      </c>
      <c r="Q741" t="s">
        <v>47</v>
      </c>
      <c r="R741">
        <f>Table2[[#This Row],[End_Date]]-Table2[[#This Row],[Start_Date]]</f>
        <v>22</v>
      </c>
      <c r="S741" t="str">
        <f>TEXT(Table2[[#This Row],[Start_Date]],"MMM")</f>
        <v>Nov</v>
      </c>
      <c r="T741">
        <f>YEAR(Table2[[#This Row],[Start_Date]])</f>
        <v>2025</v>
      </c>
      <c r="U741">
        <f>Table2[[#This Row],[Campaign_Cost (₹)]]/Table2[[#This Row],[Reach]]</f>
        <v>2.6333717228913733</v>
      </c>
      <c r="V741">
        <f>Table2[[#This Row],[Revenue_Generated (₹)]]/Table2[[#This Row],[Reach]]</f>
        <v>7.8580386134971292</v>
      </c>
    </row>
    <row r="742" spans="1:22" x14ac:dyDescent="0.3">
      <c r="A742" t="s">
        <v>793</v>
      </c>
      <c r="B742" t="s">
        <v>61</v>
      </c>
      <c r="C742" t="s">
        <v>19</v>
      </c>
      <c r="D742" t="s">
        <v>29</v>
      </c>
      <c r="E742">
        <v>1288541</v>
      </c>
      <c r="F742">
        <v>572199</v>
      </c>
      <c r="G742">
        <v>1576626</v>
      </c>
      <c r="H742">
        <v>37264</v>
      </c>
      <c r="I742">
        <v>5486</v>
      </c>
      <c r="J742">
        <v>1731</v>
      </c>
      <c r="K742">
        <f t="shared" si="22"/>
        <v>7.7736941169068805</v>
      </c>
      <c r="L742">
        <v>314046</v>
      </c>
      <c r="M742">
        <v>1421246</v>
      </c>
      <c r="N742">
        <f t="shared" si="23"/>
        <v>352.55981607789943</v>
      </c>
      <c r="O742" s="4">
        <v>45667</v>
      </c>
      <c r="P742" s="4">
        <v>45678</v>
      </c>
      <c r="Q742" t="s">
        <v>34</v>
      </c>
      <c r="R742">
        <f>Table2[[#This Row],[End_Date]]-Table2[[#This Row],[Start_Date]]</f>
        <v>11</v>
      </c>
      <c r="S742" t="str">
        <f>TEXT(Table2[[#This Row],[Start_Date]],"MMM")</f>
        <v>Jan</v>
      </c>
      <c r="T742">
        <f>YEAR(Table2[[#This Row],[Start_Date]])</f>
        <v>2025</v>
      </c>
      <c r="U742">
        <f>Table2[[#This Row],[Campaign_Cost (₹)]]/Table2[[#This Row],[Reach]]</f>
        <v>0.54884052576114251</v>
      </c>
      <c r="V742">
        <f>Table2[[#This Row],[Revenue_Generated (₹)]]/Table2[[#This Row],[Reach]]</f>
        <v>2.4838316739456028</v>
      </c>
    </row>
    <row r="743" spans="1:22" x14ac:dyDescent="0.3">
      <c r="A743" t="s">
        <v>794</v>
      </c>
      <c r="B743" t="s">
        <v>63</v>
      </c>
      <c r="C743" t="s">
        <v>33</v>
      </c>
      <c r="D743" t="s">
        <v>24</v>
      </c>
      <c r="E743">
        <v>1782677</v>
      </c>
      <c r="F743">
        <v>818480</v>
      </c>
      <c r="G743">
        <v>1280701</v>
      </c>
      <c r="H743">
        <v>68839</v>
      </c>
      <c r="I743">
        <v>4241</v>
      </c>
      <c r="J743">
        <v>5700</v>
      </c>
      <c r="K743">
        <f t="shared" si="22"/>
        <v>9.6251588310038123</v>
      </c>
      <c r="L743">
        <v>375860</v>
      </c>
      <c r="M743">
        <v>1355061</v>
      </c>
      <c r="N743">
        <f t="shared" si="23"/>
        <v>260.52280104294152</v>
      </c>
      <c r="O743" s="4">
        <v>45989</v>
      </c>
      <c r="P743" s="4">
        <v>46013</v>
      </c>
      <c r="Q743" t="s">
        <v>21</v>
      </c>
      <c r="R743">
        <f>Table2[[#This Row],[End_Date]]-Table2[[#This Row],[Start_Date]]</f>
        <v>24</v>
      </c>
      <c r="S743" t="str">
        <f>TEXT(Table2[[#This Row],[Start_Date]],"MMM")</f>
        <v>Nov</v>
      </c>
      <c r="T743">
        <f>YEAR(Table2[[#This Row],[Start_Date]])</f>
        <v>2025</v>
      </c>
      <c r="U743">
        <f>Table2[[#This Row],[Campaign_Cost (₹)]]/Table2[[#This Row],[Reach]]</f>
        <v>0.45921708532890237</v>
      </c>
      <c r="V743">
        <f>Table2[[#This Row],[Revenue_Generated (₹)]]/Table2[[#This Row],[Reach]]</f>
        <v>1.6555822988955136</v>
      </c>
    </row>
    <row r="744" spans="1:22" x14ac:dyDescent="0.3">
      <c r="A744" t="s">
        <v>795</v>
      </c>
      <c r="B744" t="s">
        <v>27</v>
      </c>
      <c r="C744" t="s">
        <v>37</v>
      </c>
      <c r="D744" t="s">
        <v>51</v>
      </c>
      <c r="E744">
        <v>1669054</v>
      </c>
      <c r="F744">
        <v>865620</v>
      </c>
      <c r="G744">
        <v>2384179</v>
      </c>
      <c r="H744">
        <v>72557</v>
      </c>
      <c r="I744">
        <v>6901</v>
      </c>
      <c r="J744">
        <v>4463</v>
      </c>
      <c r="K744">
        <f t="shared" si="22"/>
        <v>9.6949007647697609</v>
      </c>
      <c r="L744">
        <v>338069</v>
      </c>
      <c r="M744">
        <v>1292167</v>
      </c>
      <c r="N744">
        <f t="shared" si="23"/>
        <v>282.21990185435521</v>
      </c>
      <c r="O744" s="4">
        <v>46128</v>
      </c>
      <c r="P744" s="4">
        <v>46138</v>
      </c>
      <c r="Q744" t="s">
        <v>34</v>
      </c>
      <c r="R744">
        <f>Table2[[#This Row],[End_Date]]-Table2[[#This Row],[Start_Date]]</f>
        <v>10</v>
      </c>
      <c r="S744" t="str">
        <f>TEXT(Table2[[#This Row],[Start_Date]],"MMM")</f>
        <v>Apr</v>
      </c>
      <c r="T744">
        <f>YEAR(Table2[[#This Row],[Start_Date]])</f>
        <v>2026</v>
      </c>
      <c r="U744">
        <f>Table2[[#This Row],[Campaign_Cost (₹)]]/Table2[[#This Row],[Reach]]</f>
        <v>0.39055128116263488</v>
      </c>
      <c r="V744">
        <f>Table2[[#This Row],[Revenue_Generated (₹)]]/Table2[[#This Row],[Reach]]</f>
        <v>1.4927647235507497</v>
      </c>
    </row>
    <row r="745" spans="1:22" x14ac:dyDescent="0.3">
      <c r="A745" t="s">
        <v>796</v>
      </c>
      <c r="B745" t="s">
        <v>63</v>
      </c>
      <c r="C745" t="s">
        <v>43</v>
      </c>
      <c r="D745" t="s">
        <v>40</v>
      </c>
      <c r="E745">
        <v>895751</v>
      </c>
      <c r="F745">
        <v>400392</v>
      </c>
      <c r="G745">
        <v>1102330</v>
      </c>
      <c r="H745">
        <v>39319</v>
      </c>
      <c r="I745">
        <v>3261</v>
      </c>
      <c r="J745">
        <v>3244</v>
      </c>
      <c r="K745">
        <f t="shared" si="22"/>
        <v>11.444784111570661</v>
      </c>
      <c r="L745">
        <v>126141</v>
      </c>
      <c r="M745">
        <v>402543</v>
      </c>
      <c r="N745">
        <f t="shared" si="23"/>
        <v>219.12145931933313</v>
      </c>
      <c r="O745" s="4">
        <v>45947</v>
      </c>
      <c r="P745" s="4">
        <v>45968</v>
      </c>
      <c r="Q745" t="s">
        <v>78</v>
      </c>
      <c r="R745">
        <f>Table2[[#This Row],[End_Date]]-Table2[[#This Row],[Start_Date]]</f>
        <v>21</v>
      </c>
      <c r="S745" t="str">
        <f>TEXT(Table2[[#This Row],[Start_Date]],"MMM")</f>
        <v>Oct</v>
      </c>
      <c r="T745">
        <f>YEAR(Table2[[#This Row],[Start_Date]])</f>
        <v>2025</v>
      </c>
      <c r="U745">
        <f>Table2[[#This Row],[Campaign_Cost (₹)]]/Table2[[#This Row],[Reach]]</f>
        <v>0.31504375711802435</v>
      </c>
      <c r="V745">
        <f>Table2[[#This Row],[Revenue_Generated (₹)]]/Table2[[#This Row],[Reach]]</f>
        <v>1.0053722352094947</v>
      </c>
    </row>
    <row r="746" spans="1:22" x14ac:dyDescent="0.3">
      <c r="A746" t="s">
        <v>797</v>
      </c>
      <c r="B746" t="s">
        <v>61</v>
      </c>
      <c r="C746" t="s">
        <v>43</v>
      </c>
      <c r="D746" t="s">
        <v>51</v>
      </c>
      <c r="E746">
        <v>70943</v>
      </c>
      <c r="F746">
        <v>57050</v>
      </c>
      <c r="G746">
        <v>140035</v>
      </c>
      <c r="H746">
        <v>7318</v>
      </c>
      <c r="I746">
        <v>905</v>
      </c>
      <c r="J746">
        <v>289</v>
      </c>
      <c r="K746">
        <f t="shared" si="22"/>
        <v>14.920245398773005</v>
      </c>
      <c r="L746">
        <v>493995</v>
      </c>
      <c r="M746">
        <v>1846304</v>
      </c>
      <c r="N746">
        <f t="shared" si="23"/>
        <v>273.74953187785303</v>
      </c>
      <c r="O746" s="4">
        <v>45698</v>
      </c>
      <c r="P746" s="4">
        <v>45715</v>
      </c>
      <c r="Q746" t="s">
        <v>78</v>
      </c>
      <c r="R746">
        <f>Table2[[#This Row],[End_Date]]-Table2[[#This Row],[Start_Date]]</f>
        <v>17</v>
      </c>
      <c r="S746" t="str">
        <f>TEXT(Table2[[#This Row],[Start_Date]],"MMM")</f>
        <v>Feb</v>
      </c>
      <c r="T746">
        <f>YEAR(Table2[[#This Row],[Start_Date]])</f>
        <v>2025</v>
      </c>
      <c r="U746">
        <f>Table2[[#This Row],[Campaign_Cost (₹)]]/Table2[[#This Row],[Reach]]</f>
        <v>8.6589833479404028</v>
      </c>
      <c r="V746">
        <f>Table2[[#This Row],[Revenue_Generated (₹)]]/Table2[[#This Row],[Reach]]</f>
        <v>32.362909728308502</v>
      </c>
    </row>
    <row r="747" spans="1:22" x14ac:dyDescent="0.3">
      <c r="A747" t="s">
        <v>798</v>
      </c>
      <c r="B747" t="s">
        <v>63</v>
      </c>
      <c r="C747" t="s">
        <v>37</v>
      </c>
      <c r="D747" t="s">
        <v>24</v>
      </c>
      <c r="E747">
        <v>86987</v>
      </c>
      <c r="F747">
        <v>73096</v>
      </c>
      <c r="G747">
        <v>103458</v>
      </c>
      <c r="H747">
        <v>8618</v>
      </c>
      <c r="I747">
        <v>653</v>
      </c>
      <c r="J747">
        <v>415</v>
      </c>
      <c r="K747">
        <f t="shared" si="22"/>
        <v>13.251067089854438</v>
      </c>
      <c r="L747">
        <v>147975</v>
      </c>
      <c r="M747">
        <v>546205</v>
      </c>
      <c r="N747">
        <f t="shared" si="23"/>
        <v>269.11978374725459</v>
      </c>
      <c r="O747" s="4">
        <v>45899</v>
      </c>
      <c r="P747" s="4">
        <v>45915</v>
      </c>
      <c r="Q747" t="s">
        <v>47</v>
      </c>
      <c r="R747">
        <f>Table2[[#This Row],[End_Date]]-Table2[[#This Row],[Start_Date]]</f>
        <v>16</v>
      </c>
      <c r="S747" t="str">
        <f>TEXT(Table2[[#This Row],[Start_Date]],"MMM")</f>
        <v>Aug</v>
      </c>
      <c r="T747">
        <f>YEAR(Table2[[#This Row],[Start_Date]])</f>
        <v>2025</v>
      </c>
      <c r="U747">
        <f>Table2[[#This Row],[Campaign_Cost (₹)]]/Table2[[#This Row],[Reach]]</f>
        <v>2.02439257962132</v>
      </c>
      <c r="V747">
        <f>Table2[[#This Row],[Revenue_Generated (₹)]]/Table2[[#This Row],[Reach]]</f>
        <v>7.4724335120936853</v>
      </c>
    </row>
    <row r="748" spans="1:22" x14ac:dyDescent="0.3">
      <c r="A748" t="s">
        <v>799</v>
      </c>
      <c r="B748" t="s">
        <v>57</v>
      </c>
      <c r="C748" t="s">
        <v>19</v>
      </c>
      <c r="D748" t="s">
        <v>72</v>
      </c>
      <c r="E748">
        <v>72227</v>
      </c>
      <c r="F748">
        <v>42428</v>
      </c>
      <c r="G748">
        <v>99820</v>
      </c>
      <c r="H748">
        <v>4957</v>
      </c>
      <c r="I748">
        <v>160</v>
      </c>
      <c r="J748">
        <v>458</v>
      </c>
      <c r="K748">
        <f t="shared" si="22"/>
        <v>13.139907608183274</v>
      </c>
      <c r="L748">
        <v>193477</v>
      </c>
      <c r="M748">
        <v>480162</v>
      </c>
      <c r="N748">
        <f t="shared" si="23"/>
        <v>148.17523529928621</v>
      </c>
      <c r="O748" s="4">
        <v>46067</v>
      </c>
      <c r="P748" s="4">
        <v>46091</v>
      </c>
      <c r="Q748" t="s">
        <v>21</v>
      </c>
      <c r="R748">
        <f>Table2[[#This Row],[End_Date]]-Table2[[#This Row],[Start_Date]]</f>
        <v>24</v>
      </c>
      <c r="S748" t="str">
        <f>TEXT(Table2[[#This Row],[Start_Date]],"MMM")</f>
        <v>Feb</v>
      </c>
      <c r="T748">
        <f>YEAR(Table2[[#This Row],[Start_Date]])</f>
        <v>2026</v>
      </c>
      <c r="U748">
        <f>Table2[[#This Row],[Campaign_Cost (₹)]]/Table2[[#This Row],[Reach]]</f>
        <v>4.5601253888941269</v>
      </c>
      <c r="V748">
        <f>Table2[[#This Row],[Revenue_Generated (₹)]]/Table2[[#This Row],[Reach]]</f>
        <v>11.31710191383049</v>
      </c>
    </row>
    <row r="749" spans="1:22" x14ac:dyDescent="0.3">
      <c r="A749" t="s">
        <v>800</v>
      </c>
      <c r="B749" t="s">
        <v>57</v>
      </c>
      <c r="C749" t="s">
        <v>43</v>
      </c>
      <c r="D749" t="s">
        <v>51</v>
      </c>
      <c r="E749">
        <v>1654873</v>
      </c>
      <c r="F749">
        <v>1238030</v>
      </c>
      <c r="G749">
        <v>1503428</v>
      </c>
      <c r="H749">
        <v>92309</v>
      </c>
      <c r="I749">
        <v>4504</v>
      </c>
      <c r="J749">
        <v>8562</v>
      </c>
      <c r="K749">
        <f t="shared" si="22"/>
        <v>8.5115061832104217</v>
      </c>
      <c r="L749">
        <v>368552</v>
      </c>
      <c r="M749">
        <v>560782</v>
      </c>
      <c r="N749">
        <f t="shared" si="23"/>
        <v>52.158175779808545</v>
      </c>
      <c r="O749" s="4">
        <v>45966</v>
      </c>
      <c r="P749" s="4">
        <v>45986</v>
      </c>
      <c r="Q749" t="s">
        <v>34</v>
      </c>
      <c r="R749">
        <f>Table2[[#This Row],[End_Date]]-Table2[[#This Row],[Start_Date]]</f>
        <v>20</v>
      </c>
      <c r="S749" t="str">
        <f>TEXT(Table2[[#This Row],[Start_Date]],"MMM")</f>
        <v>Nov</v>
      </c>
      <c r="T749">
        <f>YEAR(Table2[[#This Row],[Start_Date]])</f>
        <v>2025</v>
      </c>
      <c r="U749">
        <f>Table2[[#This Row],[Campaign_Cost (₹)]]/Table2[[#This Row],[Reach]]</f>
        <v>0.29769230147896253</v>
      </c>
      <c r="V749">
        <f>Table2[[#This Row],[Revenue_Generated (₹)]]/Table2[[#This Row],[Reach]]</f>
        <v>0.45296317536731745</v>
      </c>
    </row>
    <row r="750" spans="1:22" x14ac:dyDescent="0.3">
      <c r="A750" t="s">
        <v>801</v>
      </c>
      <c r="B750" t="s">
        <v>57</v>
      </c>
      <c r="C750" t="s">
        <v>33</v>
      </c>
      <c r="D750" t="s">
        <v>58</v>
      </c>
      <c r="E750">
        <v>1074103</v>
      </c>
      <c r="F750">
        <v>361199</v>
      </c>
      <c r="G750">
        <v>641006</v>
      </c>
      <c r="H750">
        <v>17839</v>
      </c>
      <c r="I750">
        <v>1427</v>
      </c>
      <c r="J750">
        <v>1311</v>
      </c>
      <c r="K750">
        <f t="shared" si="22"/>
        <v>5.6968596258572148</v>
      </c>
      <c r="L750">
        <v>464320</v>
      </c>
      <c r="M750">
        <v>1966917</v>
      </c>
      <c r="N750">
        <f t="shared" si="23"/>
        <v>323.61237939352173</v>
      </c>
      <c r="O750" s="4">
        <v>45904</v>
      </c>
      <c r="P750" s="4">
        <v>45914</v>
      </c>
      <c r="Q750" t="s">
        <v>47</v>
      </c>
      <c r="R750">
        <f>Table2[[#This Row],[End_Date]]-Table2[[#This Row],[Start_Date]]</f>
        <v>10</v>
      </c>
      <c r="S750" t="str">
        <f>TEXT(Table2[[#This Row],[Start_Date]],"MMM")</f>
        <v>Sep</v>
      </c>
      <c r="T750">
        <f>YEAR(Table2[[#This Row],[Start_Date]])</f>
        <v>2025</v>
      </c>
      <c r="U750">
        <f>Table2[[#This Row],[Campaign_Cost (₹)]]/Table2[[#This Row],[Reach]]</f>
        <v>1.2854963607318957</v>
      </c>
      <c r="V750">
        <f>Table2[[#This Row],[Revenue_Generated (₹)]]/Table2[[#This Row],[Reach]]</f>
        <v>5.4455217207135123</v>
      </c>
    </row>
    <row r="751" spans="1:22" x14ac:dyDescent="0.3">
      <c r="A751" t="s">
        <v>802</v>
      </c>
      <c r="B751" t="s">
        <v>36</v>
      </c>
      <c r="C751" t="s">
        <v>19</v>
      </c>
      <c r="D751" t="s">
        <v>29</v>
      </c>
      <c r="E751">
        <v>1833200</v>
      </c>
      <c r="F751">
        <v>1172004</v>
      </c>
      <c r="G751">
        <v>2653445</v>
      </c>
      <c r="H751">
        <v>104719</v>
      </c>
      <c r="I751">
        <v>13748</v>
      </c>
      <c r="J751">
        <v>8367</v>
      </c>
      <c r="K751">
        <f t="shared" si="22"/>
        <v>10.821976716803015</v>
      </c>
      <c r="L751">
        <v>173725</v>
      </c>
      <c r="M751">
        <v>773690</v>
      </c>
      <c r="N751">
        <f t="shared" si="23"/>
        <v>345.3532882429127</v>
      </c>
      <c r="O751" s="4">
        <v>46038</v>
      </c>
      <c r="P751" s="4">
        <v>46045</v>
      </c>
      <c r="Q751" t="s">
        <v>34</v>
      </c>
      <c r="R751">
        <f>Table2[[#This Row],[End_Date]]-Table2[[#This Row],[Start_Date]]</f>
        <v>7</v>
      </c>
      <c r="S751" t="str">
        <f>TEXT(Table2[[#This Row],[Start_Date]],"MMM")</f>
        <v>Jan</v>
      </c>
      <c r="T751">
        <f>YEAR(Table2[[#This Row],[Start_Date]])</f>
        <v>2026</v>
      </c>
      <c r="U751">
        <f>Table2[[#This Row],[Campaign_Cost (₹)]]/Table2[[#This Row],[Reach]]</f>
        <v>0.14822901628322088</v>
      </c>
      <c r="V751">
        <f>Table2[[#This Row],[Revenue_Generated (₹)]]/Table2[[#This Row],[Reach]]</f>
        <v>0.66014279814744659</v>
      </c>
    </row>
    <row r="752" spans="1:22" x14ac:dyDescent="0.3">
      <c r="A752" t="s">
        <v>803</v>
      </c>
      <c r="B752" t="s">
        <v>45</v>
      </c>
      <c r="C752" t="s">
        <v>37</v>
      </c>
      <c r="D752" t="s">
        <v>72</v>
      </c>
      <c r="E752">
        <v>899403</v>
      </c>
      <c r="F752">
        <v>493745</v>
      </c>
      <c r="G752">
        <v>1240690</v>
      </c>
      <c r="H752">
        <v>12562</v>
      </c>
      <c r="I752">
        <v>799</v>
      </c>
      <c r="J752">
        <v>368</v>
      </c>
      <c r="K752">
        <f t="shared" si="22"/>
        <v>2.7805851198493148</v>
      </c>
      <c r="L752">
        <v>412314</v>
      </c>
      <c r="M752">
        <v>1102948</v>
      </c>
      <c r="N752">
        <f t="shared" si="23"/>
        <v>167.50195239550442</v>
      </c>
      <c r="O752" s="4">
        <v>45675</v>
      </c>
      <c r="P752" s="4">
        <v>45686</v>
      </c>
      <c r="Q752" t="s">
        <v>41</v>
      </c>
      <c r="R752">
        <f>Table2[[#This Row],[End_Date]]-Table2[[#This Row],[Start_Date]]</f>
        <v>11</v>
      </c>
      <c r="S752" t="str">
        <f>TEXT(Table2[[#This Row],[Start_Date]],"MMM")</f>
        <v>Jan</v>
      </c>
      <c r="T752">
        <f>YEAR(Table2[[#This Row],[Start_Date]])</f>
        <v>2025</v>
      </c>
      <c r="U752">
        <f>Table2[[#This Row],[Campaign_Cost (₹)]]/Table2[[#This Row],[Reach]]</f>
        <v>0.83507478556744874</v>
      </c>
      <c r="V752">
        <f>Table2[[#This Row],[Revenue_Generated (₹)]]/Table2[[#This Row],[Reach]]</f>
        <v>2.2338413553554974</v>
      </c>
    </row>
    <row r="753" spans="1:22" x14ac:dyDescent="0.3">
      <c r="A753" t="s">
        <v>804</v>
      </c>
      <c r="B753" t="s">
        <v>63</v>
      </c>
      <c r="C753" t="s">
        <v>19</v>
      </c>
      <c r="D753" t="s">
        <v>58</v>
      </c>
      <c r="E753">
        <v>646365</v>
      </c>
      <c r="F753">
        <v>360631</v>
      </c>
      <c r="G753">
        <v>441722</v>
      </c>
      <c r="H753">
        <v>23118</v>
      </c>
      <c r="I753">
        <v>1844</v>
      </c>
      <c r="J753">
        <v>1603</v>
      </c>
      <c r="K753">
        <f t="shared" si="22"/>
        <v>7.3662552581447525</v>
      </c>
      <c r="L753">
        <v>160903</v>
      </c>
      <c r="M753">
        <v>712503</v>
      </c>
      <c r="N753">
        <f t="shared" si="23"/>
        <v>342.81523650895258</v>
      </c>
      <c r="O753" s="4">
        <v>46120</v>
      </c>
      <c r="P753" s="4">
        <v>46146</v>
      </c>
      <c r="Q753" t="s">
        <v>54</v>
      </c>
      <c r="R753">
        <f>Table2[[#This Row],[End_Date]]-Table2[[#This Row],[Start_Date]]</f>
        <v>26</v>
      </c>
      <c r="S753" t="str">
        <f>TEXT(Table2[[#This Row],[Start_Date]],"MMM")</f>
        <v>Apr</v>
      </c>
      <c r="T753">
        <f>YEAR(Table2[[#This Row],[Start_Date]])</f>
        <v>2026</v>
      </c>
      <c r="U753">
        <f>Table2[[#This Row],[Campaign_Cost (₹)]]/Table2[[#This Row],[Reach]]</f>
        <v>0.4461707396202767</v>
      </c>
      <c r="V753">
        <f>Table2[[#This Row],[Revenue_Generated (₹)]]/Table2[[#This Row],[Reach]]</f>
        <v>1.9757120158832713</v>
      </c>
    </row>
    <row r="754" spans="1:22" x14ac:dyDescent="0.3">
      <c r="A754" t="s">
        <v>805</v>
      </c>
      <c r="B754" t="s">
        <v>80</v>
      </c>
      <c r="C754" t="s">
        <v>37</v>
      </c>
      <c r="D754" t="s">
        <v>24</v>
      </c>
      <c r="E754">
        <v>592841</v>
      </c>
      <c r="F754">
        <v>255719</v>
      </c>
      <c r="G754">
        <v>342705</v>
      </c>
      <c r="H754">
        <v>8122</v>
      </c>
      <c r="I754">
        <v>508</v>
      </c>
      <c r="J754">
        <v>583</v>
      </c>
      <c r="K754">
        <f t="shared" si="22"/>
        <v>3.6027827419941421</v>
      </c>
      <c r="L754">
        <v>95639</v>
      </c>
      <c r="M754">
        <v>307279</v>
      </c>
      <c r="N754">
        <f t="shared" si="23"/>
        <v>221.2904777339788</v>
      </c>
      <c r="O754" s="4">
        <v>46144</v>
      </c>
      <c r="P754" s="4">
        <v>46152</v>
      </c>
      <c r="Q754" t="s">
        <v>21</v>
      </c>
      <c r="R754">
        <f>Table2[[#This Row],[End_Date]]-Table2[[#This Row],[Start_Date]]</f>
        <v>8</v>
      </c>
      <c r="S754" t="str">
        <f>TEXT(Table2[[#This Row],[Start_Date]],"MMM")</f>
        <v>May</v>
      </c>
      <c r="T754">
        <f>YEAR(Table2[[#This Row],[Start_Date]])</f>
        <v>2026</v>
      </c>
      <c r="U754">
        <f>Table2[[#This Row],[Campaign_Cost (₹)]]/Table2[[#This Row],[Reach]]</f>
        <v>0.37400036759098854</v>
      </c>
      <c r="V754">
        <f>Table2[[#This Row],[Revenue_Generated (₹)]]/Table2[[#This Row],[Reach]]</f>
        <v>1.201627567759924</v>
      </c>
    </row>
    <row r="755" spans="1:22" x14ac:dyDescent="0.3">
      <c r="A755" t="s">
        <v>806</v>
      </c>
      <c r="B755" t="s">
        <v>32</v>
      </c>
      <c r="C755" t="s">
        <v>19</v>
      </c>
      <c r="D755" t="s">
        <v>29</v>
      </c>
      <c r="E755">
        <v>1156711</v>
      </c>
      <c r="F755">
        <v>386255</v>
      </c>
      <c r="G755">
        <v>956218</v>
      </c>
      <c r="H755">
        <v>49688</v>
      </c>
      <c r="I755">
        <v>5656</v>
      </c>
      <c r="J755">
        <v>3891</v>
      </c>
      <c r="K755">
        <f t="shared" si="22"/>
        <v>15.335723809400525</v>
      </c>
      <c r="L755">
        <v>326718</v>
      </c>
      <c r="M755">
        <v>949994</v>
      </c>
      <c r="N755">
        <f t="shared" si="23"/>
        <v>190.76879755630239</v>
      </c>
      <c r="O755" s="4">
        <v>45745</v>
      </c>
      <c r="P755" s="4">
        <v>45764</v>
      </c>
      <c r="Q755" t="s">
        <v>47</v>
      </c>
      <c r="R755">
        <f>Table2[[#This Row],[End_Date]]-Table2[[#This Row],[Start_Date]]</f>
        <v>19</v>
      </c>
      <c r="S755" t="str">
        <f>TEXT(Table2[[#This Row],[Start_Date]],"MMM")</f>
        <v>Mar</v>
      </c>
      <c r="T755">
        <f>YEAR(Table2[[#This Row],[Start_Date]])</f>
        <v>2025</v>
      </c>
      <c r="U755">
        <f>Table2[[#This Row],[Campaign_Cost (₹)]]/Table2[[#This Row],[Reach]]</f>
        <v>0.84586089500459538</v>
      </c>
      <c r="V755">
        <f>Table2[[#This Row],[Revenue_Generated (₹)]]/Table2[[#This Row],[Reach]]</f>
        <v>2.4594995534038393</v>
      </c>
    </row>
    <row r="756" spans="1:22" x14ac:dyDescent="0.3">
      <c r="A756" t="s">
        <v>807</v>
      </c>
      <c r="B756" t="s">
        <v>23</v>
      </c>
      <c r="C756" t="s">
        <v>28</v>
      </c>
      <c r="D756" t="s">
        <v>29</v>
      </c>
      <c r="E756">
        <v>485048</v>
      </c>
      <c r="F756">
        <v>242268</v>
      </c>
      <c r="G756">
        <v>521826</v>
      </c>
      <c r="H756">
        <v>32209</v>
      </c>
      <c r="I756">
        <v>3520</v>
      </c>
      <c r="J756">
        <v>2308</v>
      </c>
      <c r="K756">
        <f t="shared" si="22"/>
        <v>15.700381395809599</v>
      </c>
      <c r="L756">
        <v>111311</v>
      </c>
      <c r="M756">
        <v>177630</v>
      </c>
      <c r="N756">
        <f t="shared" si="23"/>
        <v>59.579915731598852</v>
      </c>
      <c r="O756" s="4">
        <v>45736</v>
      </c>
      <c r="P756" s="4">
        <v>45765</v>
      </c>
      <c r="Q756" t="s">
        <v>78</v>
      </c>
      <c r="R756">
        <f>Table2[[#This Row],[End_Date]]-Table2[[#This Row],[Start_Date]]</f>
        <v>29</v>
      </c>
      <c r="S756" t="str">
        <f>TEXT(Table2[[#This Row],[Start_Date]],"MMM")</f>
        <v>Mar</v>
      </c>
      <c r="T756">
        <f>YEAR(Table2[[#This Row],[Start_Date]])</f>
        <v>2025</v>
      </c>
      <c r="U756">
        <f>Table2[[#This Row],[Campaign_Cost (₹)]]/Table2[[#This Row],[Reach]]</f>
        <v>0.459453993098552</v>
      </c>
      <c r="V756">
        <f>Table2[[#This Row],[Revenue_Generated (₹)]]/Table2[[#This Row],[Reach]]</f>
        <v>0.73319629501213535</v>
      </c>
    </row>
    <row r="757" spans="1:22" x14ac:dyDescent="0.3">
      <c r="A757" t="s">
        <v>808</v>
      </c>
      <c r="B757" t="s">
        <v>36</v>
      </c>
      <c r="C757" t="s">
        <v>43</v>
      </c>
      <c r="D757" t="s">
        <v>51</v>
      </c>
      <c r="E757">
        <v>679492</v>
      </c>
      <c r="F757">
        <v>199131</v>
      </c>
      <c r="G757">
        <v>549235</v>
      </c>
      <c r="H757">
        <v>11522</v>
      </c>
      <c r="I757">
        <v>600</v>
      </c>
      <c r="J757">
        <v>907</v>
      </c>
      <c r="K757">
        <f t="shared" si="22"/>
        <v>6.5429290266206666</v>
      </c>
      <c r="L757">
        <v>363229</v>
      </c>
      <c r="M757">
        <v>1604162</v>
      </c>
      <c r="N757">
        <f t="shared" si="23"/>
        <v>341.63929642181654</v>
      </c>
      <c r="O757" s="4">
        <v>45981</v>
      </c>
      <c r="P757" s="4">
        <v>45988</v>
      </c>
      <c r="Q757" t="s">
        <v>34</v>
      </c>
      <c r="R757">
        <f>Table2[[#This Row],[End_Date]]-Table2[[#This Row],[Start_Date]]</f>
        <v>7</v>
      </c>
      <c r="S757" t="str">
        <f>TEXT(Table2[[#This Row],[Start_Date]],"MMM")</f>
        <v>Nov</v>
      </c>
      <c r="T757">
        <f>YEAR(Table2[[#This Row],[Start_Date]])</f>
        <v>2025</v>
      </c>
      <c r="U757">
        <f>Table2[[#This Row],[Campaign_Cost (₹)]]/Table2[[#This Row],[Reach]]</f>
        <v>1.824070586699208</v>
      </c>
      <c r="V757">
        <f>Table2[[#This Row],[Revenue_Generated (₹)]]/Table2[[#This Row],[Reach]]</f>
        <v>8.0558125053356839</v>
      </c>
    </row>
    <row r="758" spans="1:22" x14ac:dyDescent="0.3">
      <c r="A758" t="s">
        <v>809</v>
      </c>
      <c r="B758" t="s">
        <v>75</v>
      </c>
      <c r="C758" t="s">
        <v>28</v>
      </c>
      <c r="D758" t="s">
        <v>40</v>
      </c>
      <c r="E758">
        <v>1358631</v>
      </c>
      <c r="F758">
        <v>663122</v>
      </c>
      <c r="G758">
        <v>1309231</v>
      </c>
      <c r="H758">
        <v>45368</v>
      </c>
      <c r="I758">
        <v>1427</v>
      </c>
      <c r="J758">
        <v>4113</v>
      </c>
      <c r="K758">
        <f t="shared" si="22"/>
        <v>7.6770187084729509</v>
      </c>
      <c r="L758">
        <v>303949</v>
      </c>
      <c r="M758">
        <v>1291927</v>
      </c>
      <c r="N758">
        <f t="shared" si="23"/>
        <v>325.04729411842118</v>
      </c>
      <c r="O758" s="4">
        <v>46000</v>
      </c>
      <c r="P758" s="4">
        <v>46028</v>
      </c>
      <c r="Q758" t="s">
        <v>34</v>
      </c>
      <c r="R758">
        <f>Table2[[#This Row],[End_Date]]-Table2[[#This Row],[Start_Date]]</f>
        <v>28</v>
      </c>
      <c r="S758" t="str">
        <f>TEXT(Table2[[#This Row],[Start_Date]],"MMM")</f>
        <v>Dec</v>
      </c>
      <c r="T758">
        <f>YEAR(Table2[[#This Row],[Start_Date]])</f>
        <v>2025</v>
      </c>
      <c r="U758">
        <f>Table2[[#This Row],[Campaign_Cost (₹)]]/Table2[[#This Row],[Reach]]</f>
        <v>0.45836060332789441</v>
      </c>
      <c r="V758">
        <f>Table2[[#This Row],[Revenue_Generated (₹)]]/Table2[[#This Row],[Reach]]</f>
        <v>1.9482493417500852</v>
      </c>
    </row>
    <row r="759" spans="1:22" x14ac:dyDescent="0.3">
      <c r="A759" t="s">
        <v>810</v>
      </c>
      <c r="B759" t="s">
        <v>49</v>
      </c>
      <c r="C759" t="s">
        <v>37</v>
      </c>
      <c r="D759" t="s">
        <v>29</v>
      </c>
      <c r="E759">
        <v>1593262</v>
      </c>
      <c r="F759">
        <v>1005391</v>
      </c>
      <c r="G759">
        <v>2886531</v>
      </c>
      <c r="H759">
        <v>54031</v>
      </c>
      <c r="I759">
        <v>6488</v>
      </c>
      <c r="J759">
        <v>2393</v>
      </c>
      <c r="K759">
        <f t="shared" si="22"/>
        <v>6.2574660007897425</v>
      </c>
      <c r="L759">
        <v>457015</v>
      </c>
      <c r="M759">
        <v>529619</v>
      </c>
      <c r="N759">
        <f t="shared" si="23"/>
        <v>15.886568274564292</v>
      </c>
      <c r="O759" s="4">
        <v>46061</v>
      </c>
      <c r="P759" s="4">
        <v>46081</v>
      </c>
      <c r="Q759" t="s">
        <v>54</v>
      </c>
      <c r="R759">
        <f>Table2[[#This Row],[End_Date]]-Table2[[#This Row],[Start_Date]]</f>
        <v>20</v>
      </c>
      <c r="S759" t="str">
        <f>TEXT(Table2[[#This Row],[Start_Date]],"MMM")</f>
        <v>Feb</v>
      </c>
      <c r="T759">
        <f>YEAR(Table2[[#This Row],[Start_Date]])</f>
        <v>2026</v>
      </c>
      <c r="U759">
        <f>Table2[[#This Row],[Campaign_Cost (₹)]]/Table2[[#This Row],[Reach]]</f>
        <v>0.45456444308731631</v>
      </c>
      <c r="V759">
        <f>Table2[[#This Row],[Revenue_Generated (₹)]]/Table2[[#This Row],[Reach]]</f>
        <v>0.52677913369027574</v>
      </c>
    </row>
    <row r="760" spans="1:22" x14ac:dyDescent="0.3">
      <c r="A760" t="s">
        <v>811</v>
      </c>
      <c r="B760" t="s">
        <v>63</v>
      </c>
      <c r="C760" t="s">
        <v>37</v>
      </c>
      <c r="D760" t="s">
        <v>24</v>
      </c>
      <c r="E760">
        <v>1060259</v>
      </c>
      <c r="F760">
        <v>477083</v>
      </c>
      <c r="G760">
        <v>634517</v>
      </c>
      <c r="H760">
        <v>40505</v>
      </c>
      <c r="I760">
        <v>3609</v>
      </c>
      <c r="J760">
        <v>2621</v>
      </c>
      <c r="K760">
        <f t="shared" si="22"/>
        <v>9.795989377110482</v>
      </c>
      <c r="L760">
        <v>275350</v>
      </c>
      <c r="M760">
        <v>730000</v>
      </c>
      <c r="N760">
        <f t="shared" si="23"/>
        <v>165.11712366079536</v>
      </c>
      <c r="O760" s="4">
        <v>45996</v>
      </c>
      <c r="P760" s="4">
        <v>46026</v>
      </c>
      <c r="Q760" t="s">
        <v>21</v>
      </c>
      <c r="R760">
        <f>Table2[[#This Row],[End_Date]]-Table2[[#This Row],[Start_Date]]</f>
        <v>30</v>
      </c>
      <c r="S760" t="str">
        <f>TEXT(Table2[[#This Row],[Start_Date]],"MMM")</f>
        <v>Dec</v>
      </c>
      <c r="T760">
        <f>YEAR(Table2[[#This Row],[Start_Date]])</f>
        <v>2025</v>
      </c>
      <c r="U760">
        <f>Table2[[#This Row],[Campaign_Cost (₹)]]/Table2[[#This Row],[Reach]]</f>
        <v>0.57715324167912085</v>
      </c>
      <c r="V760">
        <f>Table2[[#This Row],[Revenue_Generated (₹)]]/Table2[[#This Row],[Reach]]</f>
        <v>1.5301320734547239</v>
      </c>
    </row>
    <row r="761" spans="1:22" x14ac:dyDescent="0.3">
      <c r="A761" t="s">
        <v>812</v>
      </c>
      <c r="B761" t="s">
        <v>53</v>
      </c>
      <c r="C761" t="s">
        <v>43</v>
      </c>
      <c r="D761" t="s">
        <v>51</v>
      </c>
      <c r="E761">
        <v>1838758</v>
      </c>
      <c r="F761">
        <v>673968</v>
      </c>
      <c r="G761">
        <v>1670472</v>
      </c>
      <c r="H761">
        <v>40107</v>
      </c>
      <c r="I761">
        <v>1448</v>
      </c>
      <c r="J761">
        <v>3549</v>
      </c>
      <c r="K761">
        <f t="shared" si="22"/>
        <v>6.692305866153883</v>
      </c>
      <c r="L761">
        <v>147258</v>
      </c>
      <c r="M761">
        <v>488108</v>
      </c>
      <c r="N761">
        <f t="shared" si="23"/>
        <v>231.46450447513888</v>
      </c>
      <c r="O761" s="4">
        <v>46075</v>
      </c>
      <c r="P761" s="4">
        <v>46085</v>
      </c>
      <c r="Q761" t="s">
        <v>30</v>
      </c>
      <c r="R761">
        <f>Table2[[#This Row],[End_Date]]-Table2[[#This Row],[Start_Date]]</f>
        <v>10</v>
      </c>
      <c r="S761" t="str">
        <f>TEXT(Table2[[#This Row],[Start_Date]],"MMM")</f>
        <v>Feb</v>
      </c>
      <c r="T761">
        <f>YEAR(Table2[[#This Row],[Start_Date]])</f>
        <v>2026</v>
      </c>
      <c r="U761">
        <f>Table2[[#This Row],[Campaign_Cost (₹)]]/Table2[[#This Row],[Reach]]</f>
        <v>0.21849405313011894</v>
      </c>
      <c r="V761">
        <f>Table2[[#This Row],[Revenue_Generated (₹)]]/Table2[[#This Row],[Reach]]</f>
        <v>0.72423023051539537</v>
      </c>
    </row>
    <row r="762" spans="1:22" x14ac:dyDescent="0.3">
      <c r="A762" t="s">
        <v>813</v>
      </c>
      <c r="B762" t="s">
        <v>63</v>
      </c>
      <c r="C762" t="s">
        <v>28</v>
      </c>
      <c r="D762" t="s">
        <v>72</v>
      </c>
      <c r="E762">
        <v>1566474</v>
      </c>
      <c r="F762">
        <v>1121397</v>
      </c>
      <c r="G762">
        <v>2374199</v>
      </c>
      <c r="H762">
        <v>153924</v>
      </c>
      <c r="I762">
        <v>13682</v>
      </c>
      <c r="J762">
        <v>12935</v>
      </c>
      <c r="K762">
        <f t="shared" si="22"/>
        <v>16.0996507035421</v>
      </c>
      <c r="L762">
        <v>398480</v>
      </c>
      <c r="M762">
        <v>1528497</v>
      </c>
      <c r="N762">
        <f t="shared" si="23"/>
        <v>283.58186107207388</v>
      </c>
      <c r="O762" s="4">
        <v>46119</v>
      </c>
      <c r="P762" s="4">
        <v>46127</v>
      </c>
      <c r="Q762" t="s">
        <v>78</v>
      </c>
      <c r="R762">
        <f>Table2[[#This Row],[End_Date]]-Table2[[#This Row],[Start_Date]]</f>
        <v>8</v>
      </c>
      <c r="S762" t="str">
        <f>TEXT(Table2[[#This Row],[Start_Date]],"MMM")</f>
        <v>Apr</v>
      </c>
      <c r="T762">
        <f>YEAR(Table2[[#This Row],[Start_Date]])</f>
        <v>2026</v>
      </c>
      <c r="U762">
        <f>Table2[[#This Row],[Campaign_Cost (₹)]]/Table2[[#This Row],[Reach]]</f>
        <v>0.35534248798596751</v>
      </c>
      <c r="V762">
        <f>Table2[[#This Row],[Revenue_Generated (₹)]]/Table2[[#This Row],[Reach]]</f>
        <v>1.3630293285963846</v>
      </c>
    </row>
    <row r="763" spans="1:22" x14ac:dyDescent="0.3">
      <c r="A763" t="s">
        <v>814</v>
      </c>
      <c r="B763" t="s">
        <v>32</v>
      </c>
      <c r="C763" t="s">
        <v>19</v>
      </c>
      <c r="D763" t="s">
        <v>51</v>
      </c>
      <c r="E763">
        <v>1282196</v>
      </c>
      <c r="F763">
        <v>1070634</v>
      </c>
      <c r="G763">
        <v>2668780</v>
      </c>
      <c r="H763">
        <v>61428</v>
      </c>
      <c r="I763">
        <v>7026</v>
      </c>
      <c r="J763">
        <v>6089</v>
      </c>
      <c r="K763">
        <f t="shared" si="22"/>
        <v>6.9625100641302256</v>
      </c>
      <c r="L763">
        <v>287264</v>
      </c>
      <c r="M763">
        <v>1169604</v>
      </c>
      <c r="N763">
        <f t="shared" si="23"/>
        <v>307.15300211651999</v>
      </c>
      <c r="O763" s="4">
        <v>46017</v>
      </c>
      <c r="P763" s="4">
        <v>46039</v>
      </c>
      <c r="Q763" t="s">
        <v>47</v>
      </c>
      <c r="R763">
        <f>Table2[[#This Row],[End_Date]]-Table2[[#This Row],[Start_Date]]</f>
        <v>22</v>
      </c>
      <c r="S763" t="str">
        <f>TEXT(Table2[[#This Row],[Start_Date]],"MMM")</f>
        <v>Dec</v>
      </c>
      <c r="T763">
        <f>YEAR(Table2[[#This Row],[Start_Date]])</f>
        <v>2025</v>
      </c>
      <c r="U763">
        <f>Table2[[#This Row],[Campaign_Cost (₹)]]/Table2[[#This Row],[Reach]]</f>
        <v>0.26831204688063337</v>
      </c>
      <c r="V763">
        <f>Table2[[#This Row],[Revenue_Generated (₹)]]/Table2[[#This Row],[Reach]]</f>
        <v>1.0924405539147832</v>
      </c>
    </row>
    <row r="764" spans="1:22" x14ac:dyDescent="0.3">
      <c r="A764" t="s">
        <v>815</v>
      </c>
      <c r="B764" t="s">
        <v>23</v>
      </c>
      <c r="C764" t="s">
        <v>33</v>
      </c>
      <c r="D764" t="s">
        <v>58</v>
      </c>
      <c r="E764">
        <v>1790538</v>
      </c>
      <c r="F764">
        <v>1341985</v>
      </c>
      <c r="G764">
        <v>1551266</v>
      </c>
      <c r="H764">
        <v>85350</v>
      </c>
      <c r="I764">
        <v>10305</v>
      </c>
      <c r="J764">
        <v>1974</v>
      </c>
      <c r="K764">
        <f t="shared" si="22"/>
        <v>7.2749695413883169</v>
      </c>
      <c r="L764">
        <v>252260</v>
      </c>
      <c r="M764">
        <v>526855</v>
      </c>
      <c r="N764">
        <f t="shared" si="23"/>
        <v>108.85396019979385</v>
      </c>
      <c r="O764" s="4">
        <v>45685</v>
      </c>
      <c r="P764" s="4">
        <v>45692</v>
      </c>
      <c r="Q764" t="s">
        <v>30</v>
      </c>
      <c r="R764">
        <f>Table2[[#This Row],[End_Date]]-Table2[[#This Row],[Start_Date]]</f>
        <v>7</v>
      </c>
      <c r="S764" t="str">
        <f>TEXT(Table2[[#This Row],[Start_Date]],"MMM")</f>
        <v>Jan</v>
      </c>
      <c r="T764">
        <f>YEAR(Table2[[#This Row],[Start_Date]])</f>
        <v>2025</v>
      </c>
      <c r="U764">
        <f>Table2[[#This Row],[Campaign_Cost (₹)]]/Table2[[#This Row],[Reach]]</f>
        <v>0.18797527543154358</v>
      </c>
      <c r="V764">
        <f>Table2[[#This Row],[Revenue_Generated (₹)]]/Table2[[#This Row],[Reach]]</f>
        <v>0.39259380693524892</v>
      </c>
    </row>
    <row r="765" spans="1:22" x14ac:dyDescent="0.3">
      <c r="A765" t="s">
        <v>816</v>
      </c>
      <c r="B765" t="s">
        <v>36</v>
      </c>
      <c r="C765" t="s">
        <v>43</v>
      </c>
      <c r="D765" t="s">
        <v>40</v>
      </c>
      <c r="E765">
        <v>1036194</v>
      </c>
      <c r="F765">
        <v>337696</v>
      </c>
      <c r="G765">
        <v>967707</v>
      </c>
      <c r="H765">
        <v>12367</v>
      </c>
      <c r="I765">
        <v>1787</v>
      </c>
      <c r="J765">
        <v>378</v>
      </c>
      <c r="K765">
        <f t="shared" si="22"/>
        <v>4.3032786885245899</v>
      </c>
      <c r="L765">
        <v>251670</v>
      </c>
      <c r="M765">
        <v>756726</v>
      </c>
      <c r="N765">
        <f t="shared" si="23"/>
        <v>200.68184527357255</v>
      </c>
      <c r="O765" s="4">
        <v>45695</v>
      </c>
      <c r="P765" s="4">
        <v>45711</v>
      </c>
      <c r="Q765" t="s">
        <v>21</v>
      </c>
      <c r="R765">
        <f>Table2[[#This Row],[End_Date]]-Table2[[#This Row],[Start_Date]]</f>
        <v>16</v>
      </c>
      <c r="S765" t="str">
        <f>TEXT(Table2[[#This Row],[Start_Date]],"MMM")</f>
        <v>Feb</v>
      </c>
      <c r="T765">
        <f>YEAR(Table2[[#This Row],[Start_Date]])</f>
        <v>2025</v>
      </c>
      <c r="U765">
        <f>Table2[[#This Row],[Campaign_Cost (₹)]]/Table2[[#This Row],[Reach]]</f>
        <v>0.74525608831611867</v>
      </c>
      <c r="V765">
        <f>Table2[[#This Row],[Revenue_Generated (₹)]]/Table2[[#This Row],[Reach]]</f>
        <v>2.2408497583625508</v>
      </c>
    </row>
    <row r="766" spans="1:22" x14ac:dyDescent="0.3">
      <c r="A766" t="s">
        <v>817</v>
      </c>
      <c r="B766" t="s">
        <v>39</v>
      </c>
      <c r="C766" t="s">
        <v>37</v>
      </c>
      <c r="D766" t="s">
        <v>20</v>
      </c>
      <c r="E766">
        <v>89832</v>
      </c>
      <c r="F766">
        <v>69497</v>
      </c>
      <c r="G766">
        <v>128006</v>
      </c>
      <c r="H766">
        <v>6647</v>
      </c>
      <c r="I766">
        <v>269</v>
      </c>
      <c r="J766">
        <v>257</v>
      </c>
      <c r="K766">
        <f t="shared" si="22"/>
        <v>10.321308833474827</v>
      </c>
      <c r="L766">
        <v>484118</v>
      </c>
      <c r="M766">
        <v>794311</v>
      </c>
      <c r="N766">
        <f t="shared" si="23"/>
        <v>64.073841501452122</v>
      </c>
      <c r="O766" s="4">
        <v>45794</v>
      </c>
      <c r="P766" s="4">
        <v>45820</v>
      </c>
      <c r="Q766" t="s">
        <v>41</v>
      </c>
      <c r="R766">
        <f>Table2[[#This Row],[End_Date]]-Table2[[#This Row],[Start_Date]]</f>
        <v>26</v>
      </c>
      <c r="S766" t="str">
        <f>TEXT(Table2[[#This Row],[Start_Date]],"MMM")</f>
        <v>May</v>
      </c>
      <c r="T766">
        <f>YEAR(Table2[[#This Row],[Start_Date]])</f>
        <v>2025</v>
      </c>
      <c r="U766">
        <f>Table2[[#This Row],[Campaign_Cost (₹)]]/Table2[[#This Row],[Reach]]</f>
        <v>6.9660273105313895</v>
      </c>
      <c r="V766">
        <f>Table2[[#This Row],[Revenue_Generated (₹)]]/Table2[[#This Row],[Reach]]</f>
        <v>11.429428608429141</v>
      </c>
    </row>
    <row r="767" spans="1:22" x14ac:dyDescent="0.3">
      <c r="A767" t="s">
        <v>818</v>
      </c>
      <c r="B767" t="s">
        <v>53</v>
      </c>
      <c r="C767" t="s">
        <v>43</v>
      </c>
      <c r="D767" t="s">
        <v>46</v>
      </c>
      <c r="E767">
        <v>1221322</v>
      </c>
      <c r="F767">
        <v>849604</v>
      </c>
      <c r="G767">
        <v>1552980</v>
      </c>
      <c r="H767">
        <v>55215</v>
      </c>
      <c r="I767">
        <v>2138</v>
      </c>
      <c r="J767">
        <v>2797</v>
      </c>
      <c r="K767">
        <f t="shared" si="22"/>
        <v>7.0797689276415827</v>
      </c>
      <c r="L767">
        <v>17281</v>
      </c>
      <c r="M767">
        <v>65804</v>
      </c>
      <c r="N767">
        <f t="shared" si="23"/>
        <v>280.78814883397956</v>
      </c>
      <c r="O767" s="4">
        <v>46095</v>
      </c>
      <c r="P767" s="4">
        <v>46111</v>
      </c>
      <c r="Q767" t="s">
        <v>21</v>
      </c>
      <c r="R767">
        <f>Table2[[#This Row],[End_Date]]-Table2[[#This Row],[Start_Date]]</f>
        <v>16</v>
      </c>
      <c r="S767" t="str">
        <f>TEXT(Table2[[#This Row],[Start_Date]],"MMM")</f>
        <v>Mar</v>
      </c>
      <c r="T767">
        <f>YEAR(Table2[[#This Row],[Start_Date]])</f>
        <v>2026</v>
      </c>
      <c r="U767">
        <f>Table2[[#This Row],[Campaign_Cost (₹)]]/Table2[[#This Row],[Reach]]</f>
        <v>2.0340064312314915E-2</v>
      </c>
      <c r="V767">
        <f>Table2[[#This Row],[Revenue_Generated (₹)]]/Table2[[#This Row],[Reach]]</f>
        <v>7.7452554366504861E-2</v>
      </c>
    </row>
    <row r="768" spans="1:22" x14ac:dyDescent="0.3">
      <c r="A768" t="s">
        <v>819</v>
      </c>
      <c r="B768" t="s">
        <v>18</v>
      </c>
      <c r="C768" t="s">
        <v>19</v>
      </c>
      <c r="D768" t="s">
        <v>24</v>
      </c>
      <c r="E768">
        <v>630032</v>
      </c>
      <c r="F768">
        <v>326676</v>
      </c>
      <c r="G768">
        <v>478124</v>
      </c>
      <c r="H768">
        <v>39336</v>
      </c>
      <c r="I768">
        <v>4776</v>
      </c>
      <c r="J768">
        <v>2024</v>
      </c>
      <c r="K768">
        <f t="shared" si="22"/>
        <v>14.122861795785427</v>
      </c>
      <c r="L768">
        <v>100647</v>
      </c>
      <c r="M768">
        <v>151833</v>
      </c>
      <c r="N768">
        <f t="shared" si="23"/>
        <v>50.856955497928404</v>
      </c>
      <c r="O768" s="4">
        <v>45975</v>
      </c>
      <c r="P768" s="4">
        <v>45994</v>
      </c>
      <c r="Q768" t="s">
        <v>47</v>
      </c>
      <c r="R768">
        <f>Table2[[#This Row],[End_Date]]-Table2[[#This Row],[Start_Date]]</f>
        <v>19</v>
      </c>
      <c r="S768" t="str">
        <f>TEXT(Table2[[#This Row],[Start_Date]],"MMM")</f>
        <v>Nov</v>
      </c>
      <c r="T768">
        <f>YEAR(Table2[[#This Row],[Start_Date]])</f>
        <v>2025</v>
      </c>
      <c r="U768">
        <f>Table2[[#This Row],[Campaign_Cost (₹)]]/Table2[[#This Row],[Reach]]</f>
        <v>0.30809425853138889</v>
      </c>
      <c r="V768">
        <f>Table2[[#This Row],[Revenue_Generated (₹)]]/Table2[[#This Row],[Reach]]</f>
        <v>0.46478161848436983</v>
      </c>
    </row>
    <row r="769" spans="1:22" x14ac:dyDescent="0.3">
      <c r="A769" t="s">
        <v>820</v>
      </c>
      <c r="B769" t="s">
        <v>103</v>
      </c>
      <c r="C769" t="s">
        <v>37</v>
      </c>
      <c r="D769" t="s">
        <v>20</v>
      </c>
      <c r="E769">
        <v>1365207</v>
      </c>
      <c r="F769">
        <v>963339</v>
      </c>
      <c r="G769">
        <v>1091545</v>
      </c>
      <c r="H769">
        <v>129438</v>
      </c>
      <c r="I769">
        <v>11373</v>
      </c>
      <c r="J769">
        <v>6190</v>
      </c>
      <c r="K769">
        <f t="shared" si="22"/>
        <v>15.259529615223716</v>
      </c>
      <c r="L769">
        <v>142457</v>
      </c>
      <c r="M769">
        <v>199336</v>
      </c>
      <c r="N769">
        <f t="shared" si="23"/>
        <v>39.927135907677403</v>
      </c>
      <c r="O769" s="4">
        <v>45986</v>
      </c>
      <c r="P769" s="4">
        <v>46014</v>
      </c>
      <c r="Q769" t="s">
        <v>30</v>
      </c>
      <c r="R769">
        <f>Table2[[#This Row],[End_Date]]-Table2[[#This Row],[Start_Date]]</f>
        <v>28</v>
      </c>
      <c r="S769" t="str">
        <f>TEXT(Table2[[#This Row],[Start_Date]],"MMM")</f>
        <v>Nov</v>
      </c>
      <c r="T769">
        <f>YEAR(Table2[[#This Row],[Start_Date]])</f>
        <v>2025</v>
      </c>
      <c r="U769">
        <f>Table2[[#This Row],[Campaign_Cost (₹)]]/Table2[[#This Row],[Reach]]</f>
        <v>0.14787836888156713</v>
      </c>
      <c r="V769">
        <f>Table2[[#This Row],[Revenue_Generated (₹)]]/Table2[[#This Row],[Reach]]</f>
        <v>0.20692196620296696</v>
      </c>
    </row>
    <row r="770" spans="1:22" x14ac:dyDescent="0.3">
      <c r="A770" t="s">
        <v>821</v>
      </c>
      <c r="B770" t="s">
        <v>18</v>
      </c>
      <c r="C770" t="s">
        <v>28</v>
      </c>
      <c r="D770" t="s">
        <v>72</v>
      </c>
      <c r="E770">
        <v>452099</v>
      </c>
      <c r="F770">
        <v>280606</v>
      </c>
      <c r="G770">
        <v>794747</v>
      </c>
      <c r="H770">
        <v>19046</v>
      </c>
      <c r="I770">
        <v>2828</v>
      </c>
      <c r="J770">
        <v>1670</v>
      </c>
      <c r="K770">
        <f t="shared" ref="K770:K833" si="24">((H770+I770+J770)/F770)*100</f>
        <v>8.3904121793546818</v>
      </c>
      <c r="L770">
        <v>54435</v>
      </c>
      <c r="M770">
        <v>108662</v>
      </c>
      <c r="N770">
        <f t="shared" ref="N770:N833" si="25">((M770-L770)/L770)*100</f>
        <v>99.617892899788743</v>
      </c>
      <c r="O770" s="4">
        <v>45816</v>
      </c>
      <c r="P770" s="4">
        <v>45826</v>
      </c>
      <c r="Q770" t="s">
        <v>41</v>
      </c>
      <c r="R770">
        <f>Table2[[#This Row],[End_Date]]-Table2[[#This Row],[Start_Date]]</f>
        <v>10</v>
      </c>
      <c r="S770" t="str">
        <f>TEXT(Table2[[#This Row],[Start_Date]],"MMM")</f>
        <v>Jun</v>
      </c>
      <c r="T770">
        <f>YEAR(Table2[[#This Row],[Start_Date]])</f>
        <v>2025</v>
      </c>
      <c r="U770">
        <f>Table2[[#This Row],[Campaign_Cost (₹)]]/Table2[[#This Row],[Reach]]</f>
        <v>0.19399086263301568</v>
      </c>
      <c r="V770">
        <f>Table2[[#This Row],[Revenue_Generated (₹)]]/Table2[[#This Row],[Reach]]</f>
        <v>0.38724047240614956</v>
      </c>
    </row>
    <row r="771" spans="1:22" x14ac:dyDescent="0.3">
      <c r="A771" t="s">
        <v>822</v>
      </c>
      <c r="B771" t="s">
        <v>32</v>
      </c>
      <c r="C771" t="s">
        <v>19</v>
      </c>
      <c r="D771" t="s">
        <v>46</v>
      </c>
      <c r="E771">
        <v>1857533</v>
      </c>
      <c r="F771">
        <v>1446820</v>
      </c>
      <c r="G771">
        <v>1699859</v>
      </c>
      <c r="H771">
        <v>110298</v>
      </c>
      <c r="I771">
        <v>12378</v>
      </c>
      <c r="J771">
        <v>4077</v>
      </c>
      <c r="K771">
        <f t="shared" si="24"/>
        <v>8.7607995465918354</v>
      </c>
      <c r="L771">
        <v>240618</v>
      </c>
      <c r="M771">
        <v>304947</v>
      </c>
      <c r="N771">
        <f t="shared" si="25"/>
        <v>26.734907612896791</v>
      </c>
      <c r="O771" s="4">
        <v>45876</v>
      </c>
      <c r="P771" s="4">
        <v>45896</v>
      </c>
      <c r="Q771" t="s">
        <v>21</v>
      </c>
      <c r="R771">
        <f>Table2[[#This Row],[End_Date]]-Table2[[#This Row],[Start_Date]]</f>
        <v>20</v>
      </c>
      <c r="S771" t="str">
        <f>TEXT(Table2[[#This Row],[Start_Date]],"MMM")</f>
        <v>Aug</v>
      </c>
      <c r="T771">
        <f>YEAR(Table2[[#This Row],[Start_Date]])</f>
        <v>2025</v>
      </c>
      <c r="U771">
        <f>Table2[[#This Row],[Campaign_Cost (₹)]]/Table2[[#This Row],[Reach]]</f>
        <v>0.16630817931739955</v>
      </c>
      <c r="V771">
        <f>Table2[[#This Row],[Revenue_Generated (₹)]]/Table2[[#This Row],[Reach]]</f>
        <v>0.21077051741059705</v>
      </c>
    </row>
    <row r="772" spans="1:22" x14ac:dyDescent="0.3">
      <c r="A772" t="s">
        <v>823</v>
      </c>
      <c r="B772" t="s">
        <v>49</v>
      </c>
      <c r="C772" t="s">
        <v>33</v>
      </c>
      <c r="D772" t="s">
        <v>24</v>
      </c>
      <c r="E772">
        <v>354565</v>
      </c>
      <c r="F772">
        <v>282546</v>
      </c>
      <c r="G772">
        <v>731208</v>
      </c>
      <c r="H772">
        <v>19001</v>
      </c>
      <c r="I772">
        <v>1927</v>
      </c>
      <c r="J772">
        <v>1619</v>
      </c>
      <c r="K772">
        <f t="shared" si="24"/>
        <v>7.9799395496662484</v>
      </c>
      <c r="L772">
        <v>56796</v>
      </c>
      <c r="M772">
        <v>204882</v>
      </c>
      <c r="N772">
        <f t="shared" si="25"/>
        <v>260.73315022184664</v>
      </c>
      <c r="O772" s="4">
        <v>45853</v>
      </c>
      <c r="P772" s="4">
        <v>45869</v>
      </c>
      <c r="Q772" t="s">
        <v>21</v>
      </c>
      <c r="R772">
        <f>Table2[[#This Row],[End_Date]]-Table2[[#This Row],[Start_Date]]</f>
        <v>16</v>
      </c>
      <c r="S772" t="str">
        <f>TEXT(Table2[[#This Row],[Start_Date]],"MMM")</f>
        <v>Jul</v>
      </c>
      <c r="T772">
        <f>YEAR(Table2[[#This Row],[Start_Date]])</f>
        <v>2025</v>
      </c>
      <c r="U772">
        <f>Table2[[#This Row],[Campaign_Cost (₹)]]/Table2[[#This Row],[Reach]]</f>
        <v>0.20101505595549043</v>
      </c>
      <c r="V772">
        <f>Table2[[#This Row],[Revenue_Generated (₹)]]/Table2[[#This Row],[Reach]]</f>
        <v>0.72512794376844836</v>
      </c>
    </row>
    <row r="773" spans="1:22" x14ac:dyDescent="0.3">
      <c r="A773" t="s">
        <v>824</v>
      </c>
      <c r="B773" t="s">
        <v>49</v>
      </c>
      <c r="C773" t="s">
        <v>43</v>
      </c>
      <c r="D773" t="s">
        <v>58</v>
      </c>
      <c r="E773">
        <v>332359</v>
      </c>
      <c r="F773">
        <v>181540</v>
      </c>
      <c r="G773">
        <v>283575</v>
      </c>
      <c r="H773">
        <v>16600</v>
      </c>
      <c r="I773">
        <v>2208</v>
      </c>
      <c r="J773">
        <v>487</v>
      </c>
      <c r="K773">
        <f t="shared" si="24"/>
        <v>10.628511622782858</v>
      </c>
      <c r="L773">
        <v>134396</v>
      </c>
      <c r="M773">
        <v>637480</v>
      </c>
      <c r="N773">
        <f t="shared" si="25"/>
        <v>374.32959314265304</v>
      </c>
      <c r="O773" s="4">
        <v>45666</v>
      </c>
      <c r="P773" s="4">
        <v>45681</v>
      </c>
      <c r="Q773" t="s">
        <v>34</v>
      </c>
      <c r="R773">
        <f>Table2[[#This Row],[End_Date]]-Table2[[#This Row],[Start_Date]]</f>
        <v>15</v>
      </c>
      <c r="S773" t="str">
        <f>TEXT(Table2[[#This Row],[Start_Date]],"MMM")</f>
        <v>Jan</v>
      </c>
      <c r="T773">
        <f>YEAR(Table2[[#This Row],[Start_Date]])</f>
        <v>2025</v>
      </c>
      <c r="U773">
        <f>Table2[[#This Row],[Campaign_Cost (₹)]]/Table2[[#This Row],[Reach]]</f>
        <v>0.74031067533325989</v>
      </c>
      <c r="V773">
        <f>Table2[[#This Row],[Revenue_Generated (₹)]]/Table2[[#This Row],[Reach]]</f>
        <v>3.5115126142998787</v>
      </c>
    </row>
    <row r="774" spans="1:22" x14ac:dyDescent="0.3">
      <c r="A774" t="s">
        <v>825</v>
      </c>
      <c r="B774" t="s">
        <v>53</v>
      </c>
      <c r="C774" t="s">
        <v>19</v>
      </c>
      <c r="D774" t="s">
        <v>58</v>
      </c>
      <c r="E774">
        <v>1102352</v>
      </c>
      <c r="F774">
        <v>631452</v>
      </c>
      <c r="G774">
        <v>825920</v>
      </c>
      <c r="H774">
        <v>35784</v>
      </c>
      <c r="I774">
        <v>3492</v>
      </c>
      <c r="J774">
        <v>1015</v>
      </c>
      <c r="K774">
        <f t="shared" si="24"/>
        <v>6.3806908521946246</v>
      </c>
      <c r="L774">
        <v>349009</v>
      </c>
      <c r="M774">
        <v>1092637</v>
      </c>
      <c r="N774">
        <f t="shared" si="25"/>
        <v>213.06843090006274</v>
      </c>
      <c r="O774" s="4">
        <v>45896</v>
      </c>
      <c r="P774" s="4">
        <v>45926</v>
      </c>
      <c r="Q774" t="s">
        <v>47</v>
      </c>
      <c r="R774">
        <f>Table2[[#This Row],[End_Date]]-Table2[[#This Row],[Start_Date]]</f>
        <v>30</v>
      </c>
      <c r="S774" t="str">
        <f>TEXT(Table2[[#This Row],[Start_Date]],"MMM")</f>
        <v>Aug</v>
      </c>
      <c r="T774">
        <f>YEAR(Table2[[#This Row],[Start_Date]])</f>
        <v>2025</v>
      </c>
      <c r="U774">
        <f>Table2[[#This Row],[Campaign_Cost (₹)]]/Table2[[#This Row],[Reach]]</f>
        <v>0.5527086777775666</v>
      </c>
      <c r="V774">
        <f>Table2[[#This Row],[Revenue_Generated (₹)]]/Table2[[#This Row],[Reach]]</f>
        <v>1.7303563849667116</v>
      </c>
    </row>
    <row r="775" spans="1:22" x14ac:dyDescent="0.3">
      <c r="A775" t="s">
        <v>826</v>
      </c>
      <c r="B775" t="s">
        <v>32</v>
      </c>
      <c r="C775" t="s">
        <v>28</v>
      </c>
      <c r="D775" t="s">
        <v>24</v>
      </c>
      <c r="E775">
        <v>251967</v>
      </c>
      <c r="F775">
        <v>135388</v>
      </c>
      <c r="G775">
        <v>240167</v>
      </c>
      <c r="H775">
        <v>17160</v>
      </c>
      <c r="I775">
        <v>1947</v>
      </c>
      <c r="J775">
        <v>1470</v>
      </c>
      <c r="K775">
        <f t="shared" si="24"/>
        <v>15.19854049103318</v>
      </c>
      <c r="L775">
        <v>348111</v>
      </c>
      <c r="M775">
        <v>840884</v>
      </c>
      <c r="N775">
        <f t="shared" si="25"/>
        <v>141.55628520787911</v>
      </c>
      <c r="O775" s="4">
        <v>45693</v>
      </c>
      <c r="P775" s="4">
        <v>45706</v>
      </c>
      <c r="Q775" t="s">
        <v>21</v>
      </c>
      <c r="R775">
        <f>Table2[[#This Row],[End_Date]]-Table2[[#This Row],[Start_Date]]</f>
        <v>13</v>
      </c>
      <c r="S775" t="str">
        <f>TEXT(Table2[[#This Row],[Start_Date]],"MMM")</f>
        <v>Feb</v>
      </c>
      <c r="T775">
        <f>YEAR(Table2[[#This Row],[Start_Date]])</f>
        <v>2025</v>
      </c>
      <c r="U775">
        <f>Table2[[#This Row],[Campaign_Cost (₹)]]/Table2[[#This Row],[Reach]]</f>
        <v>2.5712101515643928</v>
      </c>
      <c r="V775">
        <f>Table2[[#This Row],[Revenue_Generated (₹)]]/Table2[[#This Row],[Reach]]</f>
        <v>6.210919727006825</v>
      </c>
    </row>
    <row r="776" spans="1:22" x14ac:dyDescent="0.3">
      <c r="A776" t="s">
        <v>827</v>
      </c>
      <c r="B776" t="s">
        <v>103</v>
      </c>
      <c r="C776" t="s">
        <v>33</v>
      </c>
      <c r="D776" t="s">
        <v>20</v>
      </c>
      <c r="E776">
        <v>139816</v>
      </c>
      <c r="F776">
        <v>103345</v>
      </c>
      <c r="G776">
        <v>198537</v>
      </c>
      <c r="H776">
        <v>4817</v>
      </c>
      <c r="I776">
        <v>283</v>
      </c>
      <c r="J776">
        <v>430</v>
      </c>
      <c r="K776">
        <f t="shared" si="24"/>
        <v>5.3510087570758138</v>
      </c>
      <c r="L776">
        <v>49953</v>
      </c>
      <c r="M776">
        <v>240056</v>
      </c>
      <c r="N776">
        <f t="shared" si="25"/>
        <v>380.56372990611175</v>
      </c>
      <c r="O776" s="4">
        <v>46074</v>
      </c>
      <c r="P776" s="4">
        <v>46102</v>
      </c>
      <c r="Q776" t="s">
        <v>34</v>
      </c>
      <c r="R776">
        <f>Table2[[#This Row],[End_Date]]-Table2[[#This Row],[Start_Date]]</f>
        <v>28</v>
      </c>
      <c r="S776" t="str">
        <f>TEXT(Table2[[#This Row],[Start_Date]],"MMM")</f>
        <v>Feb</v>
      </c>
      <c r="T776">
        <f>YEAR(Table2[[#This Row],[Start_Date]])</f>
        <v>2026</v>
      </c>
      <c r="U776">
        <f>Table2[[#This Row],[Campaign_Cost (₹)]]/Table2[[#This Row],[Reach]]</f>
        <v>0.48336155595336011</v>
      </c>
      <c r="V776">
        <f>Table2[[#This Row],[Revenue_Generated (₹)]]/Table2[[#This Row],[Reach]]</f>
        <v>2.3228603222216848</v>
      </c>
    </row>
    <row r="777" spans="1:22" x14ac:dyDescent="0.3">
      <c r="A777" t="s">
        <v>828</v>
      </c>
      <c r="B777" t="s">
        <v>18</v>
      </c>
      <c r="C777" t="s">
        <v>43</v>
      </c>
      <c r="D777" t="s">
        <v>20</v>
      </c>
      <c r="E777">
        <v>607340</v>
      </c>
      <c r="F777">
        <v>325523</v>
      </c>
      <c r="G777">
        <v>415415</v>
      </c>
      <c r="H777">
        <v>42780</v>
      </c>
      <c r="I777">
        <v>3613</v>
      </c>
      <c r="J777">
        <v>2082</v>
      </c>
      <c r="K777">
        <f t="shared" si="24"/>
        <v>14.891420882702604</v>
      </c>
      <c r="L777">
        <v>146579</v>
      </c>
      <c r="M777">
        <v>164685</v>
      </c>
      <c r="N777">
        <f t="shared" si="25"/>
        <v>12.352383356415311</v>
      </c>
      <c r="O777" s="4">
        <v>45897</v>
      </c>
      <c r="P777" s="4">
        <v>45914</v>
      </c>
      <c r="Q777" t="s">
        <v>41</v>
      </c>
      <c r="R777">
        <f>Table2[[#This Row],[End_Date]]-Table2[[#This Row],[Start_Date]]</f>
        <v>17</v>
      </c>
      <c r="S777" t="str">
        <f>TEXT(Table2[[#This Row],[Start_Date]],"MMM")</f>
        <v>Aug</v>
      </c>
      <c r="T777">
        <f>YEAR(Table2[[#This Row],[Start_Date]])</f>
        <v>2025</v>
      </c>
      <c r="U777">
        <f>Table2[[#This Row],[Campaign_Cost (₹)]]/Table2[[#This Row],[Reach]]</f>
        <v>0.45028769088512949</v>
      </c>
      <c r="V777">
        <f>Table2[[#This Row],[Revenue_Generated (₹)]]/Table2[[#This Row],[Reach]]</f>
        <v>0.50590895267001101</v>
      </c>
    </row>
    <row r="778" spans="1:22" x14ac:dyDescent="0.3">
      <c r="A778" t="s">
        <v>829</v>
      </c>
      <c r="B778" t="s">
        <v>39</v>
      </c>
      <c r="C778" t="s">
        <v>28</v>
      </c>
      <c r="D778" t="s">
        <v>46</v>
      </c>
      <c r="E778">
        <v>1789647</v>
      </c>
      <c r="F778">
        <v>832410</v>
      </c>
      <c r="G778">
        <v>1367343</v>
      </c>
      <c r="H778">
        <v>52348</v>
      </c>
      <c r="I778">
        <v>4371</v>
      </c>
      <c r="J778">
        <v>3166</v>
      </c>
      <c r="K778">
        <f t="shared" si="24"/>
        <v>7.1941711416249206</v>
      </c>
      <c r="L778">
        <v>175380</v>
      </c>
      <c r="M778">
        <v>220574</v>
      </c>
      <c r="N778">
        <f t="shared" si="25"/>
        <v>25.769186908427415</v>
      </c>
      <c r="O778" s="4">
        <v>45753</v>
      </c>
      <c r="P778" s="4">
        <v>45764</v>
      </c>
      <c r="Q778" t="s">
        <v>25</v>
      </c>
      <c r="R778">
        <f>Table2[[#This Row],[End_Date]]-Table2[[#This Row],[Start_Date]]</f>
        <v>11</v>
      </c>
      <c r="S778" t="str">
        <f>TEXT(Table2[[#This Row],[Start_Date]],"MMM")</f>
        <v>Apr</v>
      </c>
      <c r="T778">
        <f>YEAR(Table2[[#This Row],[Start_Date]])</f>
        <v>2025</v>
      </c>
      <c r="U778">
        <f>Table2[[#This Row],[Campaign_Cost (₹)]]/Table2[[#This Row],[Reach]]</f>
        <v>0.21068944390384545</v>
      </c>
      <c r="V778">
        <f>Table2[[#This Row],[Revenue_Generated (₹)]]/Table2[[#This Row],[Reach]]</f>
        <v>0.26498240049975375</v>
      </c>
    </row>
    <row r="779" spans="1:22" x14ac:dyDescent="0.3">
      <c r="A779" t="s">
        <v>830</v>
      </c>
      <c r="B779" t="s">
        <v>18</v>
      </c>
      <c r="C779" t="s">
        <v>33</v>
      </c>
      <c r="D779" t="s">
        <v>51</v>
      </c>
      <c r="E779">
        <v>1512356</v>
      </c>
      <c r="F779">
        <v>1100747</v>
      </c>
      <c r="G779">
        <v>2631522</v>
      </c>
      <c r="H779">
        <v>36627</v>
      </c>
      <c r="I779">
        <v>5439</v>
      </c>
      <c r="J779">
        <v>1292</v>
      </c>
      <c r="K779">
        <f t="shared" si="24"/>
        <v>3.9389614507239177</v>
      </c>
      <c r="L779">
        <v>365369</v>
      </c>
      <c r="M779">
        <v>1564506</v>
      </c>
      <c r="N779">
        <f t="shared" si="25"/>
        <v>328.19888934200765</v>
      </c>
      <c r="O779" s="4">
        <v>46086</v>
      </c>
      <c r="P779" s="4">
        <v>46094</v>
      </c>
      <c r="Q779" t="s">
        <v>34</v>
      </c>
      <c r="R779">
        <f>Table2[[#This Row],[End_Date]]-Table2[[#This Row],[Start_Date]]</f>
        <v>8</v>
      </c>
      <c r="S779" t="str">
        <f>TEXT(Table2[[#This Row],[Start_Date]],"MMM")</f>
        <v>Mar</v>
      </c>
      <c r="T779">
        <f>YEAR(Table2[[#This Row],[Start_Date]])</f>
        <v>2026</v>
      </c>
      <c r="U779">
        <f>Table2[[#This Row],[Campaign_Cost (₹)]]/Table2[[#This Row],[Reach]]</f>
        <v>0.33192822692226281</v>
      </c>
      <c r="V779">
        <f>Table2[[#This Row],[Revenue_Generated (₹)]]/Table2[[#This Row],[Reach]]</f>
        <v>1.4213129810937482</v>
      </c>
    </row>
    <row r="780" spans="1:22" x14ac:dyDescent="0.3">
      <c r="A780" t="s">
        <v>831</v>
      </c>
      <c r="B780" t="s">
        <v>80</v>
      </c>
      <c r="C780" t="s">
        <v>43</v>
      </c>
      <c r="D780" t="s">
        <v>58</v>
      </c>
      <c r="E780">
        <v>834301</v>
      </c>
      <c r="F780">
        <v>642715</v>
      </c>
      <c r="G780">
        <v>1311244</v>
      </c>
      <c r="H780">
        <v>46813</v>
      </c>
      <c r="I780">
        <v>5680</v>
      </c>
      <c r="J780">
        <v>3404</v>
      </c>
      <c r="K780">
        <f t="shared" si="24"/>
        <v>8.6970118948523059</v>
      </c>
      <c r="L780">
        <v>15393</v>
      </c>
      <c r="M780">
        <v>26438</v>
      </c>
      <c r="N780">
        <f t="shared" si="25"/>
        <v>71.753394400051974</v>
      </c>
      <c r="O780" s="4">
        <v>45761</v>
      </c>
      <c r="P780" s="4">
        <v>45790</v>
      </c>
      <c r="Q780" t="s">
        <v>47</v>
      </c>
      <c r="R780">
        <f>Table2[[#This Row],[End_Date]]-Table2[[#This Row],[Start_Date]]</f>
        <v>29</v>
      </c>
      <c r="S780" t="str">
        <f>TEXT(Table2[[#This Row],[Start_Date]],"MMM")</f>
        <v>Apr</v>
      </c>
      <c r="T780">
        <f>YEAR(Table2[[#This Row],[Start_Date]])</f>
        <v>2025</v>
      </c>
      <c r="U780">
        <f>Table2[[#This Row],[Campaign_Cost (₹)]]/Table2[[#This Row],[Reach]]</f>
        <v>2.3949962269435132E-2</v>
      </c>
      <c r="V780">
        <f>Table2[[#This Row],[Revenue_Generated (₹)]]/Table2[[#This Row],[Reach]]</f>
        <v>4.1134873155286557E-2</v>
      </c>
    </row>
    <row r="781" spans="1:22" x14ac:dyDescent="0.3">
      <c r="A781" t="s">
        <v>832</v>
      </c>
      <c r="B781" t="s">
        <v>18</v>
      </c>
      <c r="C781" t="s">
        <v>37</v>
      </c>
      <c r="D781" t="s">
        <v>58</v>
      </c>
      <c r="E781">
        <v>386468</v>
      </c>
      <c r="F781">
        <v>245692</v>
      </c>
      <c r="G781">
        <v>423283</v>
      </c>
      <c r="H781">
        <v>13951</v>
      </c>
      <c r="I781">
        <v>2081</v>
      </c>
      <c r="J781">
        <v>324</v>
      </c>
      <c r="K781">
        <f t="shared" si="24"/>
        <v>6.657115412793253</v>
      </c>
      <c r="L781">
        <v>327897</v>
      </c>
      <c r="M781">
        <v>402084</v>
      </c>
      <c r="N781">
        <f t="shared" si="25"/>
        <v>22.625092635797216</v>
      </c>
      <c r="O781" s="4">
        <v>45993</v>
      </c>
      <c r="P781" s="4">
        <v>46000</v>
      </c>
      <c r="Q781" t="s">
        <v>54</v>
      </c>
      <c r="R781">
        <f>Table2[[#This Row],[End_Date]]-Table2[[#This Row],[Start_Date]]</f>
        <v>7</v>
      </c>
      <c r="S781" t="str">
        <f>TEXT(Table2[[#This Row],[Start_Date]],"MMM")</f>
        <v>Dec</v>
      </c>
      <c r="T781">
        <f>YEAR(Table2[[#This Row],[Start_Date]])</f>
        <v>2025</v>
      </c>
      <c r="U781">
        <f>Table2[[#This Row],[Campaign_Cost (₹)]]/Table2[[#This Row],[Reach]]</f>
        <v>1.3345855786920209</v>
      </c>
      <c r="V781">
        <f>Table2[[#This Row],[Revenue_Generated (₹)]]/Table2[[#This Row],[Reach]]</f>
        <v>1.636536802175081</v>
      </c>
    </row>
    <row r="782" spans="1:22" x14ac:dyDescent="0.3">
      <c r="A782" t="s">
        <v>833</v>
      </c>
      <c r="B782" t="s">
        <v>103</v>
      </c>
      <c r="C782" t="s">
        <v>19</v>
      </c>
      <c r="D782" t="s">
        <v>46</v>
      </c>
      <c r="E782">
        <v>463660</v>
      </c>
      <c r="F782">
        <v>318617</v>
      </c>
      <c r="G782">
        <v>593271</v>
      </c>
      <c r="H782">
        <v>24883</v>
      </c>
      <c r="I782">
        <v>1796</v>
      </c>
      <c r="J782">
        <v>1802</v>
      </c>
      <c r="K782">
        <f t="shared" si="24"/>
        <v>8.9389455051048756</v>
      </c>
      <c r="L782">
        <v>255504</v>
      </c>
      <c r="M782">
        <v>823797</v>
      </c>
      <c r="N782">
        <f t="shared" si="25"/>
        <v>222.42039263573173</v>
      </c>
      <c r="O782" s="4">
        <v>46112</v>
      </c>
      <c r="P782" s="4">
        <v>46139</v>
      </c>
      <c r="Q782" t="s">
        <v>47</v>
      </c>
      <c r="R782">
        <f>Table2[[#This Row],[End_Date]]-Table2[[#This Row],[Start_Date]]</f>
        <v>27</v>
      </c>
      <c r="S782" t="str">
        <f>TEXT(Table2[[#This Row],[Start_Date]],"MMM")</f>
        <v>Mar</v>
      </c>
      <c r="T782">
        <f>YEAR(Table2[[#This Row],[Start_Date]])</f>
        <v>2026</v>
      </c>
      <c r="U782">
        <f>Table2[[#This Row],[Campaign_Cost (₹)]]/Table2[[#This Row],[Reach]]</f>
        <v>0.80191577976065309</v>
      </c>
      <c r="V782">
        <f>Table2[[#This Row],[Revenue_Generated (₹)]]/Table2[[#This Row],[Reach]]</f>
        <v>2.5855400057121876</v>
      </c>
    </row>
    <row r="783" spans="1:22" x14ac:dyDescent="0.3">
      <c r="A783" t="s">
        <v>834</v>
      </c>
      <c r="B783" t="s">
        <v>32</v>
      </c>
      <c r="C783" t="s">
        <v>28</v>
      </c>
      <c r="D783" t="s">
        <v>72</v>
      </c>
      <c r="E783">
        <v>597576</v>
      </c>
      <c r="F783">
        <v>313791</v>
      </c>
      <c r="G783">
        <v>808517</v>
      </c>
      <c r="H783">
        <v>37001</v>
      </c>
      <c r="I783">
        <v>4062</v>
      </c>
      <c r="J783">
        <v>1424</v>
      </c>
      <c r="K783">
        <f t="shared" si="24"/>
        <v>13.539903948806689</v>
      </c>
      <c r="L783">
        <v>464096</v>
      </c>
      <c r="M783">
        <v>2260470</v>
      </c>
      <c r="N783">
        <f t="shared" si="25"/>
        <v>387.06948562366404</v>
      </c>
      <c r="O783" s="4">
        <v>45819</v>
      </c>
      <c r="P783" s="4">
        <v>45838</v>
      </c>
      <c r="Q783" t="s">
        <v>30</v>
      </c>
      <c r="R783">
        <f>Table2[[#This Row],[End_Date]]-Table2[[#This Row],[Start_Date]]</f>
        <v>19</v>
      </c>
      <c r="S783" t="str">
        <f>TEXT(Table2[[#This Row],[Start_Date]],"MMM")</f>
        <v>Jun</v>
      </c>
      <c r="T783">
        <f>YEAR(Table2[[#This Row],[Start_Date]])</f>
        <v>2025</v>
      </c>
      <c r="U783">
        <f>Table2[[#This Row],[Campaign_Cost (₹)]]/Table2[[#This Row],[Reach]]</f>
        <v>1.4789971669040858</v>
      </c>
      <c r="V783">
        <f>Table2[[#This Row],[Revenue_Generated (₹)]]/Table2[[#This Row],[Reach]]</f>
        <v>7.2037438932282951</v>
      </c>
    </row>
    <row r="784" spans="1:22" x14ac:dyDescent="0.3">
      <c r="A784" t="s">
        <v>835</v>
      </c>
      <c r="B784" t="s">
        <v>23</v>
      </c>
      <c r="C784" t="s">
        <v>37</v>
      </c>
      <c r="D784" t="s">
        <v>29</v>
      </c>
      <c r="E784">
        <v>665571</v>
      </c>
      <c r="F784">
        <v>333241</v>
      </c>
      <c r="G784">
        <v>917099</v>
      </c>
      <c r="H784">
        <v>32866</v>
      </c>
      <c r="I784">
        <v>2789</v>
      </c>
      <c r="J784">
        <v>2559</v>
      </c>
      <c r="K784">
        <f t="shared" si="24"/>
        <v>11.467376463280329</v>
      </c>
      <c r="L784">
        <v>343875</v>
      </c>
      <c r="M784">
        <v>629557</v>
      </c>
      <c r="N784">
        <f t="shared" si="25"/>
        <v>83.077280988731374</v>
      </c>
      <c r="O784" s="4">
        <v>45985</v>
      </c>
      <c r="P784" s="4">
        <v>45999</v>
      </c>
      <c r="Q784" t="s">
        <v>54</v>
      </c>
      <c r="R784">
        <f>Table2[[#This Row],[End_Date]]-Table2[[#This Row],[Start_Date]]</f>
        <v>14</v>
      </c>
      <c r="S784" t="str">
        <f>TEXT(Table2[[#This Row],[Start_Date]],"MMM")</f>
        <v>Nov</v>
      </c>
      <c r="T784">
        <f>YEAR(Table2[[#This Row],[Start_Date]])</f>
        <v>2025</v>
      </c>
      <c r="U784">
        <f>Table2[[#This Row],[Campaign_Cost (₹)]]/Table2[[#This Row],[Reach]]</f>
        <v>1.0319108393024867</v>
      </c>
      <c r="V784">
        <f>Table2[[#This Row],[Revenue_Generated (₹)]]/Table2[[#This Row],[Reach]]</f>
        <v>1.8891943068229899</v>
      </c>
    </row>
    <row r="785" spans="1:22" x14ac:dyDescent="0.3">
      <c r="A785" t="s">
        <v>836</v>
      </c>
      <c r="B785" t="s">
        <v>23</v>
      </c>
      <c r="C785" t="s">
        <v>19</v>
      </c>
      <c r="D785" t="s">
        <v>72</v>
      </c>
      <c r="E785">
        <v>452647</v>
      </c>
      <c r="F785">
        <v>280561</v>
      </c>
      <c r="G785">
        <v>493127</v>
      </c>
      <c r="H785">
        <v>11745</v>
      </c>
      <c r="I785">
        <v>805</v>
      </c>
      <c r="J785">
        <v>432</v>
      </c>
      <c r="K785">
        <f t="shared" si="24"/>
        <v>4.6271577304044396</v>
      </c>
      <c r="L785">
        <v>411179</v>
      </c>
      <c r="M785">
        <v>624455</v>
      </c>
      <c r="N785">
        <f t="shared" si="25"/>
        <v>51.869380488789552</v>
      </c>
      <c r="O785" s="4">
        <v>45926</v>
      </c>
      <c r="P785" s="4">
        <v>45937</v>
      </c>
      <c r="Q785" t="s">
        <v>21</v>
      </c>
      <c r="R785">
        <f>Table2[[#This Row],[End_Date]]-Table2[[#This Row],[Start_Date]]</f>
        <v>11</v>
      </c>
      <c r="S785" t="str">
        <f>TEXT(Table2[[#This Row],[Start_Date]],"MMM")</f>
        <v>Sep</v>
      </c>
      <c r="T785">
        <f>YEAR(Table2[[#This Row],[Start_Date]])</f>
        <v>2025</v>
      </c>
      <c r="U785">
        <f>Table2[[#This Row],[Campaign_Cost (₹)]]/Table2[[#This Row],[Reach]]</f>
        <v>1.4655600742797465</v>
      </c>
      <c r="V785">
        <f>Table2[[#This Row],[Revenue_Generated (₹)]]/Table2[[#This Row],[Reach]]</f>
        <v>2.2257370054996954</v>
      </c>
    </row>
    <row r="786" spans="1:22" x14ac:dyDescent="0.3">
      <c r="A786" t="s">
        <v>837</v>
      </c>
      <c r="B786" t="s">
        <v>80</v>
      </c>
      <c r="C786" t="s">
        <v>43</v>
      </c>
      <c r="D786" t="s">
        <v>58</v>
      </c>
      <c r="E786">
        <v>1138874</v>
      </c>
      <c r="F786">
        <v>522388</v>
      </c>
      <c r="G786">
        <v>1367795</v>
      </c>
      <c r="H786">
        <v>66145</v>
      </c>
      <c r="I786">
        <v>5859</v>
      </c>
      <c r="J786">
        <v>4146</v>
      </c>
      <c r="K786">
        <f t="shared" si="24"/>
        <v>14.577287380261414</v>
      </c>
      <c r="L786">
        <v>447144</v>
      </c>
      <c r="M786">
        <v>1246491</v>
      </c>
      <c r="N786">
        <f t="shared" si="25"/>
        <v>178.76724276743064</v>
      </c>
      <c r="O786" s="4">
        <v>46037</v>
      </c>
      <c r="P786" s="4">
        <v>46067</v>
      </c>
      <c r="Q786" t="s">
        <v>54</v>
      </c>
      <c r="R786">
        <f>Table2[[#This Row],[End_Date]]-Table2[[#This Row],[Start_Date]]</f>
        <v>30</v>
      </c>
      <c r="S786" t="str">
        <f>TEXT(Table2[[#This Row],[Start_Date]],"MMM")</f>
        <v>Jan</v>
      </c>
      <c r="T786">
        <f>YEAR(Table2[[#This Row],[Start_Date]])</f>
        <v>2026</v>
      </c>
      <c r="U786">
        <f>Table2[[#This Row],[Campaign_Cost (₹)]]/Table2[[#This Row],[Reach]]</f>
        <v>0.8559614692527393</v>
      </c>
      <c r="V786">
        <f>Table2[[#This Row],[Revenue_Generated (₹)]]/Table2[[#This Row],[Reach]]</f>
        <v>2.3861401869874501</v>
      </c>
    </row>
    <row r="787" spans="1:22" x14ac:dyDescent="0.3">
      <c r="A787" t="s">
        <v>838</v>
      </c>
      <c r="B787" t="s">
        <v>23</v>
      </c>
      <c r="C787" t="s">
        <v>37</v>
      </c>
      <c r="D787" t="s">
        <v>51</v>
      </c>
      <c r="E787">
        <v>1007188</v>
      </c>
      <c r="F787">
        <v>716232</v>
      </c>
      <c r="G787">
        <v>1374801</v>
      </c>
      <c r="H787">
        <v>16688</v>
      </c>
      <c r="I787">
        <v>1587</v>
      </c>
      <c r="J787">
        <v>1106</v>
      </c>
      <c r="K787">
        <f t="shared" si="24"/>
        <v>2.7059667817131881</v>
      </c>
      <c r="L787">
        <v>434985</v>
      </c>
      <c r="M787">
        <v>506349</v>
      </c>
      <c r="N787">
        <f t="shared" si="25"/>
        <v>16.406082968378218</v>
      </c>
      <c r="O787" s="4">
        <v>46015</v>
      </c>
      <c r="P787" s="4">
        <v>46041</v>
      </c>
      <c r="Q787" t="s">
        <v>78</v>
      </c>
      <c r="R787">
        <f>Table2[[#This Row],[End_Date]]-Table2[[#This Row],[Start_Date]]</f>
        <v>26</v>
      </c>
      <c r="S787" t="str">
        <f>TEXT(Table2[[#This Row],[Start_Date]],"MMM")</f>
        <v>Dec</v>
      </c>
      <c r="T787">
        <f>YEAR(Table2[[#This Row],[Start_Date]])</f>
        <v>2025</v>
      </c>
      <c r="U787">
        <f>Table2[[#This Row],[Campaign_Cost (₹)]]/Table2[[#This Row],[Reach]]</f>
        <v>0.60732416312032977</v>
      </c>
      <c r="V787">
        <f>Table2[[#This Row],[Revenue_Generated (₹)]]/Table2[[#This Row],[Reach]]</f>
        <v>0.70696226920885974</v>
      </c>
    </row>
    <row r="788" spans="1:22" x14ac:dyDescent="0.3">
      <c r="A788" t="s">
        <v>839</v>
      </c>
      <c r="B788" t="s">
        <v>103</v>
      </c>
      <c r="C788" t="s">
        <v>43</v>
      </c>
      <c r="D788" t="s">
        <v>51</v>
      </c>
      <c r="E788">
        <v>1201851</v>
      </c>
      <c r="F788">
        <v>622117</v>
      </c>
      <c r="G788">
        <v>1767096</v>
      </c>
      <c r="H788">
        <v>35734</v>
      </c>
      <c r="I788">
        <v>3075</v>
      </c>
      <c r="J788">
        <v>2901</v>
      </c>
      <c r="K788">
        <f t="shared" si="24"/>
        <v>6.7045266404872388</v>
      </c>
      <c r="L788">
        <v>348254</v>
      </c>
      <c r="M788">
        <v>716352</v>
      </c>
      <c r="N788">
        <f t="shared" si="25"/>
        <v>105.69813986343301</v>
      </c>
      <c r="O788" s="4">
        <v>46034</v>
      </c>
      <c r="P788" s="4">
        <v>46061</v>
      </c>
      <c r="Q788" t="s">
        <v>54</v>
      </c>
      <c r="R788">
        <f>Table2[[#This Row],[End_Date]]-Table2[[#This Row],[Start_Date]]</f>
        <v>27</v>
      </c>
      <c r="S788" t="str">
        <f>TEXT(Table2[[#This Row],[Start_Date]],"MMM")</f>
        <v>Jan</v>
      </c>
      <c r="T788">
        <f>YEAR(Table2[[#This Row],[Start_Date]])</f>
        <v>2026</v>
      </c>
      <c r="U788">
        <f>Table2[[#This Row],[Campaign_Cost (₹)]]/Table2[[#This Row],[Reach]]</f>
        <v>0.55978859282096449</v>
      </c>
      <c r="V788">
        <f>Table2[[#This Row],[Revenue_Generated (₹)]]/Table2[[#This Row],[Reach]]</f>
        <v>1.1514747226004112</v>
      </c>
    </row>
    <row r="789" spans="1:22" x14ac:dyDescent="0.3">
      <c r="A789" t="s">
        <v>840</v>
      </c>
      <c r="B789" t="s">
        <v>75</v>
      </c>
      <c r="C789" t="s">
        <v>28</v>
      </c>
      <c r="D789" t="s">
        <v>46</v>
      </c>
      <c r="E789">
        <v>1429446</v>
      </c>
      <c r="F789">
        <v>831044</v>
      </c>
      <c r="G789">
        <v>1135082</v>
      </c>
      <c r="H789">
        <v>110216</v>
      </c>
      <c r="I789">
        <v>4697</v>
      </c>
      <c r="J789">
        <v>2847</v>
      </c>
      <c r="K789">
        <f t="shared" si="24"/>
        <v>14.170128176125452</v>
      </c>
      <c r="L789">
        <v>178411</v>
      </c>
      <c r="M789">
        <v>737440</v>
      </c>
      <c r="N789">
        <f t="shared" si="25"/>
        <v>313.33774262797698</v>
      </c>
      <c r="O789" s="4">
        <v>46021</v>
      </c>
      <c r="P789" s="4">
        <v>46047</v>
      </c>
      <c r="Q789" t="s">
        <v>21</v>
      </c>
      <c r="R789">
        <f>Table2[[#This Row],[End_Date]]-Table2[[#This Row],[Start_Date]]</f>
        <v>26</v>
      </c>
      <c r="S789" t="str">
        <f>TEXT(Table2[[#This Row],[Start_Date]],"MMM")</f>
        <v>Dec</v>
      </c>
      <c r="T789">
        <f>YEAR(Table2[[#This Row],[Start_Date]])</f>
        <v>2025</v>
      </c>
      <c r="U789">
        <f>Table2[[#This Row],[Campaign_Cost (₹)]]/Table2[[#This Row],[Reach]]</f>
        <v>0.21468297707461939</v>
      </c>
      <c r="V789">
        <f>Table2[[#This Row],[Revenue_Generated (₹)]]/Table2[[#This Row],[Reach]]</f>
        <v>0.88736577124676908</v>
      </c>
    </row>
    <row r="790" spans="1:22" x14ac:dyDescent="0.3">
      <c r="A790" t="s">
        <v>841</v>
      </c>
      <c r="B790" t="s">
        <v>103</v>
      </c>
      <c r="C790" t="s">
        <v>43</v>
      </c>
      <c r="D790" t="s">
        <v>51</v>
      </c>
      <c r="E790">
        <v>353012</v>
      </c>
      <c r="F790">
        <v>305115</v>
      </c>
      <c r="G790">
        <v>444616</v>
      </c>
      <c r="H790">
        <v>29160</v>
      </c>
      <c r="I790">
        <v>2430</v>
      </c>
      <c r="J790">
        <v>1944</v>
      </c>
      <c r="K790">
        <f t="shared" si="24"/>
        <v>10.990610097831965</v>
      </c>
      <c r="L790">
        <v>462196</v>
      </c>
      <c r="M790">
        <v>1906348</v>
      </c>
      <c r="N790">
        <f t="shared" si="25"/>
        <v>312.45445655090049</v>
      </c>
      <c r="O790" s="4">
        <v>46155</v>
      </c>
      <c r="P790" s="4">
        <v>46175</v>
      </c>
      <c r="Q790" t="s">
        <v>30</v>
      </c>
      <c r="R790">
        <f>Table2[[#This Row],[End_Date]]-Table2[[#This Row],[Start_Date]]</f>
        <v>20</v>
      </c>
      <c r="S790" t="str">
        <f>TEXT(Table2[[#This Row],[Start_Date]],"MMM")</f>
        <v>May</v>
      </c>
      <c r="T790">
        <f>YEAR(Table2[[#This Row],[Start_Date]])</f>
        <v>2026</v>
      </c>
      <c r="U790">
        <f>Table2[[#This Row],[Campaign_Cost (₹)]]/Table2[[#This Row],[Reach]]</f>
        <v>1.5148255575766514</v>
      </c>
      <c r="V790">
        <f>Table2[[#This Row],[Revenue_Generated (₹)]]/Table2[[#This Row],[Reach]]</f>
        <v>6.2479655211969254</v>
      </c>
    </row>
    <row r="791" spans="1:22" x14ac:dyDescent="0.3">
      <c r="A791" t="s">
        <v>842</v>
      </c>
      <c r="B791" t="s">
        <v>18</v>
      </c>
      <c r="C791" t="s">
        <v>43</v>
      </c>
      <c r="D791" t="s">
        <v>72</v>
      </c>
      <c r="E791">
        <v>1375208</v>
      </c>
      <c r="F791">
        <v>1019618</v>
      </c>
      <c r="G791">
        <v>1602711</v>
      </c>
      <c r="H791">
        <v>100263</v>
      </c>
      <c r="I791">
        <v>13970</v>
      </c>
      <c r="J791">
        <v>3587</v>
      </c>
      <c r="K791">
        <f t="shared" si="24"/>
        <v>11.555307968278317</v>
      </c>
      <c r="L791">
        <v>459711</v>
      </c>
      <c r="M791">
        <v>980390</v>
      </c>
      <c r="N791">
        <f t="shared" si="25"/>
        <v>113.26224519317572</v>
      </c>
      <c r="O791" s="4">
        <v>45949</v>
      </c>
      <c r="P791" s="4">
        <v>45968</v>
      </c>
      <c r="Q791" t="s">
        <v>78</v>
      </c>
      <c r="R791">
        <f>Table2[[#This Row],[End_Date]]-Table2[[#This Row],[Start_Date]]</f>
        <v>19</v>
      </c>
      <c r="S791" t="str">
        <f>TEXT(Table2[[#This Row],[Start_Date]],"MMM")</f>
        <v>Oct</v>
      </c>
      <c r="T791">
        <f>YEAR(Table2[[#This Row],[Start_Date]])</f>
        <v>2025</v>
      </c>
      <c r="U791">
        <f>Table2[[#This Row],[Campaign_Cost (₹)]]/Table2[[#This Row],[Reach]]</f>
        <v>0.45086591252802521</v>
      </c>
      <c r="V791">
        <f>Table2[[#This Row],[Revenue_Generated (₹)]]/Table2[[#This Row],[Reach]]</f>
        <v>0.9615267678679662</v>
      </c>
    </row>
    <row r="792" spans="1:22" x14ac:dyDescent="0.3">
      <c r="A792" t="s">
        <v>843</v>
      </c>
      <c r="B792" t="s">
        <v>27</v>
      </c>
      <c r="C792" t="s">
        <v>19</v>
      </c>
      <c r="D792" t="s">
        <v>24</v>
      </c>
      <c r="E792">
        <v>608489</v>
      </c>
      <c r="F792">
        <v>398064</v>
      </c>
      <c r="G792">
        <v>847842</v>
      </c>
      <c r="H792">
        <v>10238</v>
      </c>
      <c r="I792">
        <v>1169</v>
      </c>
      <c r="J792">
        <v>218</v>
      </c>
      <c r="K792">
        <f t="shared" si="24"/>
        <v>2.9203846617629323</v>
      </c>
      <c r="L792">
        <v>90692</v>
      </c>
      <c r="M792">
        <v>185405</v>
      </c>
      <c r="N792">
        <f t="shared" si="25"/>
        <v>104.43368764609889</v>
      </c>
      <c r="O792" s="4">
        <v>46127</v>
      </c>
      <c r="P792" s="4">
        <v>46150</v>
      </c>
      <c r="Q792" t="s">
        <v>25</v>
      </c>
      <c r="R792">
        <f>Table2[[#This Row],[End_Date]]-Table2[[#This Row],[Start_Date]]</f>
        <v>23</v>
      </c>
      <c r="S792" t="str">
        <f>TEXT(Table2[[#This Row],[Start_Date]],"MMM")</f>
        <v>Apr</v>
      </c>
      <c r="T792">
        <f>YEAR(Table2[[#This Row],[Start_Date]])</f>
        <v>2026</v>
      </c>
      <c r="U792">
        <f>Table2[[#This Row],[Campaign_Cost (₹)]]/Table2[[#This Row],[Reach]]</f>
        <v>0.22783271031793884</v>
      </c>
      <c r="V792">
        <f>Table2[[#This Row],[Revenue_Generated (₹)]]/Table2[[#This Row],[Reach]]</f>
        <v>0.46576681136701636</v>
      </c>
    </row>
    <row r="793" spans="1:22" x14ac:dyDescent="0.3">
      <c r="A793" t="s">
        <v>844</v>
      </c>
      <c r="B793" t="s">
        <v>103</v>
      </c>
      <c r="C793" t="s">
        <v>19</v>
      </c>
      <c r="D793" t="s">
        <v>40</v>
      </c>
      <c r="E793">
        <v>1957289</v>
      </c>
      <c r="F793">
        <v>787711</v>
      </c>
      <c r="G793">
        <v>1831688</v>
      </c>
      <c r="H793">
        <v>109552</v>
      </c>
      <c r="I793">
        <v>4544</v>
      </c>
      <c r="J793">
        <v>7085</v>
      </c>
      <c r="K793">
        <f t="shared" si="24"/>
        <v>15.383941572480261</v>
      </c>
      <c r="L793">
        <v>396680</v>
      </c>
      <c r="M793">
        <v>960279</v>
      </c>
      <c r="N793">
        <f t="shared" si="25"/>
        <v>142.07900574770596</v>
      </c>
      <c r="O793" s="4">
        <v>46111</v>
      </c>
      <c r="P793" s="4">
        <v>46140</v>
      </c>
      <c r="Q793" t="s">
        <v>34</v>
      </c>
      <c r="R793">
        <f>Table2[[#This Row],[End_Date]]-Table2[[#This Row],[Start_Date]]</f>
        <v>29</v>
      </c>
      <c r="S793" t="str">
        <f>TEXT(Table2[[#This Row],[Start_Date]],"MMM")</f>
        <v>Mar</v>
      </c>
      <c r="T793">
        <f>YEAR(Table2[[#This Row],[Start_Date]])</f>
        <v>2026</v>
      </c>
      <c r="U793">
        <f>Table2[[#This Row],[Campaign_Cost (₹)]]/Table2[[#This Row],[Reach]]</f>
        <v>0.50358570592514262</v>
      </c>
      <c r="V793">
        <f>Table2[[#This Row],[Revenue_Generated (₹)]]/Table2[[#This Row],[Reach]]</f>
        <v>1.2190752699911516</v>
      </c>
    </row>
    <row r="794" spans="1:22" x14ac:dyDescent="0.3">
      <c r="A794" t="s">
        <v>845</v>
      </c>
      <c r="B794" t="s">
        <v>36</v>
      </c>
      <c r="C794" t="s">
        <v>33</v>
      </c>
      <c r="D794" t="s">
        <v>46</v>
      </c>
      <c r="E794">
        <v>296754</v>
      </c>
      <c r="F794">
        <v>176809</v>
      </c>
      <c r="G794">
        <v>249579</v>
      </c>
      <c r="H794">
        <v>12869</v>
      </c>
      <c r="I794">
        <v>947</v>
      </c>
      <c r="J794">
        <v>1212</v>
      </c>
      <c r="K794">
        <f t="shared" si="24"/>
        <v>8.4995673297173795</v>
      </c>
      <c r="L794">
        <v>306467</v>
      </c>
      <c r="M794">
        <v>1351665</v>
      </c>
      <c r="N794">
        <f t="shared" si="25"/>
        <v>341.04748635252736</v>
      </c>
      <c r="O794" s="4">
        <v>46080</v>
      </c>
      <c r="P794" s="4">
        <v>46104</v>
      </c>
      <c r="Q794" t="s">
        <v>78</v>
      </c>
      <c r="R794">
        <f>Table2[[#This Row],[End_Date]]-Table2[[#This Row],[Start_Date]]</f>
        <v>24</v>
      </c>
      <c r="S794" t="str">
        <f>TEXT(Table2[[#This Row],[Start_Date]],"MMM")</f>
        <v>Feb</v>
      </c>
      <c r="T794">
        <f>YEAR(Table2[[#This Row],[Start_Date]])</f>
        <v>2026</v>
      </c>
      <c r="U794">
        <f>Table2[[#This Row],[Campaign_Cost (₹)]]/Table2[[#This Row],[Reach]]</f>
        <v>1.7333223987466702</v>
      </c>
      <c r="V794">
        <f>Table2[[#This Row],[Revenue_Generated (₹)]]/Table2[[#This Row],[Reach]]</f>
        <v>7.6447748700575193</v>
      </c>
    </row>
    <row r="795" spans="1:22" x14ac:dyDescent="0.3">
      <c r="A795" t="s">
        <v>846</v>
      </c>
      <c r="B795" t="s">
        <v>45</v>
      </c>
      <c r="C795" t="s">
        <v>19</v>
      </c>
      <c r="D795" t="s">
        <v>40</v>
      </c>
      <c r="E795">
        <v>636519</v>
      </c>
      <c r="F795">
        <v>252934</v>
      </c>
      <c r="G795">
        <v>585149</v>
      </c>
      <c r="H795">
        <v>20883</v>
      </c>
      <c r="I795">
        <v>2510</v>
      </c>
      <c r="J795">
        <v>1355</v>
      </c>
      <c r="K795">
        <f t="shared" si="24"/>
        <v>9.7843706263293981</v>
      </c>
      <c r="L795">
        <v>307140</v>
      </c>
      <c r="M795">
        <v>730374</v>
      </c>
      <c r="N795">
        <f t="shared" si="25"/>
        <v>137.79839812463374</v>
      </c>
      <c r="O795" s="4">
        <v>45830</v>
      </c>
      <c r="P795" s="4">
        <v>45853</v>
      </c>
      <c r="Q795" t="s">
        <v>47</v>
      </c>
      <c r="R795">
        <f>Table2[[#This Row],[End_Date]]-Table2[[#This Row],[Start_Date]]</f>
        <v>23</v>
      </c>
      <c r="S795" t="str">
        <f>TEXT(Table2[[#This Row],[Start_Date]],"MMM")</f>
        <v>Jun</v>
      </c>
      <c r="T795">
        <f>YEAR(Table2[[#This Row],[Start_Date]])</f>
        <v>2025</v>
      </c>
      <c r="U795">
        <f>Table2[[#This Row],[Campaign_Cost (₹)]]/Table2[[#This Row],[Reach]]</f>
        <v>1.2143088710889007</v>
      </c>
      <c r="V795">
        <f>Table2[[#This Row],[Revenue_Generated (₹)]]/Table2[[#This Row],[Reach]]</f>
        <v>2.8876070437347292</v>
      </c>
    </row>
    <row r="796" spans="1:22" x14ac:dyDescent="0.3">
      <c r="A796" t="s">
        <v>847</v>
      </c>
      <c r="B796" t="s">
        <v>57</v>
      </c>
      <c r="C796" t="s">
        <v>28</v>
      </c>
      <c r="D796" t="s">
        <v>40</v>
      </c>
      <c r="E796">
        <v>863026</v>
      </c>
      <c r="F796">
        <v>338536</v>
      </c>
      <c r="G796">
        <v>588757</v>
      </c>
      <c r="H796">
        <v>43672</v>
      </c>
      <c r="I796">
        <v>6237</v>
      </c>
      <c r="J796">
        <v>1767</v>
      </c>
      <c r="K796">
        <f t="shared" si="24"/>
        <v>15.264550889713355</v>
      </c>
      <c r="L796">
        <v>175009</v>
      </c>
      <c r="M796">
        <v>527424</v>
      </c>
      <c r="N796">
        <f t="shared" si="25"/>
        <v>201.3696438468879</v>
      </c>
      <c r="O796" s="4">
        <v>45834</v>
      </c>
      <c r="P796" s="4">
        <v>45853</v>
      </c>
      <c r="Q796" t="s">
        <v>25</v>
      </c>
      <c r="R796">
        <f>Table2[[#This Row],[End_Date]]-Table2[[#This Row],[Start_Date]]</f>
        <v>19</v>
      </c>
      <c r="S796" t="str">
        <f>TEXT(Table2[[#This Row],[Start_Date]],"MMM")</f>
        <v>Jun</v>
      </c>
      <c r="T796">
        <f>YEAR(Table2[[#This Row],[Start_Date]])</f>
        <v>2025</v>
      </c>
      <c r="U796">
        <f>Table2[[#This Row],[Campaign_Cost (₹)]]/Table2[[#This Row],[Reach]]</f>
        <v>0.51695831462532793</v>
      </c>
      <c r="V796">
        <f>Table2[[#This Row],[Revenue_Generated (₹)]]/Table2[[#This Row],[Reach]]</f>
        <v>1.5579554316232247</v>
      </c>
    </row>
    <row r="797" spans="1:22" x14ac:dyDescent="0.3">
      <c r="A797" t="s">
        <v>848</v>
      </c>
      <c r="B797" t="s">
        <v>32</v>
      </c>
      <c r="C797" t="s">
        <v>43</v>
      </c>
      <c r="D797" t="s">
        <v>51</v>
      </c>
      <c r="E797">
        <v>1685504</v>
      </c>
      <c r="F797">
        <v>949882</v>
      </c>
      <c r="G797">
        <v>1657886</v>
      </c>
      <c r="H797">
        <v>131243</v>
      </c>
      <c r="I797">
        <v>6465</v>
      </c>
      <c r="J797">
        <v>3628</v>
      </c>
      <c r="K797">
        <f t="shared" si="24"/>
        <v>14.879321852609062</v>
      </c>
      <c r="L797">
        <v>465738</v>
      </c>
      <c r="M797">
        <v>1159541</v>
      </c>
      <c r="N797">
        <f t="shared" si="25"/>
        <v>148.96851878094552</v>
      </c>
      <c r="O797" s="4">
        <v>46108</v>
      </c>
      <c r="P797" s="4">
        <v>46125</v>
      </c>
      <c r="Q797" t="s">
        <v>21</v>
      </c>
      <c r="R797">
        <f>Table2[[#This Row],[End_Date]]-Table2[[#This Row],[Start_Date]]</f>
        <v>17</v>
      </c>
      <c r="S797" t="str">
        <f>TEXT(Table2[[#This Row],[Start_Date]],"MMM")</f>
        <v>Mar</v>
      </c>
      <c r="T797">
        <f>YEAR(Table2[[#This Row],[Start_Date]])</f>
        <v>2026</v>
      </c>
      <c r="U797">
        <f>Table2[[#This Row],[Campaign_Cost (₹)]]/Table2[[#This Row],[Reach]]</f>
        <v>0.49031142815633943</v>
      </c>
      <c r="V797">
        <f>Table2[[#This Row],[Revenue_Generated (₹)]]/Table2[[#This Row],[Reach]]</f>
        <v>1.2207211000945382</v>
      </c>
    </row>
    <row r="798" spans="1:22" x14ac:dyDescent="0.3">
      <c r="A798" t="s">
        <v>849</v>
      </c>
      <c r="B798" t="s">
        <v>49</v>
      </c>
      <c r="C798" t="s">
        <v>33</v>
      </c>
      <c r="D798" t="s">
        <v>58</v>
      </c>
      <c r="E798">
        <v>373618</v>
      </c>
      <c r="F798">
        <v>238683</v>
      </c>
      <c r="G798">
        <v>525574</v>
      </c>
      <c r="H798">
        <v>33516</v>
      </c>
      <c r="I798">
        <v>2819</v>
      </c>
      <c r="J798">
        <v>3301</v>
      </c>
      <c r="K798">
        <f t="shared" si="24"/>
        <v>16.606126117067408</v>
      </c>
      <c r="L798">
        <v>457004</v>
      </c>
      <c r="M798">
        <v>891029</v>
      </c>
      <c r="N798">
        <f t="shared" si="25"/>
        <v>94.971816439243412</v>
      </c>
      <c r="O798" s="4">
        <v>45721</v>
      </c>
      <c r="P798" s="4">
        <v>45751</v>
      </c>
      <c r="Q798" t="s">
        <v>34</v>
      </c>
      <c r="R798">
        <f>Table2[[#This Row],[End_Date]]-Table2[[#This Row],[Start_Date]]</f>
        <v>30</v>
      </c>
      <c r="S798" t="str">
        <f>TEXT(Table2[[#This Row],[Start_Date]],"MMM")</f>
        <v>Mar</v>
      </c>
      <c r="T798">
        <f>YEAR(Table2[[#This Row],[Start_Date]])</f>
        <v>2025</v>
      </c>
      <c r="U798">
        <f>Table2[[#This Row],[Campaign_Cost (₹)]]/Table2[[#This Row],[Reach]]</f>
        <v>1.914690195782691</v>
      </c>
      <c r="V798">
        <f>Table2[[#This Row],[Revenue_Generated (₹)]]/Table2[[#This Row],[Reach]]</f>
        <v>3.7331062539016187</v>
      </c>
    </row>
    <row r="799" spans="1:22" x14ac:dyDescent="0.3">
      <c r="A799" t="s">
        <v>850</v>
      </c>
      <c r="B799" t="s">
        <v>61</v>
      </c>
      <c r="C799" t="s">
        <v>37</v>
      </c>
      <c r="D799" t="s">
        <v>58</v>
      </c>
      <c r="E799">
        <v>836013</v>
      </c>
      <c r="F799">
        <v>341299</v>
      </c>
      <c r="G799">
        <v>732179</v>
      </c>
      <c r="H799">
        <v>49124</v>
      </c>
      <c r="I799">
        <v>6610</v>
      </c>
      <c r="J799">
        <v>4299</v>
      </c>
      <c r="K799">
        <f t="shared" si="24"/>
        <v>17.589562231357256</v>
      </c>
      <c r="L799">
        <v>38580</v>
      </c>
      <c r="M799">
        <v>117266</v>
      </c>
      <c r="N799">
        <f t="shared" si="25"/>
        <v>203.9554173146708</v>
      </c>
      <c r="O799" s="4">
        <v>45938</v>
      </c>
      <c r="P799" s="4">
        <v>45957</v>
      </c>
      <c r="Q799" t="s">
        <v>25</v>
      </c>
      <c r="R799">
        <f>Table2[[#This Row],[End_Date]]-Table2[[#This Row],[Start_Date]]</f>
        <v>19</v>
      </c>
      <c r="S799" t="str">
        <f>TEXT(Table2[[#This Row],[Start_Date]],"MMM")</f>
        <v>Oct</v>
      </c>
      <c r="T799">
        <f>YEAR(Table2[[#This Row],[Start_Date]])</f>
        <v>2025</v>
      </c>
      <c r="U799">
        <f>Table2[[#This Row],[Campaign_Cost (₹)]]/Table2[[#This Row],[Reach]]</f>
        <v>0.1130387138550069</v>
      </c>
      <c r="V799">
        <f>Table2[[#This Row],[Revenue_Generated (₹)]]/Table2[[#This Row],[Reach]]</f>
        <v>0.34358729442512281</v>
      </c>
    </row>
    <row r="800" spans="1:22" x14ac:dyDescent="0.3">
      <c r="A800" t="s">
        <v>851</v>
      </c>
      <c r="B800" t="s">
        <v>45</v>
      </c>
      <c r="C800" t="s">
        <v>33</v>
      </c>
      <c r="D800" t="s">
        <v>51</v>
      </c>
      <c r="E800">
        <v>1231497</v>
      </c>
      <c r="F800">
        <v>442611</v>
      </c>
      <c r="G800">
        <v>1167204</v>
      </c>
      <c r="H800">
        <v>41753</v>
      </c>
      <c r="I800">
        <v>5538</v>
      </c>
      <c r="J800">
        <v>939</v>
      </c>
      <c r="K800">
        <f t="shared" si="24"/>
        <v>10.896701618351102</v>
      </c>
      <c r="L800">
        <v>316892</v>
      </c>
      <c r="M800">
        <v>1351236</v>
      </c>
      <c r="N800">
        <f t="shared" si="25"/>
        <v>326.4026860886359</v>
      </c>
      <c r="O800" s="4">
        <v>45839</v>
      </c>
      <c r="P800" s="4">
        <v>45855</v>
      </c>
      <c r="Q800" t="s">
        <v>21</v>
      </c>
      <c r="R800">
        <f>Table2[[#This Row],[End_Date]]-Table2[[#This Row],[Start_Date]]</f>
        <v>16</v>
      </c>
      <c r="S800" t="str">
        <f>TEXT(Table2[[#This Row],[Start_Date]],"MMM")</f>
        <v>Jul</v>
      </c>
      <c r="T800">
        <f>YEAR(Table2[[#This Row],[Start_Date]])</f>
        <v>2025</v>
      </c>
      <c r="U800">
        <f>Table2[[#This Row],[Campaign_Cost (₹)]]/Table2[[#This Row],[Reach]]</f>
        <v>0.71596051611912037</v>
      </c>
      <c r="V800">
        <f>Table2[[#This Row],[Revenue_Generated (₹)]]/Table2[[#This Row],[Reach]]</f>
        <v>3.0528748720659902</v>
      </c>
    </row>
    <row r="801" spans="1:22" x14ac:dyDescent="0.3">
      <c r="A801" t="s">
        <v>852</v>
      </c>
      <c r="B801" t="s">
        <v>80</v>
      </c>
      <c r="C801" t="s">
        <v>19</v>
      </c>
      <c r="D801" t="s">
        <v>51</v>
      </c>
      <c r="E801">
        <v>1747406</v>
      </c>
      <c r="F801">
        <v>941695</v>
      </c>
      <c r="G801">
        <v>1395940</v>
      </c>
      <c r="H801">
        <v>100479</v>
      </c>
      <c r="I801">
        <v>11759</v>
      </c>
      <c r="J801">
        <v>2413</v>
      </c>
      <c r="K801">
        <f t="shared" si="24"/>
        <v>12.174961107364911</v>
      </c>
      <c r="L801">
        <v>397623</v>
      </c>
      <c r="M801">
        <v>1961389</v>
      </c>
      <c r="N801">
        <f t="shared" si="25"/>
        <v>393.27855782990417</v>
      </c>
      <c r="O801" s="4">
        <v>45985</v>
      </c>
      <c r="P801" s="4">
        <v>46011</v>
      </c>
      <c r="Q801" t="s">
        <v>78</v>
      </c>
      <c r="R801">
        <f>Table2[[#This Row],[End_Date]]-Table2[[#This Row],[Start_Date]]</f>
        <v>26</v>
      </c>
      <c r="S801" t="str">
        <f>TEXT(Table2[[#This Row],[Start_Date]],"MMM")</f>
        <v>Nov</v>
      </c>
      <c r="T801">
        <f>YEAR(Table2[[#This Row],[Start_Date]])</f>
        <v>2025</v>
      </c>
      <c r="U801">
        <f>Table2[[#This Row],[Campaign_Cost (₹)]]/Table2[[#This Row],[Reach]]</f>
        <v>0.42224180865354494</v>
      </c>
      <c r="V801">
        <f>Table2[[#This Row],[Revenue_Generated (₹)]]/Table2[[#This Row],[Reach]]</f>
        <v>2.0828283042811102</v>
      </c>
    </row>
    <row r="802" spans="1:22" x14ac:dyDescent="0.3">
      <c r="A802" t="s">
        <v>853</v>
      </c>
      <c r="B802" t="s">
        <v>80</v>
      </c>
      <c r="C802" t="s">
        <v>19</v>
      </c>
      <c r="D802" t="s">
        <v>40</v>
      </c>
      <c r="E802">
        <v>530498</v>
      </c>
      <c r="F802">
        <v>145696</v>
      </c>
      <c r="G802">
        <v>391394</v>
      </c>
      <c r="H802">
        <v>4873</v>
      </c>
      <c r="I802">
        <v>551</v>
      </c>
      <c r="J802">
        <v>380</v>
      </c>
      <c r="K802">
        <f t="shared" si="24"/>
        <v>3.9836371623105644</v>
      </c>
      <c r="L802">
        <v>392657</v>
      </c>
      <c r="M802">
        <v>929431</v>
      </c>
      <c r="N802">
        <f t="shared" si="25"/>
        <v>136.70302579605101</v>
      </c>
      <c r="O802" s="4">
        <v>45983</v>
      </c>
      <c r="P802" s="4">
        <v>46011</v>
      </c>
      <c r="Q802" t="s">
        <v>54</v>
      </c>
      <c r="R802">
        <f>Table2[[#This Row],[End_Date]]-Table2[[#This Row],[Start_Date]]</f>
        <v>28</v>
      </c>
      <c r="S802" t="str">
        <f>TEXT(Table2[[#This Row],[Start_Date]],"MMM")</f>
        <v>Nov</v>
      </c>
      <c r="T802">
        <f>YEAR(Table2[[#This Row],[Start_Date]])</f>
        <v>2025</v>
      </c>
      <c r="U802">
        <f>Table2[[#This Row],[Campaign_Cost (₹)]]/Table2[[#This Row],[Reach]]</f>
        <v>2.6950431034482758</v>
      </c>
      <c r="V802">
        <f>Table2[[#This Row],[Revenue_Generated (₹)]]/Table2[[#This Row],[Reach]]</f>
        <v>6.3792485723698658</v>
      </c>
    </row>
    <row r="803" spans="1:22" x14ac:dyDescent="0.3">
      <c r="A803" t="s">
        <v>854</v>
      </c>
      <c r="B803" t="s">
        <v>80</v>
      </c>
      <c r="C803" t="s">
        <v>19</v>
      </c>
      <c r="D803" t="s">
        <v>51</v>
      </c>
      <c r="E803">
        <v>1777472</v>
      </c>
      <c r="F803">
        <v>686020</v>
      </c>
      <c r="G803">
        <v>1936581</v>
      </c>
      <c r="H803">
        <v>72963</v>
      </c>
      <c r="I803">
        <v>9613</v>
      </c>
      <c r="J803">
        <v>1870</v>
      </c>
      <c r="K803">
        <f t="shared" si="24"/>
        <v>12.309553657327776</v>
      </c>
      <c r="L803">
        <v>133750</v>
      </c>
      <c r="M803">
        <v>406402</v>
      </c>
      <c r="N803">
        <f t="shared" si="25"/>
        <v>203.85196261682245</v>
      </c>
      <c r="O803" s="4">
        <v>45789</v>
      </c>
      <c r="P803" s="4">
        <v>45807</v>
      </c>
      <c r="Q803" t="s">
        <v>34</v>
      </c>
      <c r="R803">
        <f>Table2[[#This Row],[End_Date]]-Table2[[#This Row],[Start_Date]]</f>
        <v>18</v>
      </c>
      <c r="S803" t="str">
        <f>TEXT(Table2[[#This Row],[Start_Date]],"MMM")</f>
        <v>May</v>
      </c>
      <c r="T803">
        <f>YEAR(Table2[[#This Row],[Start_Date]])</f>
        <v>2025</v>
      </c>
      <c r="U803">
        <f>Table2[[#This Row],[Campaign_Cost (₹)]]/Table2[[#This Row],[Reach]]</f>
        <v>0.19496516136555786</v>
      </c>
      <c r="V803">
        <f>Table2[[#This Row],[Revenue_Generated (₹)]]/Table2[[#This Row],[Reach]]</f>
        <v>0.59240546922830239</v>
      </c>
    </row>
    <row r="804" spans="1:22" x14ac:dyDescent="0.3">
      <c r="A804" t="s">
        <v>855</v>
      </c>
      <c r="B804" t="s">
        <v>27</v>
      </c>
      <c r="C804" t="s">
        <v>43</v>
      </c>
      <c r="D804" t="s">
        <v>51</v>
      </c>
      <c r="E804">
        <v>803450</v>
      </c>
      <c r="F804">
        <v>672957</v>
      </c>
      <c r="G804">
        <v>1168808</v>
      </c>
      <c r="H804">
        <v>90689</v>
      </c>
      <c r="I804">
        <v>3042</v>
      </c>
      <c r="J804">
        <v>6056</v>
      </c>
      <c r="K804">
        <f t="shared" si="24"/>
        <v>14.828139093582502</v>
      </c>
      <c r="L804">
        <v>304324</v>
      </c>
      <c r="M804">
        <v>544616</v>
      </c>
      <c r="N804">
        <f t="shared" si="25"/>
        <v>78.959267096909869</v>
      </c>
      <c r="O804" s="4">
        <v>45769</v>
      </c>
      <c r="P804" s="4">
        <v>45776</v>
      </c>
      <c r="Q804" t="s">
        <v>25</v>
      </c>
      <c r="R804">
        <f>Table2[[#This Row],[End_Date]]-Table2[[#This Row],[Start_Date]]</f>
        <v>7</v>
      </c>
      <c r="S804" t="str">
        <f>TEXT(Table2[[#This Row],[Start_Date]],"MMM")</f>
        <v>Apr</v>
      </c>
      <c r="T804">
        <f>YEAR(Table2[[#This Row],[Start_Date]])</f>
        <v>2025</v>
      </c>
      <c r="U804">
        <f>Table2[[#This Row],[Campaign_Cost (₹)]]/Table2[[#This Row],[Reach]]</f>
        <v>0.45221908680643785</v>
      </c>
      <c r="V804">
        <f>Table2[[#This Row],[Revenue_Generated (₹)]]/Table2[[#This Row],[Reach]]</f>
        <v>0.80928796342113984</v>
      </c>
    </row>
    <row r="805" spans="1:22" x14ac:dyDescent="0.3">
      <c r="A805" t="s">
        <v>856</v>
      </c>
      <c r="B805" t="s">
        <v>57</v>
      </c>
      <c r="C805" t="s">
        <v>37</v>
      </c>
      <c r="D805" t="s">
        <v>58</v>
      </c>
      <c r="E805">
        <v>631053</v>
      </c>
      <c r="F805">
        <v>385060</v>
      </c>
      <c r="G805">
        <v>800722</v>
      </c>
      <c r="H805">
        <v>18105</v>
      </c>
      <c r="I805">
        <v>2279</v>
      </c>
      <c r="J805">
        <v>561</v>
      </c>
      <c r="K805">
        <f t="shared" si="24"/>
        <v>5.4394120396821277</v>
      </c>
      <c r="L805">
        <v>418273</v>
      </c>
      <c r="M805">
        <v>1125102</v>
      </c>
      <c r="N805">
        <f t="shared" si="25"/>
        <v>168.98747946915054</v>
      </c>
      <c r="O805" s="4">
        <v>45821</v>
      </c>
      <c r="P805" s="4">
        <v>45841</v>
      </c>
      <c r="Q805" t="s">
        <v>21</v>
      </c>
      <c r="R805">
        <f>Table2[[#This Row],[End_Date]]-Table2[[#This Row],[Start_Date]]</f>
        <v>20</v>
      </c>
      <c r="S805" t="str">
        <f>TEXT(Table2[[#This Row],[Start_Date]],"MMM")</f>
        <v>Jun</v>
      </c>
      <c r="T805">
        <f>YEAR(Table2[[#This Row],[Start_Date]])</f>
        <v>2025</v>
      </c>
      <c r="U805">
        <f>Table2[[#This Row],[Campaign_Cost (₹)]]/Table2[[#This Row],[Reach]]</f>
        <v>1.086254090271646</v>
      </c>
      <c r="V805">
        <f>Table2[[#This Row],[Revenue_Generated (₹)]]/Table2[[#This Row],[Reach]]</f>
        <v>2.9218874980522518</v>
      </c>
    </row>
    <row r="806" spans="1:22" x14ac:dyDescent="0.3">
      <c r="A806" t="s">
        <v>857</v>
      </c>
      <c r="B806" t="s">
        <v>63</v>
      </c>
      <c r="C806" t="s">
        <v>19</v>
      </c>
      <c r="D806" t="s">
        <v>29</v>
      </c>
      <c r="E806">
        <v>1495455</v>
      </c>
      <c r="F806">
        <v>1229952</v>
      </c>
      <c r="G806">
        <v>1839667</v>
      </c>
      <c r="H806">
        <v>85076</v>
      </c>
      <c r="I806">
        <v>7700</v>
      </c>
      <c r="J806">
        <v>4113</v>
      </c>
      <c r="K806">
        <f t="shared" si="24"/>
        <v>7.877461884691435</v>
      </c>
      <c r="L806">
        <v>143332</v>
      </c>
      <c r="M806">
        <v>563854</v>
      </c>
      <c r="N806">
        <f t="shared" si="25"/>
        <v>293.39017107135879</v>
      </c>
      <c r="O806" s="4">
        <v>45671</v>
      </c>
      <c r="P806" s="4">
        <v>45690</v>
      </c>
      <c r="Q806" t="s">
        <v>54</v>
      </c>
      <c r="R806">
        <f>Table2[[#This Row],[End_Date]]-Table2[[#This Row],[Start_Date]]</f>
        <v>19</v>
      </c>
      <c r="S806" t="str">
        <f>TEXT(Table2[[#This Row],[Start_Date]],"MMM")</f>
        <v>Jan</v>
      </c>
      <c r="T806">
        <f>YEAR(Table2[[#This Row],[Start_Date]])</f>
        <v>2025</v>
      </c>
      <c r="U806">
        <f>Table2[[#This Row],[Campaign_Cost (₹)]]/Table2[[#This Row],[Reach]]</f>
        <v>0.11653462899365179</v>
      </c>
      <c r="V806">
        <f>Table2[[#This Row],[Revenue_Generated (₹)]]/Table2[[#This Row],[Reach]]</f>
        <v>0.45843577635550004</v>
      </c>
    </row>
    <row r="807" spans="1:22" x14ac:dyDescent="0.3">
      <c r="A807" t="s">
        <v>858</v>
      </c>
      <c r="B807" t="s">
        <v>63</v>
      </c>
      <c r="C807" t="s">
        <v>37</v>
      </c>
      <c r="D807" t="s">
        <v>29</v>
      </c>
      <c r="E807">
        <v>1919592</v>
      </c>
      <c r="F807">
        <v>866093</v>
      </c>
      <c r="G807">
        <v>1456574</v>
      </c>
      <c r="H807">
        <v>36416</v>
      </c>
      <c r="I807">
        <v>2355</v>
      </c>
      <c r="J807">
        <v>1958</v>
      </c>
      <c r="K807">
        <f t="shared" si="24"/>
        <v>4.7026127679129148</v>
      </c>
      <c r="L807">
        <v>39158</v>
      </c>
      <c r="M807">
        <v>80349</v>
      </c>
      <c r="N807">
        <f t="shared" si="25"/>
        <v>105.19178711885182</v>
      </c>
      <c r="O807" s="4">
        <v>46036</v>
      </c>
      <c r="P807" s="4">
        <v>46045</v>
      </c>
      <c r="Q807" t="s">
        <v>54</v>
      </c>
      <c r="R807">
        <f>Table2[[#This Row],[End_Date]]-Table2[[#This Row],[Start_Date]]</f>
        <v>9</v>
      </c>
      <c r="S807" t="str">
        <f>TEXT(Table2[[#This Row],[Start_Date]],"MMM")</f>
        <v>Jan</v>
      </c>
      <c r="T807">
        <f>YEAR(Table2[[#This Row],[Start_Date]])</f>
        <v>2026</v>
      </c>
      <c r="U807">
        <f>Table2[[#This Row],[Campaign_Cost (₹)]]/Table2[[#This Row],[Reach]]</f>
        <v>4.5212234713824039E-2</v>
      </c>
      <c r="V807">
        <f>Table2[[#This Row],[Revenue_Generated (₹)]]/Table2[[#This Row],[Reach]]</f>
        <v>9.2771792405665437E-2</v>
      </c>
    </row>
    <row r="808" spans="1:22" x14ac:dyDescent="0.3">
      <c r="A808" t="s">
        <v>859</v>
      </c>
      <c r="B808" t="s">
        <v>27</v>
      </c>
      <c r="C808" t="s">
        <v>19</v>
      </c>
      <c r="D808" t="s">
        <v>58</v>
      </c>
      <c r="E808">
        <v>738261</v>
      </c>
      <c r="F808">
        <v>217335</v>
      </c>
      <c r="G808">
        <v>297953</v>
      </c>
      <c r="H808">
        <v>26253</v>
      </c>
      <c r="I808">
        <v>3017</v>
      </c>
      <c r="J808">
        <v>538</v>
      </c>
      <c r="K808">
        <f t="shared" si="24"/>
        <v>13.715232245151492</v>
      </c>
      <c r="L808">
        <v>83863</v>
      </c>
      <c r="M808">
        <v>391800</v>
      </c>
      <c r="N808">
        <f t="shared" si="25"/>
        <v>367.19053694716382</v>
      </c>
      <c r="O808" s="4">
        <v>45932</v>
      </c>
      <c r="P808" s="4">
        <v>45957</v>
      </c>
      <c r="Q808" t="s">
        <v>30</v>
      </c>
      <c r="R808">
        <f>Table2[[#This Row],[End_Date]]-Table2[[#This Row],[Start_Date]]</f>
        <v>25</v>
      </c>
      <c r="S808" t="str">
        <f>TEXT(Table2[[#This Row],[Start_Date]],"MMM")</f>
        <v>Oct</v>
      </c>
      <c r="T808">
        <f>YEAR(Table2[[#This Row],[Start_Date]])</f>
        <v>2025</v>
      </c>
      <c r="U808">
        <f>Table2[[#This Row],[Campaign_Cost (₹)]]/Table2[[#This Row],[Reach]]</f>
        <v>0.38586974026272802</v>
      </c>
      <c r="V808">
        <f>Table2[[#This Row],[Revenue_Generated (₹)]]/Table2[[#This Row],[Reach]]</f>
        <v>1.8027469114500656</v>
      </c>
    </row>
    <row r="809" spans="1:22" x14ac:dyDescent="0.3">
      <c r="A809" t="s">
        <v>860</v>
      </c>
      <c r="B809" t="s">
        <v>75</v>
      </c>
      <c r="C809" t="s">
        <v>33</v>
      </c>
      <c r="D809" t="s">
        <v>29</v>
      </c>
      <c r="E809">
        <v>1964669</v>
      </c>
      <c r="F809">
        <v>915139</v>
      </c>
      <c r="G809">
        <v>2181133</v>
      </c>
      <c r="H809">
        <v>44099</v>
      </c>
      <c r="I809">
        <v>3565</v>
      </c>
      <c r="J809">
        <v>2967</v>
      </c>
      <c r="K809">
        <f t="shared" si="24"/>
        <v>5.5326021511486232</v>
      </c>
      <c r="L809">
        <v>33945</v>
      </c>
      <c r="M809">
        <v>54532</v>
      </c>
      <c r="N809">
        <f t="shared" si="25"/>
        <v>60.648107232287529</v>
      </c>
      <c r="O809" s="4">
        <v>46030</v>
      </c>
      <c r="P809" s="4">
        <v>46059</v>
      </c>
      <c r="Q809" t="s">
        <v>54</v>
      </c>
      <c r="R809">
        <f>Table2[[#This Row],[End_Date]]-Table2[[#This Row],[Start_Date]]</f>
        <v>29</v>
      </c>
      <c r="S809" t="str">
        <f>TEXT(Table2[[#This Row],[Start_Date]],"MMM")</f>
        <v>Jan</v>
      </c>
      <c r="T809">
        <f>YEAR(Table2[[#This Row],[Start_Date]])</f>
        <v>2026</v>
      </c>
      <c r="U809">
        <f>Table2[[#This Row],[Campaign_Cost (₹)]]/Table2[[#This Row],[Reach]]</f>
        <v>3.7092725804495276E-2</v>
      </c>
      <c r="V809">
        <f>Table2[[#This Row],[Revenue_Generated (₹)]]/Table2[[#This Row],[Reach]]</f>
        <v>5.9588761925783953E-2</v>
      </c>
    </row>
    <row r="810" spans="1:22" x14ac:dyDescent="0.3">
      <c r="A810" t="s">
        <v>861</v>
      </c>
      <c r="B810" t="s">
        <v>39</v>
      </c>
      <c r="C810" t="s">
        <v>37</v>
      </c>
      <c r="D810" t="s">
        <v>40</v>
      </c>
      <c r="E810">
        <v>1852957</v>
      </c>
      <c r="F810">
        <v>624350</v>
      </c>
      <c r="G810">
        <v>917515</v>
      </c>
      <c r="H810">
        <v>35631</v>
      </c>
      <c r="I810">
        <v>2830</v>
      </c>
      <c r="J810">
        <v>2000</v>
      </c>
      <c r="K810">
        <f t="shared" si="24"/>
        <v>6.4804997197084964</v>
      </c>
      <c r="L810">
        <v>484520</v>
      </c>
      <c r="M810">
        <v>1501519</v>
      </c>
      <c r="N810">
        <f t="shared" si="25"/>
        <v>209.89824981424917</v>
      </c>
      <c r="O810" s="4">
        <v>46009</v>
      </c>
      <c r="P810" s="4">
        <v>46017</v>
      </c>
      <c r="Q810" t="s">
        <v>34</v>
      </c>
      <c r="R810">
        <f>Table2[[#This Row],[End_Date]]-Table2[[#This Row],[Start_Date]]</f>
        <v>8</v>
      </c>
      <c r="S810" t="str">
        <f>TEXT(Table2[[#This Row],[Start_Date]],"MMM")</f>
        <v>Dec</v>
      </c>
      <c r="T810">
        <f>YEAR(Table2[[#This Row],[Start_Date]])</f>
        <v>2025</v>
      </c>
      <c r="U810">
        <f>Table2[[#This Row],[Campaign_Cost (₹)]]/Table2[[#This Row],[Reach]]</f>
        <v>0.77603908064386962</v>
      </c>
      <c r="V810">
        <f>Table2[[#This Row],[Revenue_Generated (₹)]]/Table2[[#This Row],[Reach]]</f>
        <v>2.4049315287899415</v>
      </c>
    </row>
    <row r="811" spans="1:22" x14ac:dyDescent="0.3">
      <c r="A811" t="s">
        <v>862</v>
      </c>
      <c r="B811" t="s">
        <v>75</v>
      </c>
      <c r="C811" t="s">
        <v>19</v>
      </c>
      <c r="D811" t="s">
        <v>40</v>
      </c>
      <c r="E811">
        <v>133909</v>
      </c>
      <c r="F811">
        <v>101034</v>
      </c>
      <c r="G811">
        <v>134428</v>
      </c>
      <c r="H811">
        <v>13668</v>
      </c>
      <c r="I811">
        <v>490</v>
      </c>
      <c r="J811">
        <v>659</v>
      </c>
      <c r="K811">
        <f t="shared" si="24"/>
        <v>14.665360175782411</v>
      </c>
      <c r="L811">
        <v>386726</v>
      </c>
      <c r="M811">
        <v>1162652</v>
      </c>
      <c r="N811">
        <f t="shared" si="25"/>
        <v>200.63972942083024</v>
      </c>
      <c r="O811" s="4">
        <v>45746</v>
      </c>
      <c r="P811" s="4">
        <v>45760</v>
      </c>
      <c r="Q811" t="s">
        <v>78</v>
      </c>
      <c r="R811">
        <f>Table2[[#This Row],[End_Date]]-Table2[[#This Row],[Start_Date]]</f>
        <v>14</v>
      </c>
      <c r="S811" t="str">
        <f>TEXT(Table2[[#This Row],[Start_Date]],"MMM")</f>
        <v>Mar</v>
      </c>
      <c r="T811">
        <f>YEAR(Table2[[#This Row],[Start_Date]])</f>
        <v>2025</v>
      </c>
      <c r="U811">
        <f>Table2[[#This Row],[Campaign_Cost (₹)]]/Table2[[#This Row],[Reach]]</f>
        <v>3.8276817704931014</v>
      </c>
      <c r="V811">
        <f>Table2[[#This Row],[Revenue_Generated (₹)]]/Table2[[#This Row],[Reach]]</f>
        <v>11.507532117900904</v>
      </c>
    </row>
    <row r="812" spans="1:22" x14ac:dyDescent="0.3">
      <c r="A812" t="s">
        <v>863</v>
      </c>
      <c r="B812" t="s">
        <v>39</v>
      </c>
      <c r="C812" t="s">
        <v>33</v>
      </c>
      <c r="D812" t="s">
        <v>29</v>
      </c>
      <c r="E812">
        <v>440354</v>
      </c>
      <c r="F812">
        <v>138547</v>
      </c>
      <c r="G812">
        <v>205998</v>
      </c>
      <c r="H812">
        <v>8498</v>
      </c>
      <c r="I812">
        <v>681</v>
      </c>
      <c r="J812">
        <v>373</v>
      </c>
      <c r="K812">
        <f t="shared" si="24"/>
        <v>6.894411282813774</v>
      </c>
      <c r="L812">
        <v>360596</v>
      </c>
      <c r="M812">
        <v>1265791</v>
      </c>
      <c r="N812">
        <f t="shared" si="25"/>
        <v>251.02746564021788</v>
      </c>
      <c r="O812" s="4">
        <v>45882</v>
      </c>
      <c r="P812" s="4">
        <v>45894</v>
      </c>
      <c r="Q812" t="s">
        <v>25</v>
      </c>
      <c r="R812">
        <f>Table2[[#This Row],[End_Date]]-Table2[[#This Row],[Start_Date]]</f>
        <v>12</v>
      </c>
      <c r="S812" t="str">
        <f>TEXT(Table2[[#This Row],[Start_Date]],"MMM")</f>
        <v>Aug</v>
      </c>
      <c r="T812">
        <f>YEAR(Table2[[#This Row],[Start_Date]])</f>
        <v>2025</v>
      </c>
      <c r="U812">
        <f>Table2[[#This Row],[Campaign_Cost (₹)]]/Table2[[#This Row],[Reach]]</f>
        <v>2.6026980014002468</v>
      </c>
      <c r="V812">
        <f>Table2[[#This Row],[Revenue_Generated (₹)]]/Table2[[#This Row],[Reach]]</f>
        <v>9.1361848325838881</v>
      </c>
    </row>
    <row r="813" spans="1:22" x14ac:dyDescent="0.3">
      <c r="A813" t="s">
        <v>864</v>
      </c>
      <c r="B813" t="s">
        <v>53</v>
      </c>
      <c r="C813" t="s">
        <v>19</v>
      </c>
      <c r="D813" t="s">
        <v>29</v>
      </c>
      <c r="E813">
        <v>323487</v>
      </c>
      <c r="F813">
        <v>166619</v>
      </c>
      <c r="G813">
        <v>380915</v>
      </c>
      <c r="H813">
        <v>23037</v>
      </c>
      <c r="I813">
        <v>1034</v>
      </c>
      <c r="J813">
        <v>1068</v>
      </c>
      <c r="K813">
        <f t="shared" si="24"/>
        <v>15.087715086514745</v>
      </c>
      <c r="L813">
        <v>10428</v>
      </c>
      <c r="M813">
        <v>24025</v>
      </c>
      <c r="N813">
        <f t="shared" si="25"/>
        <v>130.38933640199463</v>
      </c>
      <c r="O813" s="4">
        <v>45968</v>
      </c>
      <c r="P813" s="4">
        <v>45985</v>
      </c>
      <c r="Q813" t="s">
        <v>25</v>
      </c>
      <c r="R813">
        <f>Table2[[#This Row],[End_Date]]-Table2[[#This Row],[Start_Date]]</f>
        <v>17</v>
      </c>
      <c r="S813" t="str">
        <f>TEXT(Table2[[#This Row],[Start_Date]],"MMM")</f>
        <v>Nov</v>
      </c>
      <c r="T813">
        <f>YEAR(Table2[[#This Row],[Start_Date]])</f>
        <v>2025</v>
      </c>
      <c r="U813">
        <f>Table2[[#This Row],[Campaign_Cost (₹)]]/Table2[[#This Row],[Reach]]</f>
        <v>6.258589956727624E-2</v>
      </c>
      <c r="V813">
        <f>Table2[[#This Row],[Revenue_Generated (₹)]]/Table2[[#This Row],[Reach]]</f>
        <v>0.14419123869426656</v>
      </c>
    </row>
    <row r="814" spans="1:22" x14ac:dyDescent="0.3">
      <c r="A814" t="s">
        <v>865</v>
      </c>
      <c r="B814" t="s">
        <v>75</v>
      </c>
      <c r="C814" t="s">
        <v>37</v>
      </c>
      <c r="D814" t="s">
        <v>29</v>
      </c>
      <c r="E814">
        <v>1833845</v>
      </c>
      <c r="F814">
        <v>1382260</v>
      </c>
      <c r="G814">
        <v>2438060</v>
      </c>
      <c r="H814">
        <v>140205</v>
      </c>
      <c r="I814">
        <v>14470</v>
      </c>
      <c r="J814">
        <v>13453</v>
      </c>
      <c r="K814">
        <f t="shared" si="24"/>
        <v>12.163268849565204</v>
      </c>
      <c r="L814">
        <v>339312</v>
      </c>
      <c r="M814">
        <v>1084938</v>
      </c>
      <c r="N814">
        <f t="shared" si="25"/>
        <v>219.74642806620457</v>
      </c>
      <c r="O814" s="4">
        <v>45791</v>
      </c>
      <c r="P814" s="4">
        <v>45814</v>
      </c>
      <c r="Q814" t="s">
        <v>54</v>
      </c>
      <c r="R814">
        <f>Table2[[#This Row],[End_Date]]-Table2[[#This Row],[Start_Date]]</f>
        <v>23</v>
      </c>
      <c r="S814" t="str">
        <f>TEXT(Table2[[#This Row],[Start_Date]],"MMM")</f>
        <v>May</v>
      </c>
      <c r="T814">
        <f>YEAR(Table2[[#This Row],[Start_Date]])</f>
        <v>2025</v>
      </c>
      <c r="U814">
        <f>Table2[[#This Row],[Campaign_Cost (₹)]]/Table2[[#This Row],[Reach]]</f>
        <v>0.24547624904142493</v>
      </c>
      <c r="V814">
        <f>Table2[[#This Row],[Revenue_Generated (₹)]]/Table2[[#This Row],[Reach]]</f>
        <v>0.78490153806085683</v>
      </c>
    </row>
    <row r="815" spans="1:22" x14ac:dyDescent="0.3">
      <c r="A815" t="s">
        <v>866</v>
      </c>
      <c r="B815" t="s">
        <v>75</v>
      </c>
      <c r="C815" t="s">
        <v>37</v>
      </c>
      <c r="D815" t="s">
        <v>24</v>
      </c>
      <c r="E815">
        <v>1300888</v>
      </c>
      <c r="F815">
        <v>679438</v>
      </c>
      <c r="G815">
        <v>1083574</v>
      </c>
      <c r="H815">
        <v>76843</v>
      </c>
      <c r="I815">
        <v>4748</v>
      </c>
      <c r="J815">
        <v>1648</v>
      </c>
      <c r="K815">
        <f t="shared" si="24"/>
        <v>12.251154630738935</v>
      </c>
      <c r="L815">
        <v>362064</v>
      </c>
      <c r="M815">
        <v>635596</v>
      </c>
      <c r="N815">
        <f t="shared" si="25"/>
        <v>75.547969419771093</v>
      </c>
      <c r="O815" s="4">
        <v>45997</v>
      </c>
      <c r="P815" s="4">
        <v>46015</v>
      </c>
      <c r="Q815" t="s">
        <v>47</v>
      </c>
      <c r="R815">
        <f>Table2[[#This Row],[End_Date]]-Table2[[#This Row],[Start_Date]]</f>
        <v>18</v>
      </c>
      <c r="S815" t="str">
        <f>TEXT(Table2[[#This Row],[Start_Date]],"MMM")</f>
        <v>Dec</v>
      </c>
      <c r="T815">
        <f>YEAR(Table2[[#This Row],[Start_Date]])</f>
        <v>2025</v>
      </c>
      <c r="U815">
        <f>Table2[[#This Row],[Campaign_Cost (₹)]]/Table2[[#This Row],[Reach]]</f>
        <v>0.5328874746481651</v>
      </c>
      <c r="V815">
        <f>Table2[[#This Row],[Revenue_Generated (₹)]]/Table2[[#This Row],[Reach]]</f>
        <v>0.93547314103715129</v>
      </c>
    </row>
    <row r="816" spans="1:22" x14ac:dyDescent="0.3">
      <c r="A816" t="s">
        <v>867</v>
      </c>
      <c r="B816" t="s">
        <v>57</v>
      </c>
      <c r="C816" t="s">
        <v>28</v>
      </c>
      <c r="D816" t="s">
        <v>51</v>
      </c>
      <c r="E816">
        <v>1790837</v>
      </c>
      <c r="F816">
        <v>930469</v>
      </c>
      <c r="G816">
        <v>1141629</v>
      </c>
      <c r="H816">
        <v>59382</v>
      </c>
      <c r="I816">
        <v>6556</v>
      </c>
      <c r="J816">
        <v>4969</v>
      </c>
      <c r="K816">
        <f t="shared" si="24"/>
        <v>7.6205655427531704</v>
      </c>
      <c r="L816">
        <v>67435</v>
      </c>
      <c r="M816">
        <v>255298</v>
      </c>
      <c r="N816">
        <f t="shared" si="25"/>
        <v>278.58382145770003</v>
      </c>
      <c r="O816" s="4">
        <v>46088</v>
      </c>
      <c r="P816" s="4">
        <v>46097</v>
      </c>
      <c r="Q816" t="s">
        <v>41</v>
      </c>
      <c r="R816">
        <f>Table2[[#This Row],[End_Date]]-Table2[[#This Row],[Start_Date]]</f>
        <v>9</v>
      </c>
      <c r="S816" t="str">
        <f>TEXT(Table2[[#This Row],[Start_Date]],"MMM")</f>
        <v>Mar</v>
      </c>
      <c r="T816">
        <f>YEAR(Table2[[#This Row],[Start_Date]])</f>
        <v>2026</v>
      </c>
      <c r="U816">
        <f>Table2[[#This Row],[Campaign_Cost (₹)]]/Table2[[#This Row],[Reach]]</f>
        <v>7.2474203869231535E-2</v>
      </c>
      <c r="V816">
        <f>Table2[[#This Row],[Revenue_Generated (₹)]]/Table2[[#This Row],[Reach]]</f>
        <v>0.27437561057918103</v>
      </c>
    </row>
    <row r="817" spans="1:22" x14ac:dyDescent="0.3">
      <c r="A817" t="s">
        <v>868</v>
      </c>
      <c r="B817" t="s">
        <v>61</v>
      </c>
      <c r="C817" t="s">
        <v>37</v>
      </c>
      <c r="D817" t="s">
        <v>72</v>
      </c>
      <c r="E817">
        <v>1624004</v>
      </c>
      <c r="F817">
        <v>580320</v>
      </c>
      <c r="G817">
        <v>904327</v>
      </c>
      <c r="H817">
        <v>71448</v>
      </c>
      <c r="I817">
        <v>3835</v>
      </c>
      <c r="J817">
        <v>4700</v>
      </c>
      <c r="K817">
        <f t="shared" si="24"/>
        <v>13.7825682382134</v>
      </c>
      <c r="L817">
        <v>51679</v>
      </c>
      <c r="M817">
        <v>177614</v>
      </c>
      <c r="N817">
        <f t="shared" si="25"/>
        <v>243.6869908473461</v>
      </c>
      <c r="O817" s="4">
        <v>45987</v>
      </c>
      <c r="P817" s="4">
        <v>46001</v>
      </c>
      <c r="Q817" t="s">
        <v>25</v>
      </c>
      <c r="R817">
        <f>Table2[[#This Row],[End_Date]]-Table2[[#This Row],[Start_Date]]</f>
        <v>14</v>
      </c>
      <c r="S817" t="str">
        <f>TEXT(Table2[[#This Row],[Start_Date]],"MMM")</f>
        <v>Nov</v>
      </c>
      <c r="T817">
        <f>YEAR(Table2[[#This Row],[Start_Date]])</f>
        <v>2025</v>
      </c>
      <c r="U817">
        <f>Table2[[#This Row],[Campaign_Cost (₹)]]/Table2[[#This Row],[Reach]]</f>
        <v>8.9052591673559417E-2</v>
      </c>
      <c r="V817">
        <f>Table2[[#This Row],[Revenue_Generated (₹)]]/Table2[[#This Row],[Reach]]</f>
        <v>0.30606217259443064</v>
      </c>
    </row>
    <row r="818" spans="1:22" x14ac:dyDescent="0.3">
      <c r="A818" t="s">
        <v>869</v>
      </c>
      <c r="B818" t="s">
        <v>23</v>
      </c>
      <c r="C818" t="s">
        <v>19</v>
      </c>
      <c r="D818" t="s">
        <v>24</v>
      </c>
      <c r="E818">
        <v>1399862</v>
      </c>
      <c r="F818">
        <v>981096</v>
      </c>
      <c r="G818">
        <v>2929612</v>
      </c>
      <c r="H818">
        <v>35154</v>
      </c>
      <c r="I818">
        <v>2819</v>
      </c>
      <c r="J818">
        <v>1785</v>
      </c>
      <c r="K818">
        <f t="shared" si="24"/>
        <v>4.0524066961846756</v>
      </c>
      <c r="L818">
        <v>415783</v>
      </c>
      <c r="M818">
        <v>2023039</v>
      </c>
      <c r="N818">
        <f t="shared" si="25"/>
        <v>386.56125911833817</v>
      </c>
      <c r="O818" s="4">
        <v>46007</v>
      </c>
      <c r="P818" s="4">
        <v>46034</v>
      </c>
      <c r="Q818" t="s">
        <v>78</v>
      </c>
      <c r="R818">
        <f>Table2[[#This Row],[End_Date]]-Table2[[#This Row],[Start_Date]]</f>
        <v>27</v>
      </c>
      <c r="S818" t="str">
        <f>TEXT(Table2[[#This Row],[Start_Date]],"MMM")</f>
        <v>Dec</v>
      </c>
      <c r="T818">
        <f>YEAR(Table2[[#This Row],[Start_Date]])</f>
        <v>2025</v>
      </c>
      <c r="U818">
        <f>Table2[[#This Row],[Campaign_Cost (₹)]]/Table2[[#This Row],[Reach]]</f>
        <v>0.42379440951751918</v>
      </c>
      <c r="V818">
        <f>Table2[[#This Row],[Revenue_Generated (₹)]]/Table2[[#This Row],[Reach]]</f>
        <v>2.0620194150215676</v>
      </c>
    </row>
    <row r="819" spans="1:22" x14ac:dyDescent="0.3">
      <c r="A819" t="s">
        <v>870</v>
      </c>
      <c r="B819" t="s">
        <v>75</v>
      </c>
      <c r="C819" t="s">
        <v>43</v>
      </c>
      <c r="D819" t="s">
        <v>72</v>
      </c>
      <c r="E819">
        <v>1170527</v>
      </c>
      <c r="F819">
        <v>578832</v>
      </c>
      <c r="G819">
        <v>1097654</v>
      </c>
      <c r="H819">
        <v>64952</v>
      </c>
      <c r="I819">
        <v>6719</v>
      </c>
      <c r="J819">
        <v>6051</v>
      </c>
      <c r="K819">
        <f t="shared" si="24"/>
        <v>13.427384802498826</v>
      </c>
      <c r="L819">
        <v>164437</v>
      </c>
      <c r="M819">
        <v>531541</v>
      </c>
      <c r="N819">
        <f t="shared" si="25"/>
        <v>223.2490254626392</v>
      </c>
      <c r="O819" s="4">
        <v>45988</v>
      </c>
      <c r="P819" s="4">
        <v>46012</v>
      </c>
      <c r="Q819" t="s">
        <v>30</v>
      </c>
      <c r="R819">
        <f>Table2[[#This Row],[End_Date]]-Table2[[#This Row],[Start_Date]]</f>
        <v>24</v>
      </c>
      <c r="S819" t="str">
        <f>TEXT(Table2[[#This Row],[Start_Date]],"MMM")</f>
        <v>Nov</v>
      </c>
      <c r="T819">
        <f>YEAR(Table2[[#This Row],[Start_Date]])</f>
        <v>2025</v>
      </c>
      <c r="U819">
        <f>Table2[[#This Row],[Campaign_Cost (₹)]]/Table2[[#This Row],[Reach]]</f>
        <v>0.28408415567902257</v>
      </c>
      <c r="V819">
        <f>Table2[[#This Row],[Revenue_Generated (₹)]]/Table2[[#This Row],[Reach]]</f>
        <v>0.91829926472620726</v>
      </c>
    </row>
    <row r="820" spans="1:22" x14ac:dyDescent="0.3">
      <c r="A820" t="s">
        <v>871</v>
      </c>
      <c r="B820" t="s">
        <v>63</v>
      </c>
      <c r="C820" t="s">
        <v>33</v>
      </c>
      <c r="D820" t="s">
        <v>24</v>
      </c>
      <c r="E820">
        <v>848896</v>
      </c>
      <c r="F820">
        <v>629491</v>
      </c>
      <c r="G820">
        <v>1520022</v>
      </c>
      <c r="H820">
        <v>90958</v>
      </c>
      <c r="I820">
        <v>8386</v>
      </c>
      <c r="J820">
        <v>7509</v>
      </c>
      <c r="K820">
        <f t="shared" si="24"/>
        <v>16.97450797549131</v>
      </c>
      <c r="L820">
        <v>26612</v>
      </c>
      <c r="M820">
        <v>93105</v>
      </c>
      <c r="N820">
        <f t="shared" si="25"/>
        <v>249.86096497820532</v>
      </c>
      <c r="O820" s="4">
        <v>45899</v>
      </c>
      <c r="P820" s="4">
        <v>45918</v>
      </c>
      <c r="Q820" t="s">
        <v>78</v>
      </c>
      <c r="R820">
        <f>Table2[[#This Row],[End_Date]]-Table2[[#This Row],[Start_Date]]</f>
        <v>19</v>
      </c>
      <c r="S820" t="str">
        <f>TEXT(Table2[[#This Row],[Start_Date]],"MMM")</f>
        <v>Aug</v>
      </c>
      <c r="T820">
        <f>YEAR(Table2[[#This Row],[Start_Date]])</f>
        <v>2025</v>
      </c>
      <c r="U820">
        <f>Table2[[#This Row],[Campaign_Cost (₹)]]/Table2[[#This Row],[Reach]]</f>
        <v>4.2275425701082302E-2</v>
      </c>
      <c r="V820">
        <f>Table2[[#This Row],[Revenue_Generated (₹)]]/Table2[[#This Row],[Reach]]</f>
        <v>0.14790521230645076</v>
      </c>
    </row>
    <row r="821" spans="1:22" x14ac:dyDescent="0.3">
      <c r="A821" t="s">
        <v>872</v>
      </c>
      <c r="B821" t="s">
        <v>75</v>
      </c>
      <c r="C821" t="s">
        <v>19</v>
      </c>
      <c r="D821" t="s">
        <v>51</v>
      </c>
      <c r="E821">
        <v>1137145</v>
      </c>
      <c r="F821">
        <v>977506</v>
      </c>
      <c r="G821">
        <v>2512556</v>
      </c>
      <c r="H821">
        <v>32850</v>
      </c>
      <c r="I821">
        <v>3550</v>
      </c>
      <c r="J821">
        <v>2459</v>
      </c>
      <c r="K821">
        <f t="shared" si="24"/>
        <v>3.9753208675956975</v>
      </c>
      <c r="L821">
        <v>298319</v>
      </c>
      <c r="M821">
        <v>1089112</v>
      </c>
      <c r="N821">
        <f t="shared" si="25"/>
        <v>265.08301516162226</v>
      </c>
      <c r="O821" s="4">
        <v>45834</v>
      </c>
      <c r="P821" s="4">
        <v>45851</v>
      </c>
      <c r="Q821" t="s">
        <v>30</v>
      </c>
      <c r="R821">
        <f>Table2[[#This Row],[End_Date]]-Table2[[#This Row],[Start_Date]]</f>
        <v>17</v>
      </c>
      <c r="S821" t="str">
        <f>TEXT(Table2[[#This Row],[Start_Date]],"MMM")</f>
        <v>Jun</v>
      </c>
      <c r="T821">
        <f>YEAR(Table2[[#This Row],[Start_Date]])</f>
        <v>2025</v>
      </c>
      <c r="U821">
        <f>Table2[[#This Row],[Campaign_Cost (₹)]]/Table2[[#This Row],[Reach]]</f>
        <v>0.30518380449838672</v>
      </c>
      <c r="V821">
        <f>Table2[[#This Row],[Revenue_Generated (₹)]]/Table2[[#This Row],[Reach]]</f>
        <v>1.1141742352476609</v>
      </c>
    </row>
    <row r="822" spans="1:22" x14ac:dyDescent="0.3">
      <c r="A822" t="s">
        <v>873</v>
      </c>
      <c r="B822" t="s">
        <v>18</v>
      </c>
      <c r="C822" t="s">
        <v>43</v>
      </c>
      <c r="D822" t="s">
        <v>40</v>
      </c>
      <c r="E822">
        <v>203680</v>
      </c>
      <c r="F822">
        <v>81692</v>
      </c>
      <c r="G822">
        <v>114071</v>
      </c>
      <c r="H822">
        <v>4276</v>
      </c>
      <c r="I822">
        <v>508</v>
      </c>
      <c r="J822">
        <v>356</v>
      </c>
      <c r="K822">
        <f t="shared" si="24"/>
        <v>6.2919257699652356</v>
      </c>
      <c r="L822">
        <v>205175</v>
      </c>
      <c r="M822">
        <v>782024</v>
      </c>
      <c r="N822">
        <f t="shared" si="25"/>
        <v>281.14975021323261</v>
      </c>
      <c r="O822" s="4">
        <v>45757</v>
      </c>
      <c r="P822" s="4">
        <v>45781</v>
      </c>
      <c r="Q822" t="s">
        <v>41</v>
      </c>
      <c r="R822">
        <f>Table2[[#This Row],[End_Date]]-Table2[[#This Row],[Start_Date]]</f>
        <v>24</v>
      </c>
      <c r="S822" t="str">
        <f>TEXT(Table2[[#This Row],[Start_Date]],"MMM")</f>
        <v>Apr</v>
      </c>
      <c r="T822">
        <f>YEAR(Table2[[#This Row],[Start_Date]])</f>
        <v>2025</v>
      </c>
      <c r="U822">
        <f>Table2[[#This Row],[Campaign_Cost (₹)]]/Table2[[#This Row],[Reach]]</f>
        <v>2.5115678401801889</v>
      </c>
      <c r="V822">
        <f>Table2[[#This Row],[Revenue_Generated (₹)]]/Table2[[#This Row],[Reach]]</f>
        <v>9.5728345492826712</v>
      </c>
    </row>
    <row r="823" spans="1:22" x14ac:dyDescent="0.3">
      <c r="A823" t="s">
        <v>874</v>
      </c>
      <c r="B823" t="s">
        <v>36</v>
      </c>
      <c r="C823" t="s">
        <v>37</v>
      </c>
      <c r="D823" t="s">
        <v>72</v>
      </c>
      <c r="E823">
        <v>1519687</v>
      </c>
      <c r="F823">
        <v>432873</v>
      </c>
      <c r="G823">
        <v>732965</v>
      </c>
      <c r="H823">
        <v>44442</v>
      </c>
      <c r="I823">
        <v>2948</v>
      </c>
      <c r="J823">
        <v>3579</v>
      </c>
      <c r="K823">
        <f t="shared" si="24"/>
        <v>11.774585155461303</v>
      </c>
      <c r="L823">
        <v>243904</v>
      </c>
      <c r="M823">
        <v>1085043</v>
      </c>
      <c r="N823">
        <f t="shared" si="25"/>
        <v>344.86478286538966</v>
      </c>
      <c r="O823" s="4">
        <v>45699</v>
      </c>
      <c r="P823" s="4">
        <v>45728</v>
      </c>
      <c r="Q823" t="s">
        <v>41</v>
      </c>
      <c r="R823">
        <f>Table2[[#This Row],[End_Date]]-Table2[[#This Row],[Start_Date]]</f>
        <v>29</v>
      </c>
      <c r="S823" t="str">
        <f>TEXT(Table2[[#This Row],[Start_Date]],"MMM")</f>
        <v>Feb</v>
      </c>
      <c r="T823">
        <f>YEAR(Table2[[#This Row],[Start_Date]])</f>
        <v>2025</v>
      </c>
      <c r="U823">
        <f>Table2[[#This Row],[Campaign_Cost (₹)]]/Table2[[#This Row],[Reach]]</f>
        <v>0.56345394607656285</v>
      </c>
      <c r="V823">
        <f>Table2[[#This Row],[Revenue_Generated (₹)]]/Table2[[#This Row],[Reach]]</f>
        <v>2.5066081737599712</v>
      </c>
    </row>
    <row r="824" spans="1:22" x14ac:dyDescent="0.3">
      <c r="A824" t="s">
        <v>875</v>
      </c>
      <c r="B824" t="s">
        <v>23</v>
      </c>
      <c r="C824" t="s">
        <v>19</v>
      </c>
      <c r="D824" t="s">
        <v>20</v>
      </c>
      <c r="E824">
        <v>1459624</v>
      </c>
      <c r="F824">
        <v>669655</v>
      </c>
      <c r="G824">
        <v>1340981</v>
      </c>
      <c r="H824">
        <v>56642</v>
      </c>
      <c r="I824">
        <v>7264</v>
      </c>
      <c r="J824">
        <v>2462</v>
      </c>
      <c r="K824">
        <f t="shared" si="24"/>
        <v>9.9107749512808834</v>
      </c>
      <c r="L824">
        <v>294964</v>
      </c>
      <c r="M824">
        <v>1058423</v>
      </c>
      <c r="N824">
        <f t="shared" si="25"/>
        <v>258.83124720304852</v>
      </c>
      <c r="O824" s="4">
        <v>46014</v>
      </c>
      <c r="P824" s="4">
        <v>46038</v>
      </c>
      <c r="Q824" t="s">
        <v>25</v>
      </c>
      <c r="R824">
        <f>Table2[[#This Row],[End_Date]]-Table2[[#This Row],[Start_Date]]</f>
        <v>24</v>
      </c>
      <c r="S824" t="str">
        <f>TEXT(Table2[[#This Row],[Start_Date]],"MMM")</f>
        <v>Dec</v>
      </c>
      <c r="T824">
        <f>YEAR(Table2[[#This Row],[Start_Date]])</f>
        <v>2025</v>
      </c>
      <c r="U824">
        <f>Table2[[#This Row],[Campaign_Cost (₹)]]/Table2[[#This Row],[Reach]]</f>
        <v>0.44047158611523846</v>
      </c>
      <c r="V824">
        <f>Table2[[#This Row],[Revenue_Generated (₹)]]/Table2[[#This Row],[Reach]]</f>
        <v>1.58054968603236</v>
      </c>
    </row>
    <row r="825" spans="1:22" x14ac:dyDescent="0.3">
      <c r="A825" t="s">
        <v>876</v>
      </c>
      <c r="B825" t="s">
        <v>23</v>
      </c>
      <c r="C825" t="s">
        <v>37</v>
      </c>
      <c r="D825" t="s">
        <v>46</v>
      </c>
      <c r="E825">
        <v>691843</v>
      </c>
      <c r="F825">
        <v>229168</v>
      </c>
      <c r="G825">
        <v>397363</v>
      </c>
      <c r="H825">
        <v>32631</v>
      </c>
      <c r="I825">
        <v>1531</v>
      </c>
      <c r="J825">
        <v>997</v>
      </c>
      <c r="K825">
        <f t="shared" si="24"/>
        <v>15.34201982824827</v>
      </c>
      <c r="L825">
        <v>499771</v>
      </c>
      <c r="M825">
        <v>1939094</v>
      </c>
      <c r="N825">
        <f t="shared" si="25"/>
        <v>287.99650239809836</v>
      </c>
      <c r="O825" s="4">
        <v>46050</v>
      </c>
      <c r="P825" s="4">
        <v>46072</v>
      </c>
      <c r="Q825" t="s">
        <v>47</v>
      </c>
      <c r="R825">
        <f>Table2[[#This Row],[End_Date]]-Table2[[#This Row],[Start_Date]]</f>
        <v>22</v>
      </c>
      <c r="S825" t="str">
        <f>TEXT(Table2[[#This Row],[Start_Date]],"MMM")</f>
        <v>Jan</v>
      </c>
      <c r="T825">
        <f>YEAR(Table2[[#This Row],[Start_Date]])</f>
        <v>2026</v>
      </c>
      <c r="U825">
        <f>Table2[[#This Row],[Campaign_Cost (₹)]]/Table2[[#This Row],[Reach]]</f>
        <v>2.1808062207638064</v>
      </c>
      <c r="V825">
        <f>Table2[[#This Row],[Revenue_Generated (₹)]]/Table2[[#This Row],[Reach]]</f>
        <v>8.4614518606437201</v>
      </c>
    </row>
    <row r="826" spans="1:22" x14ac:dyDescent="0.3">
      <c r="A826" t="s">
        <v>877</v>
      </c>
      <c r="B826" t="s">
        <v>45</v>
      </c>
      <c r="C826" t="s">
        <v>19</v>
      </c>
      <c r="D826" t="s">
        <v>24</v>
      </c>
      <c r="E826">
        <v>1519782</v>
      </c>
      <c r="F826">
        <v>456852</v>
      </c>
      <c r="G826">
        <v>798407</v>
      </c>
      <c r="H826">
        <v>46218</v>
      </c>
      <c r="I826">
        <v>5279</v>
      </c>
      <c r="J826">
        <v>4312</v>
      </c>
      <c r="K826">
        <f t="shared" si="24"/>
        <v>12.215991174384703</v>
      </c>
      <c r="L826">
        <v>143913</v>
      </c>
      <c r="M826">
        <v>631142</v>
      </c>
      <c r="N826">
        <f t="shared" si="25"/>
        <v>338.558017691244</v>
      </c>
      <c r="O826" s="4">
        <v>45967</v>
      </c>
      <c r="P826" s="4">
        <v>45984</v>
      </c>
      <c r="Q826" t="s">
        <v>30</v>
      </c>
      <c r="R826">
        <f>Table2[[#This Row],[End_Date]]-Table2[[#This Row],[Start_Date]]</f>
        <v>17</v>
      </c>
      <c r="S826" t="str">
        <f>TEXT(Table2[[#This Row],[Start_Date]],"MMM")</f>
        <v>Nov</v>
      </c>
      <c r="T826">
        <f>YEAR(Table2[[#This Row],[Start_Date]])</f>
        <v>2025</v>
      </c>
      <c r="U826">
        <f>Table2[[#This Row],[Campaign_Cost (₹)]]/Table2[[#This Row],[Reach]]</f>
        <v>0.31501011268419532</v>
      </c>
      <c r="V826">
        <f>Table2[[#This Row],[Revenue_Generated (₹)]]/Table2[[#This Row],[Reach]]</f>
        <v>1.381502105714761</v>
      </c>
    </row>
    <row r="827" spans="1:22" x14ac:dyDescent="0.3">
      <c r="A827" t="s">
        <v>878</v>
      </c>
      <c r="B827" t="s">
        <v>53</v>
      </c>
      <c r="C827" t="s">
        <v>43</v>
      </c>
      <c r="D827" t="s">
        <v>51</v>
      </c>
      <c r="E827">
        <v>1172894</v>
      </c>
      <c r="F827">
        <v>442642</v>
      </c>
      <c r="G827">
        <v>842171</v>
      </c>
      <c r="H827">
        <v>18342</v>
      </c>
      <c r="I827">
        <v>1289</v>
      </c>
      <c r="J827">
        <v>847</v>
      </c>
      <c r="K827">
        <f t="shared" si="24"/>
        <v>4.6263120083498626</v>
      </c>
      <c r="L827">
        <v>278233</v>
      </c>
      <c r="M827">
        <v>1212997</v>
      </c>
      <c r="N827">
        <f t="shared" si="25"/>
        <v>335.96446144059115</v>
      </c>
      <c r="O827" s="4">
        <v>46041</v>
      </c>
      <c r="P827" s="4">
        <v>46059</v>
      </c>
      <c r="Q827" t="s">
        <v>30</v>
      </c>
      <c r="R827">
        <f>Table2[[#This Row],[End_Date]]-Table2[[#This Row],[Start_Date]]</f>
        <v>18</v>
      </c>
      <c r="S827" t="str">
        <f>TEXT(Table2[[#This Row],[Start_Date]],"MMM")</f>
        <v>Jan</v>
      </c>
      <c r="T827">
        <f>YEAR(Table2[[#This Row],[Start_Date]])</f>
        <v>2026</v>
      </c>
      <c r="U827">
        <f>Table2[[#This Row],[Campaign_Cost (₹)]]/Table2[[#This Row],[Reach]]</f>
        <v>0.6285734295435137</v>
      </c>
      <c r="V827">
        <f>Table2[[#This Row],[Revenue_Generated (₹)]]/Table2[[#This Row],[Reach]]</f>
        <v>2.7403567668680333</v>
      </c>
    </row>
    <row r="828" spans="1:22" x14ac:dyDescent="0.3">
      <c r="A828" t="s">
        <v>879</v>
      </c>
      <c r="B828" t="s">
        <v>36</v>
      </c>
      <c r="C828" t="s">
        <v>37</v>
      </c>
      <c r="D828" t="s">
        <v>51</v>
      </c>
      <c r="E828">
        <v>1617122</v>
      </c>
      <c r="F828">
        <v>755324</v>
      </c>
      <c r="G828">
        <v>1279426</v>
      </c>
      <c r="H828">
        <v>69444</v>
      </c>
      <c r="I828">
        <v>8504</v>
      </c>
      <c r="J828">
        <v>2242</v>
      </c>
      <c r="K828">
        <f t="shared" si="24"/>
        <v>10.616636039633324</v>
      </c>
      <c r="L828">
        <v>256916</v>
      </c>
      <c r="M828">
        <v>579959</v>
      </c>
      <c r="N828">
        <f t="shared" si="25"/>
        <v>125.7387628641268</v>
      </c>
      <c r="O828" s="4">
        <v>46152</v>
      </c>
      <c r="P828" s="4">
        <v>46162</v>
      </c>
      <c r="Q828" t="s">
        <v>30</v>
      </c>
      <c r="R828">
        <f>Table2[[#This Row],[End_Date]]-Table2[[#This Row],[Start_Date]]</f>
        <v>10</v>
      </c>
      <c r="S828" t="str">
        <f>TEXT(Table2[[#This Row],[Start_Date]],"MMM")</f>
        <v>May</v>
      </c>
      <c r="T828">
        <f>YEAR(Table2[[#This Row],[Start_Date]])</f>
        <v>2026</v>
      </c>
      <c r="U828">
        <f>Table2[[#This Row],[Campaign_Cost (₹)]]/Table2[[#This Row],[Reach]]</f>
        <v>0.34014012529722343</v>
      </c>
      <c r="V828">
        <f>Table2[[#This Row],[Revenue_Generated (₹)]]/Table2[[#This Row],[Reach]]</f>
        <v>0.767828110850443</v>
      </c>
    </row>
    <row r="829" spans="1:22" x14ac:dyDescent="0.3">
      <c r="A829" t="s">
        <v>880</v>
      </c>
      <c r="B829" t="s">
        <v>57</v>
      </c>
      <c r="C829" t="s">
        <v>43</v>
      </c>
      <c r="D829" t="s">
        <v>29</v>
      </c>
      <c r="E829">
        <v>1795470</v>
      </c>
      <c r="F829">
        <v>541815</v>
      </c>
      <c r="G829">
        <v>831874</v>
      </c>
      <c r="H829">
        <v>62265</v>
      </c>
      <c r="I829">
        <v>4270</v>
      </c>
      <c r="J829">
        <v>4632</v>
      </c>
      <c r="K829">
        <f t="shared" si="24"/>
        <v>13.134926127921892</v>
      </c>
      <c r="L829">
        <v>493052</v>
      </c>
      <c r="M829">
        <v>1999647</v>
      </c>
      <c r="N829">
        <f t="shared" si="25"/>
        <v>305.56513308941049</v>
      </c>
      <c r="O829" s="4">
        <v>46053</v>
      </c>
      <c r="P829" s="4">
        <v>46063</v>
      </c>
      <c r="Q829" t="s">
        <v>41</v>
      </c>
      <c r="R829">
        <f>Table2[[#This Row],[End_Date]]-Table2[[#This Row],[Start_Date]]</f>
        <v>10</v>
      </c>
      <c r="S829" t="str">
        <f>TEXT(Table2[[#This Row],[Start_Date]],"MMM")</f>
        <v>Jan</v>
      </c>
      <c r="T829">
        <f>YEAR(Table2[[#This Row],[Start_Date]])</f>
        <v>2026</v>
      </c>
      <c r="U829">
        <f>Table2[[#This Row],[Campaign_Cost (₹)]]/Table2[[#This Row],[Reach]]</f>
        <v>0.91000064597694785</v>
      </c>
      <c r="V829">
        <f>Table2[[#This Row],[Revenue_Generated (₹)]]/Table2[[#This Row],[Reach]]</f>
        <v>3.6906453309709035</v>
      </c>
    </row>
    <row r="830" spans="1:22" x14ac:dyDescent="0.3">
      <c r="A830" t="s">
        <v>881</v>
      </c>
      <c r="B830" t="s">
        <v>18</v>
      </c>
      <c r="C830" t="s">
        <v>19</v>
      </c>
      <c r="D830" t="s">
        <v>72</v>
      </c>
      <c r="E830">
        <v>1083399</v>
      </c>
      <c r="F830">
        <v>781796</v>
      </c>
      <c r="G830">
        <v>1785009</v>
      </c>
      <c r="H830">
        <v>55941</v>
      </c>
      <c r="I830">
        <v>6414</v>
      </c>
      <c r="J830">
        <v>5353</v>
      </c>
      <c r="K830">
        <f t="shared" si="24"/>
        <v>8.660571299929904</v>
      </c>
      <c r="L830">
        <v>152838</v>
      </c>
      <c r="M830">
        <v>201587</v>
      </c>
      <c r="N830">
        <f t="shared" si="25"/>
        <v>31.895863594132351</v>
      </c>
      <c r="O830" s="4">
        <v>45831</v>
      </c>
      <c r="P830" s="4">
        <v>45858</v>
      </c>
      <c r="Q830" t="s">
        <v>30</v>
      </c>
      <c r="R830">
        <f>Table2[[#This Row],[End_Date]]-Table2[[#This Row],[Start_Date]]</f>
        <v>27</v>
      </c>
      <c r="S830" t="str">
        <f>TEXT(Table2[[#This Row],[Start_Date]],"MMM")</f>
        <v>Jun</v>
      </c>
      <c r="T830">
        <f>YEAR(Table2[[#This Row],[Start_Date]])</f>
        <v>2025</v>
      </c>
      <c r="U830">
        <f>Table2[[#This Row],[Campaign_Cost (₹)]]/Table2[[#This Row],[Reach]]</f>
        <v>0.19549601174731004</v>
      </c>
      <c r="V830">
        <f>Table2[[#This Row],[Revenue_Generated (₹)]]/Table2[[#This Row],[Reach]]</f>
        <v>0.25785115298620098</v>
      </c>
    </row>
    <row r="831" spans="1:22" x14ac:dyDescent="0.3">
      <c r="A831" t="s">
        <v>882</v>
      </c>
      <c r="B831" t="s">
        <v>80</v>
      </c>
      <c r="C831" t="s">
        <v>19</v>
      </c>
      <c r="D831" t="s">
        <v>72</v>
      </c>
      <c r="E831">
        <v>1002066</v>
      </c>
      <c r="F831">
        <v>348882</v>
      </c>
      <c r="G831">
        <v>762219</v>
      </c>
      <c r="H831">
        <v>39315</v>
      </c>
      <c r="I831">
        <v>5270</v>
      </c>
      <c r="J831">
        <v>2399</v>
      </c>
      <c r="K831">
        <f t="shared" si="24"/>
        <v>13.467017501619457</v>
      </c>
      <c r="L831">
        <v>313758</v>
      </c>
      <c r="M831">
        <v>930132</v>
      </c>
      <c r="N831">
        <f t="shared" si="25"/>
        <v>196.4488554873501</v>
      </c>
      <c r="O831" s="4">
        <v>45821</v>
      </c>
      <c r="P831" s="4">
        <v>45828</v>
      </c>
      <c r="Q831" t="s">
        <v>21</v>
      </c>
      <c r="R831">
        <f>Table2[[#This Row],[End_Date]]-Table2[[#This Row],[Start_Date]]</f>
        <v>7</v>
      </c>
      <c r="S831" t="str">
        <f>TEXT(Table2[[#This Row],[Start_Date]],"MMM")</f>
        <v>Jun</v>
      </c>
      <c r="T831">
        <f>YEAR(Table2[[#This Row],[Start_Date]])</f>
        <v>2025</v>
      </c>
      <c r="U831">
        <f>Table2[[#This Row],[Campaign_Cost (₹)]]/Table2[[#This Row],[Reach]]</f>
        <v>0.89932412678212115</v>
      </c>
      <c r="V831">
        <f>Table2[[#This Row],[Revenue_Generated (₹)]]/Table2[[#This Row],[Reach]]</f>
        <v>2.6660360809672037</v>
      </c>
    </row>
    <row r="832" spans="1:22" x14ac:dyDescent="0.3">
      <c r="A832" t="s">
        <v>883</v>
      </c>
      <c r="B832" t="s">
        <v>53</v>
      </c>
      <c r="C832" t="s">
        <v>43</v>
      </c>
      <c r="D832" t="s">
        <v>58</v>
      </c>
      <c r="E832">
        <v>124538</v>
      </c>
      <c r="F832">
        <v>44552</v>
      </c>
      <c r="G832">
        <v>66955</v>
      </c>
      <c r="H832">
        <v>3878</v>
      </c>
      <c r="I832">
        <v>495</v>
      </c>
      <c r="J832">
        <v>166</v>
      </c>
      <c r="K832">
        <f t="shared" si="24"/>
        <v>10.188094810558448</v>
      </c>
      <c r="L832">
        <v>148849</v>
      </c>
      <c r="M832">
        <v>225813</v>
      </c>
      <c r="N832">
        <f t="shared" si="25"/>
        <v>51.706091408071266</v>
      </c>
      <c r="O832" s="4">
        <v>45801</v>
      </c>
      <c r="P832" s="4">
        <v>45826</v>
      </c>
      <c r="Q832" t="s">
        <v>47</v>
      </c>
      <c r="R832">
        <f>Table2[[#This Row],[End_Date]]-Table2[[#This Row],[Start_Date]]</f>
        <v>25</v>
      </c>
      <c r="S832" t="str">
        <f>TEXT(Table2[[#This Row],[Start_Date]],"MMM")</f>
        <v>May</v>
      </c>
      <c r="T832">
        <f>YEAR(Table2[[#This Row],[Start_Date]])</f>
        <v>2025</v>
      </c>
      <c r="U832">
        <f>Table2[[#This Row],[Campaign_Cost (₹)]]/Table2[[#This Row],[Reach]]</f>
        <v>3.3410172382833543</v>
      </c>
      <c r="V832">
        <f>Table2[[#This Row],[Revenue_Generated (₹)]]/Table2[[#This Row],[Reach]]</f>
        <v>5.0685266654695633</v>
      </c>
    </row>
    <row r="833" spans="1:22" x14ac:dyDescent="0.3">
      <c r="A833" t="s">
        <v>884</v>
      </c>
      <c r="B833" t="s">
        <v>49</v>
      </c>
      <c r="C833" t="s">
        <v>37</v>
      </c>
      <c r="D833" t="s">
        <v>46</v>
      </c>
      <c r="E833">
        <v>1472150</v>
      </c>
      <c r="F833">
        <v>709319</v>
      </c>
      <c r="G833">
        <v>1109722</v>
      </c>
      <c r="H833">
        <v>67694</v>
      </c>
      <c r="I833">
        <v>6465</v>
      </c>
      <c r="J833">
        <v>2871</v>
      </c>
      <c r="K833">
        <f t="shared" si="24"/>
        <v>10.859711920870581</v>
      </c>
      <c r="L833">
        <v>191519</v>
      </c>
      <c r="M833">
        <v>924922</v>
      </c>
      <c r="N833">
        <f t="shared" si="25"/>
        <v>382.94007383079486</v>
      </c>
      <c r="O833" s="4">
        <v>45885</v>
      </c>
      <c r="P833" s="4">
        <v>45896</v>
      </c>
      <c r="Q833" t="s">
        <v>41</v>
      </c>
      <c r="R833">
        <f>Table2[[#This Row],[End_Date]]-Table2[[#This Row],[Start_Date]]</f>
        <v>11</v>
      </c>
      <c r="S833" t="str">
        <f>TEXT(Table2[[#This Row],[Start_Date]],"MMM")</f>
        <v>Aug</v>
      </c>
      <c r="T833">
        <f>YEAR(Table2[[#This Row],[Start_Date]])</f>
        <v>2025</v>
      </c>
      <c r="U833">
        <f>Table2[[#This Row],[Campaign_Cost (₹)]]/Table2[[#This Row],[Reach]]</f>
        <v>0.27000404613439088</v>
      </c>
      <c r="V833">
        <f>Table2[[#This Row],[Revenue_Generated (₹)]]/Table2[[#This Row],[Reach]]</f>
        <v>1.3039577397475608</v>
      </c>
    </row>
    <row r="834" spans="1:22" x14ac:dyDescent="0.3">
      <c r="A834" t="s">
        <v>885</v>
      </c>
      <c r="B834" t="s">
        <v>53</v>
      </c>
      <c r="C834" t="s">
        <v>19</v>
      </c>
      <c r="D834" t="s">
        <v>58</v>
      </c>
      <c r="E834">
        <v>1256638</v>
      </c>
      <c r="F834">
        <v>748980</v>
      </c>
      <c r="G834">
        <v>1028221</v>
      </c>
      <c r="H834">
        <v>44059</v>
      </c>
      <c r="I834">
        <v>5653</v>
      </c>
      <c r="J834">
        <v>3610</v>
      </c>
      <c r="K834">
        <f t="shared" ref="K834:K897" si="26">((H834+I834+J834)/F834)*100</f>
        <v>7.1192822238244009</v>
      </c>
      <c r="L834">
        <v>115641</v>
      </c>
      <c r="M834">
        <v>328358</v>
      </c>
      <c r="N834">
        <f t="shared" ref="N834:N897" si="27">((M834-L834)/L834)*100</f>
        <v>183.94600530953556</v>
      </c>
      <c r="O834" s="4">
        <v>46154</v>
      </c>
      <c r="P834" s="4">
        <v>46180</v>
      </c>
      <c r="Q834" t="s">
        <v>30</v>
      </c>
      <c r="R834">
        <f>Table2[[#This Row],[End_Date]]-Table2[[#This Row],[Start_Date]]</f>
        <v>26</v>
      </c>
      <c r="S834" t="str">
        <f>TEXT(Table2[[#This Row],[Start_Date]],"MMM")</f>
        <v>May</v>
      </c>
      <c r="T834">
        <f>YEAR(Table2[[#This Row],[Start_Date]])</f>
        <v>2026</v>
      </c>
      <c r="U834">
        <f>Table2[[#This Row],[Campaign_Cost (₹)]]/Table2[[#This Row],[Reach]]</f>
        <v>0.15439798125450613</v>
      </c>
      <c r="V834">
        <f>Table2[[#This Row],[Revenue_Generated (₹)]]/Table2[[#This Row],[Reach]]</f>
        <v>0.43840690005073568</v>
      </c>
    </row>
    <row r="835" spans="1:22" x14ac:dyDescent="0.3">
      <c r="A835" t="s">
        <v>886</v>
      </c>
      <c r="B835" t="s">
        <v>53</v>
      </c>
      <c r="C835" t="s">
        <v>33</v>
      </c>
      <c r="D835" t="s">
        <v>51</v>
      </c>
      <c r="E835">
        <v>1486887</v>
      </c>
      <c r="F835">
        <v>581696</v>
      </c>
      <c r="G835">
        <v>830960</v>
      </c>
      <c r="H835">
        <v>21330</v>
      </c>
      <c r="I835">
        <v>2098</v>
      </c>
      <c r="J835">
        <v>2130</v>
      </c>
      <c r="K835">
        <f t="shared" si="26"/>
        <v>4.3937039278248431</v>
      </c>
      <c r="L835">
        <v>70112</v>
      </c>
      <c r="M835">
        <v>202114</v>
      </c>
      <c r="N835">
        <f t="shared" si="27"/>
        <v>188.27304883614789</v>
      </c>
      <c r="O835" s="4">
        <v>46124</v>
      </c>
      <c r="P835" s="4">
        <v>46147</v>
      </c>
      <c r="Q835" t="s">
        <v>21</v>
      </c>
      <c r="R835">
        <f>Table2[[#This Row],[End_Date]]-Table2[[#This Row],[Start_Date]]</f>
        <v>23</v>
      </c>
      <c r="S835" t="str">
        <f>TEXT(Table2[[#This Row],[Start_Date]],"MMM")</f>
        <v>Apr</v>
      </c>
      <c r="T835">
        <f>YEAR(Table2[[#This Row],[Start_Date]])</f>
        <v>2026</v>
      </c>
      <c r="U835">
        <f>Table2[[#This Row],[Campaign_Cost (₹)]]/Table2[[#This Row],[Reach]]</f>
        <v>0.12053031136538674</v>
      </c>
      <c r="V835">
        <f>Table2[[#This Row],[Revenue_Generated (₹)]]/Table2[[#This Row],[Reach]]</f>
        <v>0.3474564033447024</v>
      </c>
    </row>
    <row r="836" spans="1:22" x14ac:dyDescent="0.3">
      <c r="A836" t="s">
        <v>887</v>
      </c>
      <c r="B836" t="s">
        <v>18</v>
      </c>
      <c r="C836" t="s">
        <v>28</v>
      </c>
      <c r="D836" t="s">
        <v>58</v>
      </c>
      <c r="E836">
        <v>706281</v>
      </c>
      <c r="F836">
        <v>327880</v>
      </c>
      <c r="G836">
        <v>932528</v>
      </c>
      <c r="H836">
        <v>7488</v>
      </c>
      <c r="I836">
        <v>400</v>
      </c>
      <c r="J836">
        <v>482</v>
      </c>
      <c r="K836">
        <f t="shared" si="26"/>
        <v>2.5527632060509942</v>
      </c>
      <c r="L836">
        <v>478820</v>
      </c>
      <c r="M836">
        <v>1908304</v>
      </c>
      <c r="N836">
        <f t="shared" si="27"/>
        <v>298.54308508416523</v>
      </c>
      <c r="O836" s="4">
        <v>45669</v>
      </c>
      <c r="P836" s="4">
        <v>45689</v>
      </c>
      <c r="Q836" t="s">
        <v>54</v>
      </c>
      <c r="R836">
        <f>Table2[[#This Row],[End_Date]]-Table2[[#This Row],[Start_Date]]</f>
        <v>20</v>
      </c>
      <c r="S836" t="str">
        <f>TEXT(Table2[[#This Row],[Start_Date]],"MMM")</f>
        <v>Jan</v>
      </c>
      <c r="T836">
        <f>YEAR(Table2[[#This Row],[Start_Date]])</f>
        <v>2025</v>
      </c>
      <c r="U836">
        <f>Table2[[#This Row],[Campaign_Cost (₹)]]/Table2[[#This Row],[Reach]]</f>
        <v>1.4603513480541661</v>
      </c>
      <c r="V836">
        <f>Table2[[#This Row],[Revenue_Generated (₹)]]/Table2[[#This Row],[Reach]]</f>
        <v>5.8201293156032694</v>
      </c>
    </row>
    <row r="837" spans="1:22" x14ac:dyDescent="0.3">
      <c r="A837" t="s">
        <v>888</v>
      </c>
      <c r="B837" t="s">
        <v>45</v>
      </c>
      <c r="C837" t="s">
        <v>33</v>
      </c>
      <c r="D837" t="s">
        <v>58</v>
      </c>
      <c r="E837">
        <v>1846925</v>
      </c>
      <c r="F837">
        <v>1521198</v>
      </c>
      <c r="G837">
        <v>3622057</v>
      </c>
      <c r="H837">
        <v>91799</v>
      </c>
      <c r="I837">
        <v>10275</v>
      </c>
      <c r="J837">
        <v>8701</v>
      </c>
      <c r="K837">
        <f t="shared" si="26"/>
        <v>7.2820895110301223</v>
      </c>
      <c r="L837">
        <v>159922</v>
      </c>
      <c r="M837">
        <v>331078</v>
      </c>
      <c r="N837">
        <f t="shared" si="27"/>
        <v>107.0246745288328</v>
      </c>
      <c r="O837" s="4">
        <v>45887</v>
      </c>
      <c r="P837" s="4">
        <v>45895</v>
      </c>
      <c r="Q837" t="s">
        <v>78</v>
      </c>
      <c r="R837">
        <f>Table2[[#This Row],[End_Date]]-Table2[[#This Row],[Start_Date]]</f>
        <v>8</v>
      </c>
      <c r="S837" t="str">
        <f>TEXT(Table2[[#This Row],[Start_Date]],"MMM")</f>
        <v>Aug</v>
      </c>
      <c r="T837">
        <f>YEAR(Table2[[#This Row],[Start_Date]])</f>
        <v>2025</v>
      </c>
      <c r="U837">
        <f>Table2[[#This Row],[Campaign_Cost (₹)]]/Table2[[#This Row],[Reach]]</f>
        <v>0.10512898386666299</v>
      </c>
      <c r="V837">
        <f>Table2[[#This Row],[Revenue_Generated (₹)]]/Table2[[#This Row],[Reach]]</f>
        <v>0.2176429366854282</v>
      </c>
    </row>
    <row r="838" spans="1:22" x14ac:dyDescent="0.3">
      <c r="A838" t="s">
        <v>889</v>
      </c>
      <c r="B838" t="s">
        <v>36</v>
      </c>
      <c r="C838" t="s">
        <v>28</v>
      </c>
      <c r="D838" t="s">
        <v>46</v>
      </c>
      <c r="E838">
        <v>746077</v>
      </c>
      <c r="F838">
        <v>553489</v>
      </c>
      <c r="G838">
        <v>1571265</v>
      </c>
      <c r="H838">
        <v>72255</v>
      </c>
      <c r="I838">
        <v>4776</v>
      </c>
      <c r="J838">
        <v>5948</v>
      </c>
      <c r="K838">
        <f t="shared" si="26"/>
        <v>14.991987193964107</v>
      </c>
      <c r="L838">
        <v>34803</v>
      </c>
      <c r="M838">
        <v>91882</v>
      </c>
      <c r="N838">
        <f t="shared" si="27"/>
        <v>164.00597649627906</v>
      </c>
      <c r="O838" s="4">
        <v>45718</v>
      </c>
      <c r="P838" s="4">
        <v>45725</v>
      </c>
      <c r="Q838" t="s">
        <v>47</v>
      </c>
      <c r="R838">
        <f>Table2[[#This Row],[End_Date]]-Table2[[#This Row],[Start_Date]]</f>
        <v>7</v>
      </c>
      <c r="S838" t="str">
        <f>TEXT(Table2[[#This Row],[Start_Date]],"MMM")</f>
        <v>Mar</v>
      </c>
      <c r="T838">
        <f>YEAR(Table2[[#This Row],[Start_Date]])</f>
        <v>2025</v>
      </c>
      <c r="U838">
        <f>Table2[[#This Row],[Campaign_Cost (₹)]]/Table2[[#This Row],[Reach]]</f>
        <v>6.2879298414241294E-2</v>
      </c>
      <c r="V838">
        <f>Table2[[#This Row],[Revenue_Generated (₹)]]/Table2[[#This Row],[Reach]]</f>
        <v>0.16600510579252703</v>
      </c>
    </row>
    <row r="839" spans="1:22" x14ac:dyDescent="0.3">
      <c r="A839" t="s">
        <v>890</v>
      </c>
      <c r="B839" t="s">
        <v>45</v>
      </c>
      <c r="C839" t="s">
        <v>33</v>
      </c>
      <c r="D839" t="s">
        <v>40</v>
      </c>
      <c r="E839">
        <v>1317460</v>
      </c>
      <c r="F839">
        <v>1017725</v>
      </c>
      <c r="G839">
        <v>2043843</v>
      </c>
      <c r="H839">
        <v>61296</v>
      </c>
      <c r="I839">
        <v>4933</v>
      </c>
      <c r="J839">
        <v>5772</v>
      </c>
      <c r="K839">
        <f t="shared" si="26"/>
        <v>7.074700926085141</v>
      </c>
      <c r="L839">
        <v>243164</v>
      </c>
      <c r="M839">
        <v>1148763</v>
      </c>
      <c r="N839">
        <f t="shared" si="27"/>
        <v>372.4231382934974</v>
      </c>
      <c r="O839" s="4">
        <v>45733</v>
      </c>
      <c r="P839" s="4">
        <v>45754</v>
      </c>
      <c r="Q839" t="s">
        <v>25</v>
      </c>
      <c r="R839">
        <f>Table2[[#This Row],[End_Date]]-Table2[[#This Row],[Start_Date]]</f>
        <v>21</v>
      </c>
      <c r="S839" t="str">
        <f>TEXT(Table2[[#This Row],[Start_Date]],"MMM")</f>
        <v>Mar</v>
      </c>
      <c r="T839">
        <f>YEAR(Table2[[#This Row],[Start_Date]])</f>
        <v>2025</v>
      </c>
      <c r="U839">
        <f>Table2[[#This Row],[Campaign_Cost (₹)]]/Table2[[#This Row],[Reach]]</f>
        <v>0.2389289837628043</v>
      </c>
      <c r="V839">
        <f>Table2[[#This Row],[Revenue_Generated (₹)]]/Table2[[#This Row],[Reach]]</f>
        <v>1.1287558033850009</v>
      </c>
    </row>
    <row r="840" spans="1:22" x14ac:dyDescent="0.3">
      <c r="A840" t="s">
        <v>891</v>
      </c>
      <c r="B840" t="s">
        <v>80</v>
      </c>
      <c r="C840" t="s">
        <v>33</v>
      </c>
      <c r="D840" t="s">
        <v>72</v>
      </c>
      <c r="E840">
        <v>1769448</v>
      </c>
      <c r="F840">
        <v>1245351</v>
      </c>
      <c r="G840">
        <v>2514598</v>
      </c>
      <c r="H840">
        <v>107693</v>
      </c>
      <c r="I840">
        <v>9811</v>
      </c>
      <c r="J840">
        <v>3356</v>
      </c>
      <c r="K840">
        <f t="shared" si="26"/>
        <v>9.704894443413945</v>
      </c>
      <c r="L840">
        <v>45757</v>
      </c>
      <c r="M840">
        <v>69556</v>
      </c>
      <c r="N840">
        <f t="shared" si="27"/>
        <v>52.011714054680155</v>
      </c>
      <c r="O840" s="4">
        <v>45949</v>
      </c>
      <c r="P840" s="4">
        <v>45958</v>
      </c>
      <c r="Q840" t="s">
        <v>34</v>
      </c>
      <c r="R840">
        <f>Table2[[#This Row],[End_Date]]-Table2[[#This Row],[Start_Date]]</f>
        <v>9</v>
      </c>
      <c r="S840" t="str">
        <f>TEXT(Table2[[#This Row],[Start_Date]],"MMM")</f>
        <v>Oct</v>
      </c>
      <c r="T840">
        <f>YEAR(Table2[[#This Row],[Start_Date]])</f>
        <v>2025</v>
      </c>
      <c r="U840">
        <f>Table2[[#This Row],[Campaign_Cost (₹)]]/Table2[[#This Row],[Reach]]</f>
        <v>3.6742251782830707E-2</v>
      </c>
      <c r="V840">
        <f>Table2[[#This Row],[Revenue_Generated (₹)]]/Table2[[#This Row],[Reach]]</f>
        <v>5.5852526717367235E-2</v>
      </c>
    </row>
    <row r="841" spans="1:22" x14ac:dyDescent="0.3">
      <c r="A841" t="s">
        <v>892</v>
      </c>
      <c r="B841" t="s">
        <v>27</v>
      </c>
      <c r="C841" t="s">
        <v>43</v>
      </c>
      <c r="D841" t="s">
        <v>40</v>
      </c>
      <c r="E841">
        <v>1488112</v>
      </c>
      <c r="F841">
        <v>1208712</v>
      </c>
      <c r="G841">
        <v>1898808</v>
      </c>
      <c r="H841">
        <v>70415</v>
      </c>
      <c r="I841">
        <v>8822</v>
      </c>
      <c r="J841">
        <v>6039</v>
      </c>
      <c r="K841">
        <f t="shared" si="26"/>
        <v>7.0551132114184361</v>
      </c>
      <c r="L841">
        <v>36103</v>
      </c>
      <c r="M841">
        <v>69518</v>
      </c>
      <c r="N841">
        <f t="shared" si="27"/>
        <v>92.554635348862973</v>
      </c>
      <c r="O841" s="4">
        <v>45685</v>
      </c>
      <c r="P841" s="4">
        <v>45708</v>
      </c>
      <c r="Q841" t="s">
        <v>41</v>
      </c>
      <c r="R841">
        <f>Table2[[#This Row],[End_Date]]-Table2[[#This Row],[Start_Date]]</f>
        <v>23</v>
      </c>
      <c r="S841" t="str">
        <f>TEXT(Table2[[#This Row],[Start_Date]],"MMM")</f>
        <v>Jan</v>
      </c>
      <c r="T841">
        <f>YEAR(Table2[[#This Row],[Start_Date]])</f>
        <v>2025</v>
      </c>
      <c r="U841">
        <f>Table2[[#This Row],[Campaign_Cost (₹)]]/Table2[[#This Row],[Reach]]</f>
        <v>2.9868984505821074E-2</v>
      </c>
      <c r="V841">
        <f>Table2[[#This Row],[Revenue_Generated (₹)]]/Table2[[#This Row],[Reach]]</f>
        <v>5.7514114197592149E-2</v>
      </c>
    </row>
    <row r="842" spans="1:22" x14ac:dyDescent="0.3">
      <c r="A842" t="s">
        <v>893</v>
      </c>
      <c r="B842" t="s">
        <v>103</v>
      </c>
      <c r="C842" t="s">
        <v>19</v>
      </c>
      <c r="D842" t="s">
        <v>20</v>
      </c>
      <c r="E842">
        <v>804520</v>
      </c>
      <c r="F842">
        <v>255320</v>
      </c>
      <c r="G842">
        <v>588955</v>
      </c>
      <c r="H842">
        <v>15477</v>
      </c>
      <c r="I842">
        <v>2175</v>
      </c>
      <c r="J842">
        <v>548</v>
      </c>
      <c r="K842">
        <f t="shared" si="26"/>
        <v>7.1283095723014247</v>
      </c>
      <c r="L842">
        <v>29455</v>
      </c>
      <c r="M842">
        <v>41933</v>
      </c>
      <c r="N842">
        <f t="shared" si="27"/>
        <v>42.362926498047869</v>
      </c>
      <c r="O842" s="4">
        <v>45767</v>
      </c>
      <c r="P842" s="4">
        <v>45793</v>
      </c>
      <c r="Q842" t="s">
        <v>78</v>
      </c>
      <c r="R842">
        <f>Table2[[#This Row],[End_Date]]-Table2[[#This Row],[Start_Date]]</f>
        <v>26</v>
      </c>
      <c r="S842" t="str">
        <f>TEXT(Table2[[#This Row],[Start_Date]],"MMM")</f>
        <v>Apr</v>
      </c>
      <c r="T842">
        <f>YEAR(Table2[[#This Row],[Start_Date]])</f>
        <v>2025</v>
      </c>
      <c r="U842">
        <f>Table2[[#This Row],[Campaign_Cost (₹)]]/Table2[[#This Row],[Reach]]</f>
        <v>0.11536503211655962</v>
      </c>
      <c r="V842">
        <f>Table2[[#This Row],[Revenue_Generated (₹)]]/Table2[[#This Row],[Reach]]</f>
        <v>0.16423703587654709</v>
      </c>
    </row>
    <row r="843" spans="1:22" x14ac:dyDescent="0.3">
      <c r="A843" t="s">
        <v>894</v>
      </c>
      <c r="B843" t="s">
        <v>36</v>
      </c>
      <c r="C843" t="s">
        <v>43</v>
      </c>
      <c r="D843" t="s">
        <v>29</v>
      </c>
      <c r="E843">
        <v>1738358</v>
      </c>
      <c r="F843">
        <v>1234000</v>
      </c>
      <c r="G843">
        <v>2269614</v>
      </c>
      <c r="H843">
        <v>147950</v>
      </c>
      <c r="I843">
        <v>16374</v>
      </c>
      <c r="J843">
        <v>5402</v>
      </c>
      <c r="K843">
        <f t="shared" si="26"/>
        <v>13.754132901134522</v>
      </c>
      <c r="L843">
        <v>185250</v>
      </c>
      <c r="M843">
        <v>533439</v>
      </c>
      <c r="N843">
        <f t="shared" si="27"/>
        <v>187.95627530364371</v>
      </c>
      <c r="O843" s="4">
        <v>45739</v>
      </c>
      <c r="P843" s="4">
        <v>45752</v>
      </c>
      <c r="Q843" t="s">
        <v>47</v>
      </c>
      <c r="R843">
        <f>Table2[[#This Row],[End_Date]]-Table2[[#This Row],[Start_Date]]</f>
        <v>13</v>
      </c>
      <c r="S843" t="str">
        <f>TEXT(Table2[[#This Row],[Start_Date]],"MMM")</f>
        <v>Mar</v>
      </c>
      <c r="T843">
        <f>YEAR(Table2[[#This Row],[Start_Date]])</f>
        <v>2025</v>
      </c>
      <c r="U843">
        <f>Table2[[#This Row],[Campaign_Cost (₹)]]/Table2[[#This Row],[Reach]]</f>
        <v>0.15012155591572124</v>
      </c>
      <c r="V843">
        <f>Table2[[#This Row],[Revenue_Generated (₹)]]/Table2[[#This Row],[Reach]]</f>
        <v>0.43228444084278767</v>
      </c>
    </row>
    <row r="844" spans="1:22" x14ac:dyDescent="0.3">
      <c r="A844" t="s">
        <v>895</v>
      </c>
      <c r="B844" t="s">
        <v>63</v>
      </c>
      <c r="C844" t="s">
        <v>33</v>
      </c>
      <c r="D844" t="s">
        <v>46</v>
      </c>
      <c r="E844">
        <v>201077</v>
      </c>
      <c r="F844">
        <v>142913</v>
      </c>
      <c r="G844">
        <v>320594</v>
      </c>
      <c r="H844">
        <v>12524</v>
      </c>
      <c r="I844">
        <v>593</v>
      </c>
      <c r="J844">
        <v>1152</v>
      </c>
      <c r="K844">
        <f t="shared" si="26"/>
        <v>9.9843961011244602</v>
      </c>
      <c r="L844">
        <v>156730</v>
      </c>
      <c r="M844">
        <v>312095</v>
      </c>
      <c r="N844">
        <f t="shared" si="27"/>
        <v>99.129075480125053</v>
      </c>
      <c r="O844" s="4">
        <v>45687</v>
      </c>
      <c r="P844" s="4">
        <v>45708</v>
      </c>
      <c r="Q844" t="s">
        <v>30</v>
      </c>
      <c r="R844">
        <f>Table2[[#This Row],[End_Date]]-Table2[[#This Row],[Start_Date]]</f>
        <v>21</v>
      </c>
      <c r="S844" t="str">
        <f>TEXT(Table2[[#This Row],[Start_Date]],"MMM")</f>
        <v>Jan</v>
      </c>
      <c r="T844">
        <f>YEAR(Table2[[#This Row],[Start_Date]])</f>
        <v>2025</v>
      </c>
      <c r="U844">
        <f>Table2[[#This Row],[Campaign_Cost (₹)]]/Table2[[#This Row],[Reach]]</f>
        <v>1.0966811976517181</v>
      </c>
      <c r="V844">
        <f>Table2[[#This Row],[Revenue_Generated (₹)]]/Table2[[#This Row],[Reach]]</f>
        <v>2.1838111298482294</v>
      </c>
    </row>
    <row r="845" spans="1:22" x14ac:dyDescent="0.3">
      <c r="A845" t="s">
        <v>896</v>
      </c>
      <c r="B845" t="s">
        <v>103</v>
      </c>
      <c r="C845" t="s">
        <v>37</v>
      </c>
      <c r="D845" t="s">
        <v>24</v>
      </c>
      <c r="E845">
        <v>502246</v>
      </c>
      <c r="F845">
        <v>188705</v>
      </c>
      <c r="G845">
        <v>266881</v>
      </c>
      <c r="H845">
        <v>3793</v>
      </c>
      <c r="I845">
        <v>531</v>
      </c>
      <c r="J845">
        <v>356</v>
      </c>
      <c r="K845">
        <f t="shared" si="26"/>
        <v>2.4800614716091256</v>
      </c>
      <c r="L845">
        <v>189365</v>
      </c>
      <c r="M845">
        <v>585419</v>
      </c>
      <c r="N845">
        <f t="shared" si="27"/>
        <v>209.1484698861986</v>
      </c>
      <c r="O845" s="4">
        <v>45907</v>
      </c>
      <c r="P845" s="4">
        <v>45937</v>
      </c>
      <c r="Q845" t="s">
        <v>25</v>
      </c>
      <c r="R845">
        <f>Table2[[#This Row],[End_Date]]-Table2[[#This Row],[Start_Date]]</f>
        <v>30</v>
      </c>
      <c r="S845" t="str">
        <f>TEXT(Table2[[#This Row],[Start_Date]],"MMM")</f>
        <v>Sep</v>
      </c>
      <c r="T845">
        <f>YEAR(Table2[[#This Row],[Start_Date]])</f>
        <v>2025</v>
      </c>
      <c r="U845">
        <f>Table2[[#This Row],[Campaign_Cost (₹)]]/Table2[[#This Row],[Reach]]</f>
        <v>1.0034975225881668</v>
      </c>
      <c r="V845">
        <f>Table2[[#This Row],[Revenue_Generated (₹)]]/Table2[[#This Row],[Reach]]</f>
        <v>3.1022972364272277</v>
      </c>
    </row>
    <row r="846" spans="1:22" x14ac:dyDescent="0.3">
      <c r="A846" t="s">
        <v>897</v>
      </c>
      <c r="B846" t="s">
        <v>36</v>
      </c>
      <c r="C846" t="s">
        <v>28</v>
      </c>
      <c r="D846" t="s">
        <v>72</v>
      </c>
      <c r="E846">
        <v>1976143</v>
      </c>
      <c r="F846">
        <v>747262</v>
      </c>
      <c r="G846">
        <v>1305008</v>
      </c>
      <c r="H846">
        <v>43069</v>
      </c>
      <c r="I846">
        <v>3762</v>
      </c>
      <c r="J846">
        <v>2199</v>
      </c>
      <c r="K846">
        <f t="shared" si="26"/>
        <v>6.5612864028948348</v>
      </c>
      <c r="L846">
        <v>244426</v>
      </c>
      <c r="M846">
        <v>1084179</v>
      </c>
      <c r="N846">
        <f t="shared" si="27"/>
        <v>343.56124143912677</v>
      </c>
      <c r="O846" s="4">
        <v>45914</v>
      </c>
      <c r="P846" s="4">
        <v>45936</v>
      </c>
      <c r="Q846" t="s">
        <v>47</v>
      </c>
      <c r="R846">
        <f>Table2[[#This Row],[End_Date]]-Table2[[#This Row],[Start_Date]]</f>
        <v>22</v>
      </c>
      <c r="S846" t="str">
        <f>TEXT(Table2[[#This Row],[Start_Date]],"MMM")</f>
        <v>Sep</v>
      </c>
      <c r="T846">
        <f>YEAR(Table2[[#This Row],[Start_Date]])</f>
        <v>2025</v>
      </c>
      <c r="U846">
        <f>Table2[[#This Row],[Campaign_Cost (₹)]]/Table2[[#This Row],[Reach]]</f>
        <v>0.32709544978869526</v>
      </c>
      <c r="V846">
        <f>Table2[[#This Row],[Revenue_Generated (₹)]]/Table2[[#This Row],[Reach]]</f>
        <v>1.4508686377736322</v>
      </c>
    </row>
    <row r="847" spans="1:22" x14ac:dyDescent="0.3">
      <c r="A847" t="s">
        <v>898</v>
      </c>
      <c r="B847" t="s">
        <v>49</v>
      </c>
      <c r="C847" t="s">
        <v>28</v>
      </c>
      <c r="D847" t="s">
        <v>72</v>
      </c>
      <c r="E847">
        <v>1282553</v>
      </c>
      <c r="F847">
        <v>1122797</v>
      </c>
      <c r="G847">
        <v>1897264</v>
      </c>
      <c r="H847">
        <v>163095</v>
      </c>
      <c r="I847">
        <v>23689</v>
      </c>
      <c r="J847">
        <v>9241</v>
      </c>
      <c r="K847">
        <f t="shared" si="26"/>
        <v>17.458632326235286</v>
      </c>
      <c r="L847">
        <v>211944</v>
      </c>
      <c r="M847">
        <v>976807</v>
      </c>
      <c r="N847">
        <f t="shared" si="27"/>
        <v>360.87976069150341</v>
      </c>
      <c r="O847" s="4">
        <v>45981</v>
      </c>
      <c r="P847" s="4">
        <v>45998</v>
      </c>
      <c r="Q847" t="s">
        <v>54</v>
      </c>
      <c r="R847">
        <f>Table2[[#This Row],[End_Date]]-Table2[[#This Row],[Start_Date]]</f>
        <v>17</v>
      </c>
      <c r="S847" t="str">
        <f>TEXT(Table2[[#This Row],[Start_Date]],"MMM")</f>
        <v>Nov</v>
      </c>
      <c r="T847">
        <f>YEAR(Table2[[#This Row],[Start_Date]])</f>
        <v>2025</v>
      </c>
      <c r="U847">
        <f>Table2[[#This Row],[Campaign_Cost (₹)]]/Table2[[#This Row],[Reach]]</f>
        <v>0.18876430913157052</v>
      </c>
      <c r="V847">
        <f>Table2[[#This Row],[Revenue_Generated (₹)]]/Table2[[#This Row],[Reach]]</f>
        <v>0.86997649619655204</v>
      </c>
    </row>
    <row r="848" spans="1:22" x14ac:dyDescent="0.3">
      <c r="A848" t="s">
        <v>899</v>
      </c>
      <c r="B848" t="s">
        <v>27</v>
      </c>
      <c r="C848" t="s">
        <v>19</v>
      </c>
      <c r="D848" t="s">
        <v>46</v>
      </c>
      <c r="E848">
        <v>373294</v>
      </c>
      <c r="F848">
        <v>115816</v>
      </c>
      <c r="G848">
        <v>265208</v>
      </c>
      <c r="H848">
        <v>8537</v>
      </c>
      <c r="I848">
        <v>272</v>
      </c>
      <c r="J848">
        <v>207</v>
      </c>
      <c r="K848">
        <f t="shared" si="26"/>
        <v>7.7847620363334951</v>
      </c>
      <c r="L848">
        <v>142240</v>
      </c>
      <c r="M848">
        <v>274241</v>
      </c>
      <c r="N848">
        <f t="shared" si="27"/>
        <v>92.801602924634423</v>
      </c>
      <c r="O848" s="4">
        <v>45840</v>
      </c>
      <c r="P848" s="4">
        <v>45856</v>
      </c>
      <c r="Q848" t="s">
        <v>41</v>
      </c>
      <c r="R848">
        <f>Table2[[#This Row],[End_Date]]-Table2[[#This Row],[Start_Date]]</f>
        <v>16</v>
      </c>
      <c r="S848" t="str">
        <f>TEXT(Table2[[#This Row],[Start_Date]],"MMM")</f>
        <v>Jul</v>
      </c>
      <c r="T848">
        <f>YEAR(Table2[[#This Row],[Start_Date]])</f>
        <v>2025</v>
      </c>
      <c r="U848">
        <f>Table2[[#This Row],[Campaign_Cost (₹)]]/Table2[[#This Row],[Reach]]</f>
        <v>1.2281550044898806</v>
      </c>
      <c r="V848">
        <f>Table2[[#This Row],[Revenue_Generated (₹)]]/Table2[[#This Row],[Reach]]</f>
        <v>2.3679025350556056</v>
      </c>
    </row>
    <row r="849" spans="1:22" x14ac:dyDescent="0.3">
      <c r="A849" t="s">
        <v>900</v>
      </c>
      <c r="B849" t="s">
        <v>23</v>
      </c>
      <c r="C849" t="s">
        <v>33</v>
      </c>
      <c r="D849" t="s">
        <v>46</v>
      </c>
      <c r="E849">
        <v>103809</v>
      </c>
      <c r="F849">
        <v>56596</v>
      </c>
      <c r="G849">
        <v>147857</v>
      </c>
      <c r="H849">
        <v>4887</v>
      </c>
      <c r="I849">
        <v>343</v>
      </c>
      <c r="J849">
        <v>243</v>
      </c>
      <c r="K849">
        <f t="shared" si="26"/>
        <v>9.6702947204749456</v>
      </c>
      <c r="L849">
        <v>188805</v>
      </c>
      <c r="M849">
        <v>907409</v>
      </c>
      <c r="N849">
        <f t="shared" si="27"/>
        <v>380.60644580387174</v>
      </c>
      <c r="O849" s="4">
        <v>46132</v>
      </c>
      <c r="P849" s="4">
        <v>46159</v>
      </c>
      <c r="Q849" t="s">
        <v>54</v>
      </c>
      <c r="R849">
        <f>Table2[[#This Row],[End_Date]]-Table2[[#This Row],[Start_Date]]</f>
        <v>27</v>
      </c>
      <c r="S849" t="str">
        <f>TEXT(Table2[[#This Row],[Start_Date]],"MMM")</f>
        <v>Apr</v>
      </c>
      <c r="T849">
        <f>YEAR(Table2[[#This Row],[Start_Date]])</f>
        <v>2026</v>
      </c>
      <c r="U849">
        <f>Table2[[#This Row],[Campaign_Cost (₹)]]/Table2[[#This Row],[Reach]]</f>
        <v>3.3360131458053575</v>
      </c>
      <c r="V849">
        <f>Table2[[#This Row],[Revenue_Generated (₹)]]/Table2[[#This Row],[Reach]]</f>
        <v>16.033094211605061</v>
      </c>
    </row>
    <row r="850" spans="1:22" x14ac:dyDescent="0.3">
      <c r="A850" t="s">
        <v>901</v>
      </c>
      <c r="B850" t="s">
        <v>45</v>
      </c>
      <c r="C850" t="s">
        <v>37</v>
      </c>
      <c r="D850" t="s">
        <v>40</v>
      </c>
      <c r="E850">
        <v>461293</v>
      </c>
      <c r="F850">
        <v>329172</v>
      </c>
      <c r="G850">
        <v>864192</v>
      </c>
      <c r="H850">
        <v>7836</v>
      </c>
      <c r="I850">
        <v>897</v>
      </c>
      <c r="J850">
        <v>177</v>
      </c>
      <c r="K850">
        <f t="shared" si="26"/>
        <v>2.7067915861616418</v>
      </c>
      <c r="L850">
        <v>269046</v>
      </c>
      <c r="M850">
        <v>953340</v>
      </c>
      <c r="N850">
        <f t="shared" si="27"/>
        <v>254.34089337882742</v>
      </c>
      <c r="O850" s="4">
        <v>46105</v>
      </c>
      <c r="P850" s="4">
        <v>46119</v>
      </c>
      <c r="Q850" t="s">
        <v>34</v>
      </c>
      <c r="R850">
        <f>Table2[[#This Row],[End_Date]]-Table2[[#This Row],[Start_Date]]</f>
        <v>14</v>
      </c>
      <c r="S850" t="str">
        <f>TEXT(Table2[[#This Row],[Start_Date]],"MMM")</f>
        <v>Mar</v>
      </c>
      <c r="T850">
        <f>YEAR(Table2[[#This Row],[Start_Date]])</f>
        <v>2026</v>
      </c>
      <c r="U850">
        <f>Table2[[#This Row],[Campaign_Cost (₹)]]/Table2[[#This Row],[Reach]]</f>
        <v>0.81734169370420329</v>
      </c>
      <c r="V850">
        <f>Table2[[#This Row],[Revenue_Generated (₹)]]/Table2[[#This Row],[Reach]]</f>
        <v>2.8961758594291132</v>
      </c>
    </row>
    <row r="851" spans="1:22" x14ac:dyDescent="0.3">
      <c r="A851" t="s">
        <v>902</v>
      </c>
      <c r="B851" t="s">
        <v>53</v>
      </c>
      <c r="C851" t="s">
        <v>37</v>
      </c>
      <c r="D851" t="s">
        <v>72</v>
      </c>
      <c r="E851">
        <v>908788</v>
      </c>
      <c r="F851">
        <v>655657</v>
      </c>
      <c r="G851">
        <v>1920623</v>
      </c>
      <c r="H851">
        <v>80294</v>
      </c>
      <c r="I851">
        <v>8578</v>
      </c>
      <c r="J851">
        <v>7960</v>
      </c>
      <c r="K851">
        <f t="shared" si="26"/>
        <v>14.768697657464191</v>
      </c>
      <c r="L851">
        <v>48266</v>
      </c>
      <c r="M851">
        <v>127182</v>
      </c>
      <c r="N851">
        <f t="shared" si="27"/>
        <v>163.50225831848505</v>
      </c>
      <c r="O851" s="4">
        <v>45925</v>
      </c>
      <c r="P851" s="4">
        <v>45938</v>
      </c>
      <c r="Q851" t="s">
        <v>30</v>
      </c>
      <c r="R851">
        <f>Table2[[#This Row],[End_Date]]-Table2[[#This Row],[Start_Date]]</f>
        <v>13</v>
      </c>
      <c r="S851" t="str">
        <f>TEXT(Table2[[#This Row],[Start_Date]],"MMM")</f>
        <v>Sep</v>
      </c>
      <c r="T851">
        <f>YEAR(Table2[[#This Row],[Start_Date]])</f>
        <v>2025</v>
      </c>
      <c r="U851">
        <f>Table2[[#This Row],[Campaign_Cost (₹)]]/Table2[[#This Row],[Reach]]</f>
        <v>7.3614710130449304E-2</v>
      </c>
      <c r="V851">
        <f>Table2[[#This Row],[Revenue_Generated (₹)]]/Table2[[#This Row],[Reach]]</f>
        <v>0.19397642364834053</v>
      </c>
    </row>
    <row r="852" spans="1:22" x14ac:dyDescent="0.3">
      <c r="A852" t="s">
        <v>903</v>
      </c>
      <c r="B852" t="s">
        <v>75</v>
      </c>
      <c r="C852" t="s">
        <v>19</v>
      </c>
      <c r="D852" t="s">
        <v>24</v>
      </c>
      <c r="E852">
        <v>930782</v>
      </c>
      <c r="F852">
        <v>650708</v>
      </c>
      <c r="G852">
        <v>1060599</v>
      </c>
      <c r="H852">
        <v>50360</v>
      </c>
      <c r="I852">
        <v>6666</v>
      </c>
      <c r="J852">
        <v>2250</v>
      </c>
      <c r="K852">
        <f t="shared" si="26"/>
        <v>9.1094623087467816</v>
      </c>
      <c r="L852">
        <v>491370</v>
      </c>
      <c r="M852">
        <v>1531304</v>
      </c>
      <c r="N852">
        <f t="shared" si="27"/>
        <v>211.63970124346213</v>
      </c>
      <c r="O852" s="4">
        <v>45734</v>
      </c>
      <c r="P852" s="4">
        <v>45751</v>
      </c>
      <c r="Q852" t="s">
        <v>41</v>
      </c>
      <c r="R852">
        <f>Table2[[#This Row],[End_Date]]-Table2[[#This Row],[Start_Date]]</f>
        <v>17</v>
      </c>
      <c r="S852" t="str">
        <f>TEXT(Table2[[#This Row],[Start_Date]],"MMM")</f>
        <v>Mar</v>
      </c>
      <c r="T852">
        <f>YEAR(Table2[[#This Row],[Start_Date]])</f>
        <v>2025</v>
      </c>
      <c r="U852">
        <f>Table2[[#This Row],[Campaign_Cost (₹)]]/Table2[[#This Row],[Reach]]</f>
        <v>0.7551313338701845</v>
      </c>
      <c r="V852">
        <f>Table2[[#This Row],[Revenue_Generated (₹)]]/Table2[[#This Row],[Reach]]</f>
        <v>2.3532890328688136</v>
      </c>
    </row>
    <row r="853" spans="1:22" x14ac:dyDescent="0.3">
      <c r="A853" t="s">
        <v>904</v>
      </c>
      <c r="B853" t="s">
        <v>80</v>
      </c>
      <c r="C853" t="s">
        <v>28</v>
      </c>
      <c r="D853" t="s">
        <v>58</v>
      </c>
      <c r="E853">
        <v>1989951</v>
      </c>
      <c r="F853">
        <v>1729643</v>
      </c>
      <c r="G853">
        <v>3838922</v>
      </c>
      <c r="H853">
        <v>81950</v>
      </c>
      <c r="I853">
        <v>3844</v>
      </c>
      <c r="J853">
        <v>1719</v>
      </c>
      <c r="K853">
        <f t="shared" si="26"/>
        <v>5.0595990039563077</v>
      </c>
      <c r="L853">
        <v>259440</v>
      </c>
      <c r="M853">
        <v>1166007</v>
      </c>
      <c r="N853">
        <f t="shared" si="27"/>
        <v>349.43223866790009</v>
      </c>
      <c r="O853" s="4">
        <v>46098</v>
      </c>
      <c r="P853" s="4">
        <v>46119</v>
      </c>
      <c r="Q853" t="s">
        <v>30</v>
      </c>
      <c r="R853">
        <f>Table2[[#This Row],[End_Date]]-Table2[[#This Row],[Start_Date]]</f>
        <v>21</v>
      </c>
      <c r="S853" t="str">
        <f>TEXT(Table2[[#This Row],[Start_Date]],"MMM")</f>
        <v>Mar</v>
      </c>
      <c r="T853">
        <f>YEAR(Table2[[#This Row],[Start_Date]])</f>
        <v>2026</v>
      </c>
      <c r="U853">
        <f>Table2[[#This Row],[Campaign_Cost (₹)]]/Table2[[#This Row],[Reach]]</f>
        <v>0.14999627090677092</v>
      </c>
      <c r="V853">
        <f>Table2[[#This Row],[Revenue_Generated (₹)]]/Table2[[#This Row],[Reach]]</f>
        <v>0.67413159825466873</v>
      </c>
    </row>
    <row r="854" spans="1:22" x14ac:dyDescent="0.3">
      <c r="A854" t="s">
        <v>905</v>
      </c>
      <c r="B854" t="s">
        <v>103</v>
      </c>
      <c r="C854" t="s">
        <v>33</v>
      </c>
      <c r="D854" t="s">
        <v>58</v>
      </c>
      <c r="E854">
        <v>319718</v>
      </c>
      <c r="F854">
        <v>250157</v>
      </c>
      <c r="G854">
        <v>514975</v>
      </c>
      <c r="H854">
        <v>20186</v>
      </c>
      <c r="I854">
        <v>1238</v>
      </c>
      <c r="J854">
        <v>1316</v>
      </c>
      <c r="K854">
        <f t="shared" si="26"/>
        <v>9.090291297065443</v>
      </c>
      <c r="L854">
        <v>187429</v>
      </c>
      <c r="M854">
        <v>578896</v>
      </c>
      <c r="N854">
        <f t="shared" si="27"/>
        <v>208.86148888379066</v>
      </c>
      <c r="O854" s="4">
        <v>45862</v>
      </c>
      <c r="P854" s="4">
        <v>45888</v>
      </c>
      <c r="Q854" t="s">
        <v>30</v>
      </c>
      <c r="R854">
        <f>Table2[[#This Row],[End_Date]]-Table2[[#This Row],[Start_Date]]</f>
        <v>26</v>
      </c>
      <c r="S854" t="str">
        <f>TEXT(Table2[[#This Row],[Start_Date]],"MMM")</f>
        <v>Jul</v>
      </c>
      <c r="T854">
        <f>YEAR(Table2[[#This Row],[Start_Date]])</f>
        <v>2025</v>
      </c>
      <c r="U854">
        <f>Table2[[#This Row],[Campaign_Cost (₹)]]/Table2[[#This Row],[Reach]]</f>
        <v>0.7492454738424269</v>
      </c>
      <c r="V854">
        <f>Table2[[#This Row],[Revenue_Generated (₹)]]/Table2[[#This Row],[Reach]]</f>
        <v>2.3141307259041324</v>
      </c>
    </row>
    <row r="855" spans="1:22" x14ac:dyDescent="0.3">
      <c r="A855" t="s">
        <v>906</v>
      </c>
      <c r="B855" t="s">
        <v>32</v>
      </c>
      <c r="C855" t="s">
        <v>33</v>
      </c>
      <c r="D855" t="s">
        <v>24</v>
      </c>
      <c r="E855">
        <v>206038</v>
      </c>
      <c r="F855">
        <v>92379</v>
      </c>
      <c r="G855">
        <v>130148</v>
      </c>
      <c r="H855">
        <v>7913</v>
      </c>
      <c r="I855">
        <v>684</v>
      </c>
      <c r="J855">
        <v>566</v>
      </c>
      <c r="K855">
        <f t="shared" si="26"/>
        <v>9.9189209668864127</v>
      </c>
      <c r="L855">
        <v>219767</v>
      </c>
      <c r="M855">
        <v>742671</v>
      </c>
      <c r="N855">
        <f t="shared" si="27"/>
        <v>237.93563182825449</v>
      </c>
      <c r="O855" s="4">
        <v>45930</v>
      </c>
      <c r="P855" s="4">
        <v>45950</v>
      </c>
      <c r="Q855" t="s">
        <v>34</v>
      </c>
      <c r="R855">
        <f>Table2[[#This Row],[End_Date]]-Table2[[#This Row],[Start_Date]]</f>
        <v>20</v>
      </c>
      <c r="S855" t="str">
        <f>TEXT(Table2[[#This Row],[Start_Date]],"MMM")</f>
        <v>Sep</v>
      </c>
      <c r="T855">
        <f>YEAR(Table2[[#This Row],[Start_Date]])</f>
        <v>2025</v>
      </c>
      <c r="U855">
        <f>Table2[[#This Row],[Campaign_Cost (₹)]]/Table2[[#This Row],[Reach]]</f>
        <v>2.378971411251475</v>
      </c>
      <c r="V855">
        <f>Table2[[#This Row],[Revenue_Generated (₹)]]/Table2[[#This Row],[Reach]]</f>
        <v>8.0393920696262136</v>
      </c>
    </row>
    <row r="856" spans="1:22" x14ac:dyDescent="0.3">
      <c r="A856" t="s">
        <v>907</v>
      </c>
      <c r="B856" t="s">
        <v>39</v>
      </c>
      <c r="C856" t="s">
        <v>19</v>
      </c>
      <c r="D856" t="s">
        <v>72</v>
      </c>
      <c r="E856">
        <v>852178</v>
      </c>
      <c r="F856">
        <v>578072</v>
      </c>
      <c r="G856">
        <v>749541</v>
      </c>
      <c r="H856">
        <v>70195</v>
      </c>
      <c r="I856">
        <v>6466</v>
      </c>
      <c r="J856">
        <v>6155</v>
      </c>
      <c r="K856">
        <f t="shared" si="26"/>
        <v>14.326243097745609</v>
      </c>
      <c r="L856">
        <v>202336</v>
      </c>
      <c r="M856">
        <v>784645</v>
      </c>
      <c r="N856">
        <f t="shared" si="27"/>
        <v>287.79307686224894</v>
      </c>
      <c r="O856" s="4">
        <v>46105</v>
      </c>
      <c r="P856" s="4">
        <v>46116</v>
      </c>
      <c r="Q856" t="s">
        <v>21</v>
      </c>
      <c r="R856">
        <f>Table2[[#This Row],[End_Date]]-Table2[[#This Row],[Start_Date]]</f>
        <v>11</v>
      </c>
      <c r="S856" t="str">
        <f>TEXT(Table2[[#This Row],[Start_Date]],"MMM")</f>
        <v>Mar</v>
      </c>
      <c r="T856">
        <f>YEAR(Table2[[#This Row],[Start_Date]])</f>
        <v>2026</v>
      </c>
      <c r="U856">
        <f>Table2[[#This Row],[Campaign_Cost (₹)]]/Table2[[#This Row],[Reach]]</f>
        <v>0.35001868279383885</v>
      </c>
      <c r="V856">
        <f>Table2[[#This Row],[Revenue_Generated (₹)]]/Table2[[#This Row],[Reach]]</f>
        <v>1.3573482195989426</v>
      </c>
    </row>
    <row r="857" spans="1:22" x14ac:dyDescent="0.3">
      <c r="A857" t="s">
        <v>908</v>
      </c>
      <c r="B857" t="s">
        <v>27</v>
      </c>
      <c r="C857" t="s">
        <v>33</v>
      </c>
      <c r="D857" t="s">
        <v>72</v>
      </c>
      <c r="E857">
        <v>1973401</v>
      </c>
      <c r="F857">
        <v>1162012</v>
      </c>
      <c r="G857">
        <v>1909308</v>
      </c>
      <c r="H857">
        <v>60161</v>
      </c>
      <c r="I857">
        <v>2020</v>
      </c>
      <c r="J857">
        <v>3844</v>
      </c>
      <c r="K857">
        <f t="shared" si="26"/>
        <v>5.6819550916858006</v>
      </c>
      <c r="L857">
        <v>95240</v>
      </c>
      <c r="M857">
        <v>299487</v>
      </c>
      <c r="N857">
        <f t="shared" si="27"/>
        <v>214.45506089878202</v>
      </c>
      <c r="O857" s="4">
        <v>46093</v>
      </c>
      <c r="P857" s="4">
        <v>46117</v>
      </c>
      <c r="Q857" t="s">
        <v>41</v>
      </c>
      <c r="R857">
        <f>Table2[[#This Row],[End_Date]]-Table2[[#This Row],[Start_Date]]</f>
        <v>24</v>
      </c>
      <c r="S857" t="str">
        <f>TEXT(Table2[[#This Row],[Start_Date]],"MMM")</f>
        <v>Mar</v>
      </c>
      <c r="T857">
        <f>YEAR(Table2[[#This Row],[Start_Date]])</f>
        <v>2026</v>
      </c>
      <c r="U857">
        <f>Table2[[#This Row],[Campaign_Cost (₹)]]/Table2[[#This Row],[Reach]]</f>
        <v>8.1961287835237498E-2</v>
      </c>
      <c r="V857">
        <f>Table2[[#This Row],[Revenue_Generated (₹)]]/Table2[[#This Row],[Reach]]</f>
        <v>0.2577314175757221</v>
      </c>
    </row>
    <row r="858" spans="1:22" x14ac:dyDescent="0.3">
      <c r="A858" t="s">
        <v>909</v>
      </c>
      <c r="B858" t="s">
        <v>45</v>
      </c>
      <c r="C858" t="s">
        <v>33</v>
      </c>
      <c r="D858" t="s">
        <v>40</v>
      </c>
      <c r="E858">
        <v>1788258</v>
      </c>
      <c r="F858">
        <v>899080</v>
      </c>
      <c r="G858">
        <v>1263674</v>
      </c>
      <c r="H858">
        <v>113314</v>
      </c>
      <c r="I858">
        <v>6871</v>
      </c>
      <c r="J858">
        <v>7140</v>
      </c>
      <c r="K858">
        <f t="shared" si="26"/>
        <v>14.16169862526138</v>
      </c>
      <c r="L858">
        <v>402327</v>
      </c>
      <c r="M858">
        <v>913703</v>
      </c>
      <c r="N858">
        <f t="shared" si="27"/>
        <v>127.10456916886015</v>
      </c>
      <c r="O858" s="4">
        <v>46046</v>
      </c>
      <c r="P858" s="4">
        <v>46053</v>
      </c>
      <c r="Q858" t="s">
        <v>78</v>
      </c>
      <c r="R858">
        <f>Table2[[#This Row],[End_Date]]-Table2[[#This Row],[Start_Date]]</f>
        <v>7</v>
      </c>
      <c r="S858" t="str">
        <f>TEXT(Table2[[#This Row],[Start_Date]],"MMM")</f>
        <v>Jan</v>
      </c>
      <c r="T858">
        <f>YEAR(Table2[[#This Row],[Start_Date]])</f>
        <v>2026</v>
      </c>
      <c r="U858">
        <f>Table2[[#This Row],[Campaign_Cost (₹)]]/Table2[[#This Row],[Reach]]</f>
        <v>0.44748743159674331</v>
      </c>
      <c r="V858">
        <f>Table2[[#This Row],[Revenue_Generated (₹)]]/Table2[[#This Row],[Reach]]</f>
        <v>1.0162644036125819</v>
      </c>
    </row>
    <row r="859" spans="1:22" x14ac:dyDescent="0.3">
      <c r="A859" t="s">
        <v>910</v>
      </c>
      <c r="B859" t="s">
        <v>32</v>
      </c>
      <c r="C859" t="s">
        <v>37</v>
      </c>
      <c r="D859" t="s">
        <v>58</v>
      </c>
      <c r="E859">
        <v>586982</v>
      </c>
      <c r="F859">
        <v>514902</v>
      </c>
      <c r="G859">
        <v>642034</v>
      </c>
      <c r="H859">
        <v>71902</v>
      </c>
      <c r="I859">
        <v>4503</v>
      </c>
      <c r="J859">
        <v>1616</v>
      </c>
      <c r="K859">
        <f t="shared" si="26"/>
        <v>15.152592143747743</v>
      </c>
      <c r="L859">
        <v>446788</v>
      </c>
      <c r="M859">
        <v>689607</v>
      </c>
      <c r="N859">
        <f t="shared" si="27"/>
        <v>54.34769958011406</v>
      </c>
      <c r="O859" s="4">
        <v>45890</v>
      </c>
      <c r="P859" s="4">
        <v>45902</v>
      </c>
      <c r="Q859" t="s">
        <v>47</v>
      </c>
      <c r="R859">
        <f>Table2[[#This Row],[End_Date]]-Table2[[#This Row],[Start_Date]]</f>
        <v>12</v>
      </c>
      <c r="S859" t="str">
        <f>TEXT(Table2[[#This Row],[Start_Date]],"MMM")</f>
        <v>Aug</v>
      </c>
      <c r="T859">
        <f>YEAR(Table2[[#This Row],[Start_Date]])</f>
        <v>2025</v>
      </c>
      <c r="U859">
        <f>Table2[[#This Row],[Campaign_Cost (₹)]]/Table2[[#This Row],[Reach]]</f>
        <v>0.86771463307580865</v>
      </c>
      <c r="V859">
        <f>Table2[[#This Row],[Revenue_Generated (₹)]]/Table2[[#This Row],[Reach]]</f>
        <v>1.339297575072538</v>
      </c>
    </row>
    <row r="860" spans="1:22" x14ac:dyDescent="0.3">
      <c r="A860" t="s">
        <v>911</v>
      </c>
      <c r="B860" t="s">
        <v>39</v>
      </c>
      <c r="C860" t="s">
        <v>19</v>
      </c>
      <c r="D860" t="s">
        <v>46</v>
      </c>
      <c r="E860">
        <v>917649</v>
      </c>
      <c r="F860">
        <v>469216</v>
      </c>
      <c r="G860">
        <v>1096664</v>
      </c>
      <c r="H860">
        <v>22281</v>
      </c>
      <c r="I860">
        <v>2342</v>
      </c>
      <c r="J860">
        <v>774</v>
      </c>
      <c r="K860">
        <f t="shared" si="26"/>
        <v>5.4126457750801338</v>
      </c>
      <c r="L860">
        <v>176397</v>
      </c>
      <c r="M860">
        <v>874883</v>
      </c>
      <c r="N860">
        <f t="shared" si="27"/>
        <v>395.97385443063092</v>
      </c>
      <c r="O860" s="4">
        <v>46084</v>
      </c>
      <c r="P860" s="4">
        <v>46094</v>
      </c>
      <c r="Q860" t="s">
        <v>30</v>
      </c>
      <c r="R860">
        <f>Table2[[#This Row],[End_Date]]-Table2[[#This Row],[Start_Date]]</f>
        <v>10</v>
      </c>
      <c r="S860" t="str">
        <f>TEXT(Table2[[#This Row],[Start_Date]],"MMM")</f>
        <v>Mar</v>
      </c>
      <c r="T860">
        <f>YEAR(Table2[[#This Row],[Start_Date]])</f>
        <v>2026</v>
      </c>
      <c r="U860">
        <f>Table2[[#This Row],[Campaign_Cost (₹)]]/Table2[[#This Row],[Reach]]</f>
        <v>0.37593986564823023</v>
      </c>
      <c r="V860">
        <f>Table2[[#This Row],[Revenue_Generated (₹)]]/Table2[[#This Row],[Reach]]</f>
        <v>1.8645634419968629</v>
      </c>
    </row>
    <row r="861" spans="1:22" x14ac:dyDescent="0.3">
      <c r="A861" t="s">
        <v>912</v>
      </c>
      <c r="B861" t="s">
        <v>61</v>
      </c>
      <c r="C861" t="s">
        <v>37</v>
      </c>
      <c r="D861" t="s">
        <v>24</v>
      </c>
      <c r="E861">
        <v>338150</v>
      </c>
      <c r="F861">
        <v>200684</v>
      </c>
      <c r="G861">
        <v>473035</v>
      </c>
      <c r="H861">
        <v>7855</v>
      </c>
      <c r="I861">
        <v>963</v>
      </c>
      <c r="J861">
        <v>492</v>
      </c>
      <c r="K861">
        <f t="shared" si="26"/>
        <v>4.6391341611688031</v>
      </c>
      <c r="L861">
        <v>480023</v>
      </c>
      <c r="M861">
        <v>2192749</v>
      </c>
      <c r="N861">
        <f t="shared" si="27"/>
        <v>356.80081996071021</v>
      </c>
      <c r="O861" s="4">
        <v>45709</v>
      </c>
      <c r="P861" s="4">
        <v>45727</v>
      </c>
      <c r="Q861" t="s">
        <v>25</v>
      </c>
      <c r="R861">
        <f>Table2[[#This Row],[End_Date]]-Table2[[#This Row],[Start_Date]]</f>
        <v>18</v>
      </c>
      <c r="S861" t="str">
        <f>TEXT(Table2[[#This Row],[Start_Date]],"MMM")</f>
        <v>Feb</v>
      </c>
      <c r="T861">
        <f>YEAR(Table2[[#This Row],[Start_Date]])</f>
        <v>2025</v>
      </c>
      <c r="U861">
        <f>Table2[[#This Row],[Campaign_Cost (₹)]]/Table2[[#This Row],[Reach]]</f>
        <v>2.391934583723665</v>
      </c>
      <c r="V861">
        <f>Table2[[#This Row],[Revenue_Generated (₹)]]/Table2[[#This Row],[Reach]]</f>
        <v>10.926376791373503</v>
      </c>
    </row>
    <row r="862" spans="1:22" x14ac:dyDescent="0.3">
      <c r="A862" t="s">
        <v>913</v>
      </c>
      <c r="B862" t="s">
        <v>75</v>
      </c>
      <c r="C862" t="s">
        <v>19</v>
      </c>
      <c r="D862" t="s">
        <v>46</v>
      </c>
      <c r="E862">
        <v>1169983</v>
      </c>
      <c r="F862">
        <v>717012</v>
      </c>
      <c r="G862">
        <v>2072244</v>
      </c>
      <c r="H862">
        <v>19052</v>
      </c>
      <c r="I862">
        <v>1933</v>
      </c>
      <c r="J862">
        <v>578</v>
      </c>
      <c r="K862">
        <f t="shared" si="26"/>
        <v>3.0073415786625608</v>
      </c>
      <c r="L862">
        <v>474732</v>
      </c>
      <c r="M862">
        <v>1019047</v>
      </c>
      <c r="N862">
        <f t="shared" si="27"/>
        <v>114.65732244719126</v>
      </c>
      <c r="O862" s="4">
        <v>45923</v>
      </c>
      <c r="P862" s="4">
        <v>45953</v>
      </c>
      <c r="Q862" t="s">
        <v>30</v>
      </c>
      <c r="R862">
        <f>Table2[[#This Row],[End_Date]]-Table2[[#This Row],[Start_Date]]</f>
        <v>30</v>
      </c>
      <c r="S862" t="str">
        <f>TEXT(Table2[[#This Row],[Start_Date]],"MMM")</f>
        <v>Sep</v>
      </c>
      <c r="T862">
        <f>YEAR(Table2[[#This Row],[Start_Date]])</f>
        <v>2025</v>
      </c>
      <c r="U862">
        <f>Table2[[#This Row],[Campaign_Cost (₹)]]/Table2[[#This Row],[Reach]]</f>
        <v>0.66209770547773261</v>
      </c>
      <c r="V862">
        <f>Table2[[#This Row],[Revenue_Generated (₹)]]/Table2[[#This Row],[Reach]]</f>
        <v>1.4212412065627911</v>
      </c>
    </row>
    <row r="863" spans="1:22" x14ac:dyDescent="0.3">
      <c r="A863" t="s">
        <v>914</v>
      </c>
      <c r="B863" t="s">
        <v>53</v>
      </c>
      <c r="C863" t="s">
        <v>33</v>
      </c>
      <c r="D863" t="s">
        <v>24</v>
      </c>
      <c r="E863">
        <v>1966733</v>
      </c>
      <c r="F863">
        <v>874068</v>
      </c>
      <c r="G863">
        <v>2235221</v>
      </c>
      <c r="H863">
        <v>68873</v>
      </c>
      <c r="I863">
        <v>6028</v>
      </c>
      <c r="J863">
        <v>3722</v>
      </c>
      <c r="K863">
        <f t="shared" si="26"/>
        <v>8.9950667453790789</v>
      </c>
      <c r="L863">
        <v>454942</v>
      </c>
      <c r="M863">
        <v>901956</v>
      </c>
      <c r="N863">
        <f t="shared" si="27"/>
        <v>98.257360278892691</v>
      </c>
      <c r="O863" s="4">
        <v>46087</v>
      </c>
      <c r="P863" s="4">
        <v>46114</v>
      </c>
      <c r="Q863" t="s">
        <v>47</v>
      </c>
      <c r="R863">
        <f>Table2[[#This Row],[End_Date]]-Table2[[#This Row],[Start_Date]]</f>
        <v>27</v>
      </c>
      <c r="S863" t="str">
        <f>TEXT(Table2[[#This Row],[Start_Date]],"MMM")</f>
        <v>Mar</v>
      </c>
      <c r="T863">
        <f>YEAR(Table2[[#This Row],[Start_Date]])</f>
        <v>2026</v>
      </c>
      <c r="U863">
        <f>Table2[[#This Row],[Campaign_Cost (₹)]]/Table2[[#This Row],[Reach]]</f>
        <v>0.52048810847668603</v>
      </c>
      <c r="V863">
        <f>Table2[[#This Row],[Revenue_Generated (₹)]]/Table2[[#This Row],[Reach]]</f>
        <v>1.0319059844314173</v>
      </c>
    </row>
    <row r="864" spans="1:22" x14ac:dyDescent="0.3">
      <c r="A864" t="s">
        <v>915</v>
      </c>
      <c r="B864" t="s">
        <v>63</v>
      </c>
      <c r="C864" t="s">
        <v>19</v>
      </c>
      <c r="D864" t="s">
        <v>58</v>
      </c>
      <c r="E864">
        <v>1254901</v>
      </c>
      <c r="F864">
        <v>422481</v>
      </c>
      <c r="G864">
        <v>1135271</v>
      </c>
      <c r="H864">
        <v>56117</v>
      </c>
      <c r="I864">
        <v>8202</v>
      </c>
      <c r="J864">
        <v>3906</v>
      </c>
      <c r="K864">
        <f t="shared" si="26"/>
        <v>16.148655205796235</v>
      </c>
      <c r="L864">
        <v>16723</v>
      </c>
      <c r="M864">
        <v>34977</v>
      </c>
      <c r="N864">
        <f t="shared" si="27"/>
        <v>109.15505591102075</v>
      </c>
      <c r="O864" s="4">
        <v>45967</v>
      </c>
      <c r="P864" s="4">
        <v>45986</v>
      </c>
      <c r="Q864" t="s">
        <v>54</v>
      </c>
      <c r="R864">
        <f>Table2[[#This Row],[End_Date]]-Table2[[#This Row],[Start_Date]]</f>
        <v>19</v>
      </c>
      <c r="S864" t="str">
        <f>TEXT(Table2[[#This Row],[Start_Date]],"MMM")</f>
        <v>Nov</v>
      </c>
      <c r="T864">
        <f>YEAR(Table2[[#This Row],[Start_Date]])</f>
        <v>2025</v>
      </c>
      <c r="U864">
        <f>Table2[[#This Row],[Campaign_Cost (₹)]]/Table2[[#This Row],[Reach]]</f>
        <v>3.9582845145698861E-2</v>
      </c>
      <c r="V864">
        <f>Table2[[#This Row],[Revenue_Generated (₹)]]/Table2[[#This Row],[Reach]]</f>
        <v>8.2789521895659218E-2</v>
      </c>
    </row>
    <row r="865" spans="1:22" x14ac:dyDescent="0.3">
      <c r="A865" t="s">
        <v>916</v>
      </c>
      <c r="B865" t="s">
        <v>75</v>
      </c>
      <c r="C865" t="s">
        <v>28</v>
      </c>
      <c r="D865" t="s">
        <v>40</v>
      </c>
      <c r="E865">
        <v>1025145</v>
      </c>
      <c r="F865">
        <v>849933</v>
      </c>
      <c r="G865">
        <v>1252751</v>
      </c>
      <c r="H865">
        <v>120213</v>
      </c>
      <c r="I865">
        <v>6652</v>
      </c>
      <c r="J865">
        <v>3937</v>
      </c>
      <c r="K865">
        <f t="shared" si="26"/>
        <v>15.389683657417702</v>
      </c>
      <c r="L865">
        <v>325839</v>
      </c>
      <c r="M865">
        <v>1438958</v>
      </c>
      <c r="N865">
        <f t="shared" si="27"/>
        <v>341.61625833617217</v>
      </c>
      <c r="O865" s="4">
        <v>45674</v>
      </c>
      <c r="P865" s="4">
        <v>45704</v>
      </c>
      <c r="Q865" t="s">
        <v>34</v>
      </c>
      <c r="R865">
        <f>Table2[[#This Row],[End_Date]]-Table2[[#This Row],[Start_Date]]</f>
        <v>30</v>
      </c>
      <c r="S865" t="str">
        <f>TEXT(Table2[[#This Row],[Start_Date]],"MMM")</f>
        <v>Jan</v>
      </c>
      <c r="T865">
        <f>YEAR(Table2[[#This Row],[Start_Date]])</f>
        <v>2025</v>
      </c>
      <c r="U865">
        <f>Table2[[#This Row],[Campaign_Cost (₹)]]/Table2[[#This Row],[Reach]]</f>
        <v>0.38337021859370091</v>
      </c>
      <c r="V865">
        <f>Table2[[#This Row],[Revenue_Generated (₹)]]/Table2[[#This Row],[Reach]]</f>
        <v>1.6930252149287062</v>
      </c>
    </row>
    <row r="866" spans="1:22" x14ac:dyDescent="0.3">
      <c r="A866" t="s">
        <v>917</v>
      </c>
      <c r="B866" t="s">
        <v>49</v>
      </c>
      <c r="C866" t="s">
        <v>43</v>
      </c>
      <c r="D866" t="s">
        <v>29</v>
      </c>
      <c r="E866">
        <v>1722904</v>
      </c>
      <c r="F866">
        <v>1401613</v>
      </c>
      <c r="G866">
        <v>3202834</v>
      </c>
      <c r="H866">
        <v>42353</v>
      </c>
      <c r="I866">
        <v>4447</v>
      </c>
      <c r="J866">
        <v>1261</v>
      </c>
      <c r="K866">
        <f t="shared" si="26"/>
        <v>3.4289778990348978</v>
      </c>
      <c r="L866">
        <v>307043</v>
      </c>
      <c r="M866">
        <v>1348158</v>
      </c>
      <c r="N866">
        <f t="shared" si="27"/>
        <v>339.07791416837381</v>
      </c>
      <c r="O866" s="4">
        <v>46043</v>
      </c>
      <c r="P866" s="4">
        <v>46059</v>
      </c>
      <c r="Q866" t="s">
        <v>21</v>
      </c>
      <c r="R866">
        <f>Table2[[#This Row],[End_Date]]-Table2[[#This Row],[Start_Date]]</f>
        <v>16</v>
      </c>
      <c r="S866" t="str">
        <f>TEXT(Table2[[#This Row],[Start_Date]],"MMM")</f>
        <v>Jan</v>
      </c>
      <c r="T866">
        <f>YEAR(Table2[[#This Row],[Start_Date]])</f>
        <v>2026</v>
      </c>
      <c r="U866">
        <f>Table2[[#This Row],[Campaign_Cost (₹)]]/Table2[[#This Row],[Reach]]</f>
        <v>0.21906403550766154</v>
      </c>
      <c r="V866">
        <f>Table2[[#This Row],[Revenue_Generated (₹)]]/Table2[[#This Row],[Reach]]</f>
        <v>0.96186179780010606</v>
      </c>
    </row>
    <row r="867" spans="1:22" x14ac:dyDescent="0.3">
      <c r="A867" t="s">
        <v>918</v>
      </c>
      <c r="B867" t="s">
        <v>27</v>
      </c>
      <c r="C867" t="s">
        <v>19</v>
      </c>
      <c r="D867" t="s">
        <v>46</v>
      </c>
      <c r="E867">
        <v>296677</v>
      </c>
      <c r="F867">
        <v>170289</v>
      </c>
      <c r="G867">
        <v>503321</v>
      </c>
      <c r="H867">
        <v>8164</v>
      </c>
      <c r="I867">
        <v>815</v>
      </c>
      <c r="J867">
        <v>564</v>
      </c>
      <c r="K867">
        <f t="shared" si="26"/>
        <v>5.6040026073322409</v>
      </c>
      <c r="L867">
        <v>255767</v>
      </c>
      <c r="M867">
        <v>485323</v>
      </c>
      <c r="N867">
        <f t="shared" si="27"/>
        <v>89.752000844518648</v>
      </c>
      <c r="O867" s="4">
        <v>45921</v>
      </c>
      <c r="P867" s="4">
        <v>45931</v>
      </c>
      <c r="Q867" t="s">
        <v>21</v>
      </c>
      <c r="R867">
        <f>Table2[[#This Row],[End_Date]]-Table2[[#This Row],[Start_Date]]</f>
        <v>10</v>
      </c>
      <c r="S867" t="str">
        <f>TEXT(Table2[[#This Row],[Start_Date]],"MMM")</f>
        <v>Sep</v>
      </c>
      <c r="T867">
        <f>YEAR(Table2[[#This Row],[Start_Date]])</f>
        <v>2025</v>
      </c>
      <c r="U867">
        <f>Table2[[#This Row],[Campaign_Cost (₹)]]/Table2[[#This Row],[Reach]]</f>
        <v>1.5019584353657605</v>
      </c>
      <c r="V867">
        <f>Table2[[#This Row],[Revenue_Generated (₹)]]/Table2[[#This Row],[Reach]]</f>
        <v>2.8499961829595568</v>
      </c>
    </row>
    <row r="868" spans="1:22" x14ac:dyDescent="0.3">
      <c r="A868" t="s">
        <v>919</v>
      </c>
      <c r="B868" t="s">
        <v>23</v>
      </c>
      <c r="C868" t="s">
        <v>37</v>
      </c>
      <c r="D868" t="s">
        <v>72</v>
      </c>
      <c r="E868">
        <v>943144</v>
      </c>
      <c r="F868">
        <v>838819</v>
      </c>
      <c r="G868">
        <v>1714304</v>
      </c>
      <c r="H868">
        <v>18169</v>
      </c>
      <c r="I868">
        <v>2702</v>
      </c>
      <c r="J868">
        <v>1735</v>
      </c>
      <c r="K868">
        <f t="shared" si="26"/>
        <v>2.6949794890196812</v>
      </c>
      <c r="L868">
        <v>255171</v>
      </c>
      <c r="M868">
        <v>547250</v>
      </c>
      <c r="N868">
        <f t="shared" si="27"/>
        <v>114.46402608446884</v>
      </c>
      <c r="O868" s="4">
        <v>45738</v>
      </c>
      <c r="P868" s="4">
        <v>45756</v>
      </c>
      <c r="Q868" t="s">
        <v>54</v>
      </c>
      <c r="R868">
        <f>Table2[[#This Row],[End_Date]]-Table2[[#This Row],[Start_Date]]</f>
        <v>18</v>
      </c>
      <c r="S868" t="str">
        <f>TEXT(Table2[[#This Row],[Start_Date]],"MMM")</f>
        <v>Mar</v>
      </c>
      <c r="T868">
        <f>YEAR(Table2[[#This Row],[Start_Date]])</f>
        <v>2025</v>
      </c>
      <c r="U868">
        <f>Table2[[#This Row],[Campaign_Cost (₹)]]/Table2[[#This Row],[Reach]]</f>
        <v>0.3042026945026281</v>
      </c>
      <c r="V868">
        <f>Table2[[#This Row],[Revenue_Generated (₹)]]/Table2[[#This Row],[Reach]]</f>
        <v>0.65240534608777345</v>
      </c>
    </row>
    <row r="869" spans="1:22" x14ac:dyDescent="0.3">
      <c r="A869" t="s">
        <v>920</v>
      </c>
      <c r="B869" t="s">
        <v>18</v>
      </c>
      <c r="C869" t="s">
        <v>43</v>
      </c>
      <c r="D869" t="s">
        <v>24</v>
      </c>
      <c r="E869">
        <v>1531042</v>
      </c>
      <c r="F869">
        <v>939757</v>
      </c>
      <c r="G869">
        <v>2085995</v>
      </c>
      <c r="H869">
        <v>48798</v>
      </c>
      <c r="I869">
        <v>1589</v>
      </c>
      <c r="J869">
        <v>1977</v>
      </c>
      <c r="K869">
        <f t="shared" si="26"/>
        <v>5.5720787395039357</v>
      </c>
      <c r="L869">
        <v>177656</v>
      </c>
      <c r="M869">
        <v>277401</v>
      </c>
      <c r="N869">
        <f t="shared" si="27"/>
        <v>56.145021839960371</v>
      </c>
      <c r="O869" s="4">
        <v>45760</v>
      </c>
      <c r="P869" s="4">
        <v>45771</v>
      </c>
      <c r="Q869" t="s">
        <v>34</v>
      </c>
      <c r="R869">
        <f>Table2[[#This Row],[End_Date]]-Table2[[#This Row],[Start_Date]]</f>
        <v>11</v>
      </c>
      <c r="S869" t="str">
        <f>TEXT(Table2[[#This Row],[Start_Date]],"MMM")</f>
        <v>Apr</v>
      </c>
      <c r="T869">
        <f>YEAR(Table2[[#This Row],[Start_Date]])</f>
        <v>2025</v>
      </c>
      <c r="U869">
        <f>Table2[[#This Row],[Campaign_Cost (₹)]]/Table2[[#This Row],[Reach]]</f>
        <v>0.18904461472487036</v>
      </c>
      <c r="V869">
        <f>Table2[[#This Row],[Revenue_Generated (₹)]]/Table2[[#This Row],[Reach]]</f>
        <v>0.29518375494941779</v>
      </c>
    </row>
    <row r="870" spans="1:22" x14ac:dyDescent="0.3">
      <c r="A870" t="s">
        <v>921</v>
      </c>
      <c r="B870" t="s">
        <v>53</v>
      </c>
      <c r="C870" t="s">
        <v>19</v>
      </c>
      <c r="D870" t="s">
        <v>40</v>
      </c>
      <c r="E870">
        <v>1303554</v>
      </c>
      <c r="F870">
        <v>853138</v>
      </c>
      <c r="G870">
        <v>1003872</v>
      </c>
      <c r="H870">
        <v>19206</v>
      </c>
      <c r="I870">
        <v>1870</v>
      </c>
      <c r="J870">
        <v>564</v>
      </c>
      <c r="K870">
        <f t="shared" si="26"/>
        <v>2.5365181248520172</v>
      </c>
      <c r="L870">
        <v>289755</v>
      </c>
      <c r="M870">
        <v>907899</v>
      </c>
      <c r="N870">
        <f t="shared" si="27"/>
        <v>213.33333333333334</v>
      </c>
      <c r="O870" s="4">
        <v>45905</v>
      </c>
      <c r="P870" s="4">
        <v>45933</v>
      </c>
      <c r="Q870" t="s">
        <v>21</v>
      </c>
      <c r="R870">
        <f>Table2[[#This Row],[End_Date]]-Table2[[#This Row],[Start_Date]]</f>
        <v>28</v>
      </c>
      <c r="S870" t="str">
        <f>TEXT(Table2[[#This Row],[Start_Date]],"MMM")</f>
        <v>Sep</v>
      </c>
      <c r="T870">
        <f>YEAR(Table2[[#This Row],[Start_Date]])</f>
        <v>2025</v>
      </c>
      <c r="U870">
        <f>Table2[[#This Row],[Campaign_Cost (₹)]]/Table2[[#This Row],[Reach]]</f>
        <v>0.33963438505845478</v>
      </c>
      <c r="V870">
        <f>Table2[[#This Row],[Revenue_Generated (₹)]]/Table2[[#This Row],[Reach]]</f>
        <v>1.064187739849825</v>
      </c>
    </row>
    <row r="871" spans="1:22" x14ac:dyDescent="0.3">
      <c r="A871" t="s">
        <v>922</v>
      </c>
      <c r="B871" t="s">
        <v>75</v>
      </c>
      <c r="C871" t="s">
        <v>33</v>
      </c>
      <c r="D871" t="s">
        <v>51</v>
      </c>
      <c r="E871">
        <v>1931849</v>
      </c>
      <c r="F871">
        <v>1485939</v>
      </c>
      <c r="G871">
        <v>3923449</v>
      </c>
      <c r="H871">
        <v>109893</v>
      </c>
      <c r="I871">
        <v>14820</v>
      </c>
      <c r="J871">
        <v>2211</v>
      </c>
      <c r="K871">
        <f t="shared" si="26"/>
        <v>8.5416696109328853</v>
      </c>
      <c r="L871">
        <v>357788</v>
      </c>
      <c r="M871">
        <v>1161552</v>
      </c>
      <c r="N871">
        <f t="shared" si="27"/>
        <v>224.64811564390087</v>
      </c>
      <c r="O871" s="4">
        <v>45661</v>
      </c>
      <c r="P871" s="4">
        <v>45677</v>
      </c>
      <c r="Q871" t="s">
        <v>25</v>
      </c>
      <c r="R871">
        <f>Table2[[#This Row],[End_Date]]-Table2[[#This Row],[Start_Date]]</f>
        <v>16</v>
      </c>
      <c r="S871" t="str">
        <f>TEXT(Table2[[#This Row],[Start_Date]],"MMM")</f>
        <v>Jan</v>
      </c>
      <c r="T871">
        <f>YEAR(Table2[[#This Row],[Start_Date]])</f>
        <v>2025</v>
      </c>
      <c r="U871">
        <f>Table2[[#This Row],[Campaign_Cost (₹)]]/Table2[[#This Row],[Reach]]</f>
        <v>0.24078242781163964</v>
      </c>
      <c r="V871">
        <f>Table2[[#This Row],[Revenue_Generated (₹)]]/Table2[[#This Row],[Reach]]</f>
        <v>0.78169561469212401</v>
      </c>
    </row>
    <row r="872" spans="1:22" x14ac:dyDescent="0.3">
      <c r="A872" t="s">
        <v>923</v>
      </c>
      <c r="B872" t="s">
        <v>23</v>
      </c>
      <c r="C872" t="s">
        <v>19</v>
      </c>
      <c r="D872" t="s">
        <v>40</v>
      </c>
      <c r="E872">
        <v>1902494</v>
      </c>
      <c r="F872">
        <v>1625030</v>
      </c>
      <c r="G872">
        <v>1965894</v>
      </c>
      <c r="H872">
        <v>180416</v>
      </c>
      <c r="I872">
        <v>20017</v>
      </c>
      <c r="J872">
        <v>17124</v>
      </c>
      <c r="K872">
        <f t="shared" si="26"/>
        <v>13.387875916136933</v>
      </c>
      <c r="L872">
        <v>167495</v>
      </c>
      <c r="M872">
        <v>700877</v>
      </c>
      <c r="N872">
        <f t="shared" si="27"/>
        <v>318.44652079166542</v>
      </c>
      <c r="O872" s="4">
        <v>46049</v>
      </c>
      <c r="P872" s="4">
        <v>46072</v>
      </c>
      <c r="Q872" t="s">
        <v>34</v>
      </c>
      <c r="R872">
        <f>Table2[[#This Row],[End_Date]]-Table2[[#This Row],[Start_Date]]</f>
        <v>23</v>
      </c>
      <c r="S872" t="str">
        <f>TEXT(Table2[[#This Row],[Start_Date]],"MMM")</f>
        <v>Jan</v>
      </c>
      <c r="T872">
        <f>YEAR(Table2[[#This Row],[Start_Date]])</f>
        <v>2026</v>
      </c>
      <c r="U872">
        <f>Table2[[#This Row],[Campaign_Cost (₹)]]/Table2[[#This Row],[Reach]]</f>
        <v>0.10307194328720085</v>
      </c>
      <c r="V872">
        <f>Table2[[#This Row],[Revenue_Generated (₹)]]/Table2[[#This Row],[Reach]]</f>
        <v>0.4313009605976505</v>
      </c>
    </row>
    <row r="873" spans="1:22" x14ac:dyDescent="0.3">
      <c r="A873" t="s">
        <v>924</v>
      </c>
      <c r="B873" t="s">
        <v>103</v>
      </c>
      <c r="C873" t="s">
        <v>37</v>
      </c>
      <c r="D873" t="s">
        <v>24</v>
      </c>
      <c r="E873">
        <v>278734</v>
      </c>
      <c r="F873">
        <v>180758</v>
      </c>
      <c r="G873">
        <v>325578</v>
      </c>
      <c r="H873">
        <v>24988</v>
      </c>
      <c r="I873">
        <v>3041</v>
      </c>
      <c r="J873">
        <v>1942</v>
      </c>
      <c r="K873">
        <f t="shared" si="26"/>
        <v>16.58073224974828</v>
      </c>
      <c r="L873">
        <v>98009</v>
      </c>
      <c r="M873">
        <v>381862</v>
      </c>
      <c r="N873">
        <f t="shared" si="27"/>
        <v>289.61932067463192</v>
      </c>
      <c r="O873" s="4">
        <v>45714</v>
      </c>
      <c r="P873" s="4">
        <v>45743</v>
      </c>
      <c r="Q873" t="s">
        <v>25</v>
      </c>
      <c r="R873">
        <f>Table2[[#This Row],[End_Date]]-Table2[[#This Row],[Start_Date]]</f>
        <v>29</v>
      </c>
      <c r="S873" t="str">
        <f>TEXT(Table2[[#This Row],[Start_Date]],"MMM")</f>
        <v>Feb</v>
      </c>
      <c r="T873">
        <f>YEAR(Table2[[#This Row],[Start_Date]])</f>
        <v>2025</v>
      </c>
      <c r="U873">
        <f>Table2[[#This Row],[Campaign_Cost (₹)]]/Table2[[#This Row],[Reach]]</f>
        <v>0.54221113311720648</v>
      </c>
      <c r="V873">
        <f>Table2[[#This Row],[Revenue_Generated (₹)]]/Table2[[#This Row],[Reach]]</f>
        <v>2.112559333473484</v>
      </c>
    </row>
    <row r="874" spans="1:22" x14ac:dyDescent="0.3">
      <c r="A874" t="s">
        <v>925</v>
      </c>
      <c r="B874" t="s">
        <v>63</v>
      </c>
      <c r="C874" t="s">
        <v>37</v>
      </c>
      <c r="D874" t="s">
        <v>72</v>
      </c>
      <c r="E874">
        <v>1156631</v>
      </c>
      <c r="F874">
        <v>295027</v>
      </c>
      <c r="G874">
        <v>392442</v>
      </c>
      <c r="H874">
        <v>31568</v>
      </c>
      <c r="I874">
        <v>2071</v>
      </c>
      <c r="J874">
        <v>874</v>
      </c>
      <c r="K874">
        <f t="shared" si="26"/>
        <v>11.698251346486932</v>
      </c>
      <c r="L874">
        <v>432471</v>
      </c>
      <c r="M874">
        <v>2095029</v>
      </c>
      <c r="N874">
        <f t="shared" si="27"/>
        <v>384.4322509486185</v>
      </c>
      <c r="O874" s="4">
        <v>45794</v>
      </c>
      <c r="P874" s="4">
        <v>45824</v>
      </c>
      <c r="Q874" t="s">
        <v>47</v>
      </c>
      <c r="R874">
        <f>Table2[[#This Row],[End_Date]]-Table2[[#This Row],[Start_Date]]</f>
        <v>30</v>
      </c>
      <c r="S874" t="str">
        <f>TEXT(Table2[[#This Row],[Start_Date]],"MMM")</f>
        <v>May</v>
      </c>
      <c r="T874">
        <f>YEAR(Table2[[#This Row],[Start_Date]])</f>
        <v>2025</v>
      </c>
      <c r="U874">
        <f>Table2[[#This Row],[Campaign_Cost (₹)]]/Table2[[#This Row],[Reach]]</f>
        <v>1.4658692255285108</v>
      </c>
      <c r="V874">
        <f>Table2[[#This Row],[Revenue_Generated (₹)]]/Table2[[#This Row],[Reach]]</f>
        <v>7.1011432851908474</v>
      </c>
    </row>
    <row r="875" spans="1:22" x14ac:dyDescent="0.3">
      <c r="A875" t="s">
        <v>926</v>
      </c>
      <c r="B875" t="s">
        <v>103</v>
      </c>
      <c r="C875" t="s">
        <v>28</v>
      </c>
      <c r="D875" t="s">
        <v>58</v>
      </c>
      <c r="E875">
        <v>1938274</v>
      </c>
      <c r="F875">
        <v>1314070</v>
      </c>
      <c r="G875">
        <v>2420894</v>
      </c>
      <c r="H875">
        <v>165433</v>
      </c>
      <c r="I875">
        <v>24324</v>
      </c>
      <c r="J875">
        <v>5393</v>
      </c>
      <c r="K875">
        <f t="shared" si="26"/>
        <v>14.850807034632856</v>
      </c>
      <c r="L875">
        <v>464583</v>
      </c>
      <c r="M875">
        <v>1808425</v>
      </c>
      <c r="N875">
        <f t="shared" si="27"/>
        <v>289.2576783911594</v>
      </c>
      <c r="O875" s="4">
        <v>46062</v>
      </c>
      <c r="P875" s="4">
        <v>46079</v>
      </c>
      <c r="Q875" t="s">
        <v>30</v>
      </c>
      <c r="R875">
        <f>Table2[[#This Row],[End_Date]]-Table2[[#This Row],[Start_Date]]</f>
        <v>17</v>
      </c>
      <c r="S875" t="str">
        <f>TEXT(Table2[[#This Row],[Start_Date]],"MMM")</f>
        <v>Feb</v>
      </c>
      <c r="T875">
        <f>YEAR(Table2[[#This Row],[Start_Date]])</f>
        <v>2026</v>
      </c>
      <c r="U875">
        <f>Table2[[#This Row],[Campaign_Cost (₹)]]/Table2[[#This Row],[Reach]]</f>
        <v>0.35354509272717588</v>
      </c>
      <c r="V875">
        <f>Table2[[#This Row],[Revenue_Generated (₹)]]/Table2[[#This Row],[Reach]]</f>
        <v>1.3762014200156765</v>
      </c>
    </row>
    <row r="876" spans="1:22" x14ac:dyDescent="0.3">
      <c r="A876" t="s">
        <v>927</v>
      </c>
      <c r="B876" t="s">
        <v>61</v>
      </c>
      <c r="C876" t="s">
        <v>43</v>
      </c>
      <c r="D876" t="s">
        <v>40</v>
      </c>
      <c r="E876">
        <v>1764152</v>
      </c>
      <c r="F876">
        <v>620759</v>
      </c>
      <c r="G876">
        <v>1432010</v>
      </c>
      <c r="H876">
        <v>91825</v>
      </c>
      <c r="I876">
        <v>10965</v>
      </c>
      <c r="J876">
        <v>5877</v>
      </c>
      <c r="K876">
        <f t="shared" si="26"/>
        <v>17.505505357151488</v>
      </c>
      <c r="L876">
        <v>30976</v>
      </c>
      <c r="M876">
        <v>119269</v>
      </c>
      <c r="N876">
        <f t="shared" si="27"/>
        <v>285.03680268595042</v>
      </c>
      <c r="O876" s="4">
        <v>45819</v>
      </c>
      <c r="P876" s="4">
        <v>45844</v>
      </c>
      <c r="Q876" t="s">
        <v>21</v>
      </c>
      <c r="R876">
        <f>Table2[[#This Row],[End_Date]]-Table2[[#This Row],[Start_Date]]</f>
        <v>25</v>
      </c>
      <c r="S876" t="str">
        <f>TEXT(Table2[[#This Row],[Start_Date]],"MMM")</f>
        <v>Jun</v>
      </c>
      <c r="T876">
        <f>YEAR(Table2[[#This Row],[Start_Date]])</f>
        <v>2025</v>
      </c>
      <c r="U876">
        <f>Table2[[#This Row],[Campaign_Cost (₹)]]/Table2[[#This Row],[Reach]]</f>
        <v>4.9900202816229811E-2</v>
      </c>
      <c r="V876">
        <f>Table2[[#This Row],[Revenue_Generated (₹)]]/Table2[[#This Row],[Reach]]</f>
        <v>0.19213414545741583</v>
      </c>
    </row>
    <row r="877" spans="1:22" x14ac:dyDescent="0.3">
      <c r="A877" t="s">
        <v>928</v>
      </c>
      <c r="B877" t="s">
        <v>32</v>
      </c>
      <c r="C877" t="s">
        <v>33</v>
      </c>
      <c r="D877" t="s">
        <v>51</v>
      </c>
      <c r="E877">
        <v>388438</v>
      </c>
      <c r="F877">
        <v>307045</v>
      </c>
      <c r="G877">
        <v>809541</v>
      </c>
      <c r="H877">
        <v>32330</v>
      </c>
      <c r="I877">
        <v>4567</v>
      </c>
      <c r="J877">
        <v>1197</v>
      </c>
      <c r="K877">
        <f t="shared" si="26"/>
        <v>12.40665049097038</v>
      </c>
      <c r="L877">
        <v>360732</v>
      </c>
      <c r="M877">
        <v>612751</v>
      </c>
      <c r="N877">
        <f t="shared" si="27"/>
        <v>69.863222558575345</v>
      </c>
      <c r="O877" s="4">
        <v>46044</v>
      </c>
      <c r="P877" s="4">
        <v>46065</v>
      </c>
      <c r="Q877" t="s">
        <v>41</v>
      </c>
      <c r="R877">
        <f>Table2[[#This Row],[End_Date]]-Table2[[#This Row],[Start_Date]]</f>
        <v>21</v>
      </c>
      <c r="S877" t="str">
        <f>TEXT(Table2[[#This Row],[Start_Date]],"MMM")</f>
        <v>Jan</v>
      </c>
      <c r="T877">
        <f>YEAR(Table2[[#This Row],[Start_Date]])</f>
        <v>2026</v>
      </c>
      <c r="U877">
        <f>Table2[[#This Row],[Campaign_Cost (₹)]]/Table2[[#This Row],[Reach]]</f>
        <v>1.1748505919327785</v>
      </c>
      <c r="V877">
        <f>Table2[[#This Row],[Revenue_Generated (₹)]]/Table2[[#This Row],[Reach]]</f>
        <v>1.9956390757055156</v>
      </c>
    </row>
    <row r="878" spans="1:22" x14ac:dyDescent="0.3">
      <c r="A878" t="s">
        <v>929</v>
      </c>
      <c r="B878" t="s">
        <v>18</v>
      </c>
      <c r="C878" t="s">
        <v>33</v>
      </c>
      <c r="D878" t="s">
        <v>20</v>
      </c>
      <c r="E878">
        <v>1593588</v>
      </c>
      <c r="F878">
        <v>1092007</v>
      </c>
      <c r="G878">
        <v>1323028</v>
      </c>
      <c r="H878">
        <v>70108</v>
      </c>
      <c r="I878">
        <v>9743</v>
      </c>
      <c r="J878">
        <v>1830</v>
      </c>
      <c r="K878">
        <f t="shared" si="26"/>
        <v>7.4798971068866775</v>
      </c>
      <c r="L878">
        <v>33454</v>
      </c>
      <c r="M878">
        <v>51350</v>
      </c>
      <c r="N878">
        <f t="shared" si="27"/>
        <v>53.49435045136606</v>
      </c>
      <c r="O878" s="4">
        <v>46017</v>
      </c>
      <c r="P878" s="4">
        <v>46024</v>
      </c>
      <c r="Q878" t="s">
        <v>25</v>
      </c>
      <c r="R878">
        <f>Table2[[#This Row],[End_Date]]-Table2[[#This Row],[Start_Date]]</f>
        <v>7</v>
      </c>
      <c r="S878" t="str">
        <f>TEXT(Table2[[#This Row],[Start_Date]],"MMM")</f>
        <v>Dec</v>
      </c>
      <c r="T878">
        <f>YEAR(Table2[[#This Row],[Start_Date]])</f>
        <v>2025</v>
      </c>
      <c r="U878">
        <f>Table2[[#This Row],[Campaign_Cost (₹)]]/Table2[[#This Row],[Reach]]</f>
        <v>3.0635334755180141E-2</v>
      </c>
      <c r="V878">
        <f>Table2[[#This Row],[Revenue_Generated (₹)]]/Table2[[#This Row],[Reach]]</f>
        <v>4.7023508091065348E-2</v>
      </c>
    </row>
    <row r="879" spans="1:22" x14ac:dyDescent="0.3">
      <c r="A879" t="s">
        <v>930</v>
      </c>
      <c r="B879" t="s">
        <v>18</v>
      </c>
      <c r="C879" t="s">
        <v>19</v>
      </c>
      <c r="D879" t="s">
        <v>58</v>
      </c>
      <c r="E879">
        <v>83023</v>
      </c>
      <c r="F879">
        <v>62471</v>
      </c>
      <c r="G879">
        <v>147642</v>
      </c>
      <c r="H879">
        <v>3918</v>
      </c>
      <c r="I879">
        <v>377</v>
      </c>
      <c r="J879">
        <v>295</v>
      </c>
      <c r="K879">
        <f t="shared" si="26"/>
        <v>7.34740919786781</v>
      </c>
      <c r="L879">
        <v>329606</v>
      </c>
      <c r="M879">
        <v>1527225</v>
      </c>
      <c r="N879">
        <f t="shared" si="27"/>
        <v>363.348664769452</v>
      </c>
      <c r="O879" s="4">
        <v>45751</v>
      </c>
      <c r="P879" s="4">
        <v>45774</v>
      </c>
      <c r="Q879" t="s">
        <v>30</v>
      </c>
      <c r="R879">
        <f>Table2[[#This Row],[End_Date]]-Table2[[#This Row],[Start_Date]]</f>
        <v>23</v>
      </c>
      <c r="S879" t="str">
        <f>TEXT(Table2[[#This Row],[Start_Date]],"MMM")</f>
        <v>Apr</v>
      </c>
      <c r="T879">
        <f>YEAR(Table2[[#This Row],[Start_Date]])</f>
        <v>2025</v>
      </c>
      <c r="U879">
        <f>Table2[[#This Row],[Campaign_Cost (₹)]]/Table2[[#This Row],[Reach]]</f>
        <v>5.2761441308767267</v>
      </c>
      <c r="V879">
        <f>Table2[[#This Row],[Revenue_Generated (₹)]]/Table2[[#This Row],[Reach]]</f>
        <v>24.446943381729124</v>
      </c>
    </row>
    <row r="880" spans="1:22" x14ac:dyDescent="0.3">
      <c r="A880" t="s">
        <v>931</v>
      </c>
      <c r="B880" t="s">
        <v>53</v>
      </c>
      <c r="C880" t="s">
        <v>19</v>
      </c>
      <c r="D880" t="s">
        <v>46</v>
      </c>
      <c r="E880">
        <v>1735258</v>
      </c>
      <c r="F880">
        <v>435793</v>
      </c>
      <c r="G880">
        <v>1048784</v>
      </c>
      <c r="H880">
        <v>32508</v>
      </c>
      <c r="I880">
        <v>4383</v>
      </c>
      <c r="J880">
        <v>2879</v>
      </c>
      <c r="K880">
        <f t="shared" si="26"/>
        <v>9.1258923387938768</v>
      </c>
      <c r="L880">
        <v>446020</v>
      </c>
      <c r="M880">
        <v>1804411</v>
      </c>
      <c r="N880">
        <f t="shared" si="27"/>
        <v>304.55831577059325</v>
      </c>
      <c r="O880" s="4">
        <v>45789</v>
      </c>
      <c r="P880" s="4">
        <v>45799</v>
      </c>
      <c r="Q880" t="s">
        <v>25</v>
      </c>
      <c r="R880">
        <f>Table2[[#This Row],[End_Date]]-Table2[[#This Row],[Start_Date]]</f>
        <v>10</v>
      </c>
      <c r="S880" t="str">
        <f>TEXT(Table2[[#This Row],[Start_Date]],"MMM")</f>
        <v>May</v>
      </c>
      <c r="T880">
        <f>YEAR(Table2[[#This Row],[Start_Date]])</f>
        <v>2025</v>
      </c>
      <c r="U880">
        <f>Table2[[#This Row],[Campaign_Cost (₹)]]/Table2[[#This Row],[Reach]]</f>
        <v>1.023467563728651</v>
      </c>
      <c r="V880">
        <f>Table2[[#This Row],[Revenue_Generated (₹)]]/Table2[[#This Row],[Reach]]</f>
        <v>4.1405231382789536</v>
      </c>
    </row>
    <row r="881" spans="1:22" x14ac:dyDescent="0.3">
      <c r="A881" t="s">
        <v>932</v>
      </c>
      <c r="B881" t="s">
        <v>23</v>
      </c>
      <c r="C881" t="s">
        <v>33</v>
      </c>
      <c r="D881" t="s">
        <v>51</v>
      </c>
      <c r="E881">
        <v>1477957</v>
      </c>
      <c r="F881">
        <v>965695</v>
      </c>
      <c r="G881">
        <v>1168372</v>
      </c>
      <c r="H881">
        <v>23810</v>
      </c>
      <c r="I881">
        <v>3143</v>
      </c>
      <c r="J881">
        <v>950</v>
      </c>
      <c r="K881">
        <f t="shared" si="26"/>
        <v>2.8894216082717628</v>
      </c>
      <c r="L881">
        <v>166901</v>
      </c>
      <c r="M881">
        <v>466528</v>
      </c>
      <c r="N881">
        <f t="shared" si="27"/>
        <v>179.52378955189005</v>
      </c>
      <c r="O881" s="4">
        <v>46083</v>
      </c>
      <c r="P881" s="4">
        <v>46101</v>
      </c>
      <c r="Q881" t="s">
        <v>41</v>
      </c>
      <c r="R881">
        <f>Table2[[#This Row],[End_Date]]-Table2[[#This Row],[Start_Date]]</f>
        <v>18</v>
      </c>
      <c r="S881" t="str">
        <f>TEXT(Table2[[#This Row],[Start_Date]],"MMM")</f>
        <v>Mar</v>
      </c>
      <c r="T881">
        <f>YEAR(Table2[[#This Row],[Start_Date]])</f>
        <v>2026</v>
      </c>
      <c r="U881">
        <f>Table2[[#This Row],[Campaign_Cost (₹)]]/Table2[[#This Row],[Reach]]</f>
        <v>0.17282993077524478</v>
      </c>
      <c r="V881">
        <f>Table2[[#This Row],[Revenue_Generated (₹)]]/Table2[[#This Row],[Reach]]</f>
        <v>0.48310077198287243</v>
      </c>
    </row>
    <row r="882" spans="1:22" x14ac:dyDescent="0.3">
      <c r="A882" t="s">
        <v>933</v>
      </c>
      <c r="B882" t="s">
        <v>18</v>
      </c>
      <c r="C882" t="s">
        <v>33</v>
      </c>
      <c r="D882" t="s">
        <v>58</v>
      </c>
      <c r="E882">
        <v>430694</v>
      </c>
      <c r="F882">
        <v>170998</v>
      </c>
      <c r="G882">
        <v>415011</v>
      </c>
      <c r="H882">
        <v>3503</v>
      </c>
      <c r="I882">
        <v>137</v>
      </c>
      <c r="J882">
        <v>105</v>
      </c>
      <c r="K882">
        <f t="shared" si="26"/>
        <v>2.1900840945508135</v>
      </c>
      <c r="L882">
        <v>496933</v>
      </c>
      <c r="M882">
        <v>656083</v>
      </c>
      <c r="N882">
        <f t="shared" si="27"/>
        <v>32.026450245807787</v>
      </c>
      <c r="O882" s="4">
        <v>46132</v>
      </c>
      <c r="P882" s="4">
        <v>46145</v>
      </c>
      <c r="Q882" t="s">
        <v>54</v>
      </c>
      <c r="R882">
        <f>Table2[[#This Row],[End_Date]]-Table2[[#This Row],[Start_Date]]</f>
        <v>13</v>
      </c>
      <c r="S882" t="str">
        <f>TEXT(Table2[[#This Row],[Start_Date]],"MMM")</f>
        <v>Apr</v>
      </c>
      <c r="T882">
        <f>YEAR(Table2[[#This Row],[Start_Date]])</f>
        <v>2026</v>
      </c>
      <c r="U882">
        <f>Table2[[#This Row],[Campaign_Cost (₹)]]/Table2[[#This Row],[Reach]]</f>
        <v>2.9060749248529221</v>
      </c>
      <c r="V882">
        <f>Table2[[#This Row],[Revenue_Generated (₹)]]/Table2[[#This Row],[Reach]]</f>
        <v>3.8367875647668392</v>
      </c>
    </row>
    <row r="883" spans="1:22" x14ac:dyDescent="0.3">
      <c r="A883" t="s">
        <v>934</v>
      </c>
      <c r="B883" t="s">
        <v>63</v>
      </c>
      <c r="C883" t="s">
        <v>19</v>
      </c>
      <c r="D883" t="s">
        <v>46</v>
      </c>
      <c r="E883">
        <v>353241</v>
      </c>
      <c r="F883">
        <v>133887</v>
      </c>
      <c r="G883">
        <v>305939</v>
      </c>
      <c r="H883">
        <v>7937</v>
      </c>
      <c r="I883">
        <v>723</v>
      </c>
      <c r="J883">
        <v>228</v>
      </c>
      <c r="K883">
        <f t="shared" si="26"/>
        <v>6.6384339032168924</v>
      </c>
      <c r="L883">
        <v>354856</v>
      </c>
      <c r="M883">
        <v>1604504</v>
      </c>
      <c r="N883">
        <f t="shared" si="27"/>
        <v>352.15636765335796</v>
      </c>
      <c r="O883" s="4">
        <v>45917</v>
      </c>
      <c r="P883" s="4">
        <v>45944</v>
      </c>
      <c r="Q883" t="s">
        <v>41</v>
      </c>
      <c r="R883">
        <f>Table2[[#This Row],[End_Date]]-Table2[[#This Row],[Start_Date]]</f>
        <v>27</v>
      </c>
      <c r="S883" t="str">
        <f>TEXT(Table2[[#This Row],[Start_Date]],"MMM")</f>
        <v>Sep</v>
      </c>
      <c r="T883">
        <f>YEAR(Table2[[#This Row],[Start_Date]])</f>
        <v>2025</v>
      </c>
      <c r="U883">
        <f>Table2[[#This Row],[Campaign_Cost (₹)]]/Table2[[#This Row],[Reach]]</f>
        <v>2.6504141552204472</v>
      </c>
      <c r="V883">
        <f>Table2[[#This Row],[Revenue_Generated (₹)]]/Table2[[#This Row],[Reach]]</f>
        <v>11.984016372015207</v>
      </c>
    </row>
    <row r="884" spans="1:22" x14ac:dyDescent="0.3">
      <c r="A884" t="s">
        <v>935</v>
      </c>
      <c r="B884" t="s">
        <v>36</v>
      </c>
      <c r="C884" t="s">
        <v>37</v>
      </c>
      <c r="D884" t="s">
        <v>58</v>
      </c>
      <c r="E884">
        <v>839431</v>
      </c>
      <c r="F884">
        <v>446174</v>
      </c>
      <c r="G884">
        <v>1194144</v>
      </c>
      <c r="H884">
        <v>42560</v>
      </c>
      <c r="I884">
        <v>2290</v>
      </c>
      <c r="J884">
        <v>2443</v>
      </c>
      <c r="K884">
        <f t="shared" si="26"/>
        <v>10.599676359447212</v>
      </c>
      <c r="L884">
        <v>190522</v>
      </c>
      <c r="M884">
        <v>762545</v>
      </c>
      <c r="N884">
        <f t="shared" si="27"/>
        <v>300.2398673119115</v>
      </c>
      <c r="O884" s="4">
        <v>45947</v>
      </c>
      <c r="P884" s="4">
        <v>45977</v>
      </c>
      <c r="Q884" t="s">
        <v>21</v>
      </c>
      <c r="R884">
        <f>Table2[[#This Row],[End_Date]]-Table2[[#This Row],[Start_Date]]</f>
        <v>30</v>
      </c>
      <c r="S884" t="str">
        <f>TEXT(Table2[[#This Row],[Start_Date]],"MMM")</f>
        <v>Oct</v>
      </c>
      <c r="T884">
        <f>YEAR(Table2[[#This Row],[Start_Date]])</f>
        <v>2025</v>
      </c>
      <c r="U884">
        <f>Table2[[#This Row],[Campaign_Cost (₹)]]/Table2[[#This Row],[Reach]]</f>
        <v>0.42701277976753466</v>
      </c>
      <c r="V884">
        <f>Table2[[#This Row],[Revenue_Generated (₹)]]/Table2[[#This Row],[Reach]]</f>
        <v>1.7090753831464855</v>
      </c>
    </row>
    <row r="885" spans="1:22" x14ac:dyDescent="0.3">
      <c r="A885" t="s">
        <v>936</v>
      </c>
      <c r="B885" t="s">
        <v>53</v>
      </c>
      <c r="C885" t="s">
        <v>33</v>
      </c>
      <c r="D885" t="s">
        <v>51</v>
      </c>
      <c r="E885">
        <v>647348</v>
      </c>
      <c r="F885">
        <v>312143</v>
      </c>
      <c r="G885">
        <v>633459</v>
      </c>
      <c r="H885">
        <v>37494</v>
      </c>
      <c r="I885">
        <v>4143</v>
      </c>
      <c r="J885">
        <v>1195</v>
      </c>
      <c r="K885">
        <f t="shared" si="26"/>
        <v>13.721915916743288</v>
      </c>
      <c r="L885">
        <v>337172</v>
      </c>
      <c r="M885">
        <v>541036</v>
      </c>
      <c r="N885">
        <f t="shared" si="27"/>
        <v>60.462909138362619</v>
      </c>
      <c r="O885" s="4">
        <v>46111</v>
      </c>
      <c r="P885" s="4">
        <v>46127</v>
      </c>
      <c r="Q885" t="s">
        <v>41</v>
      </c>
      <c r="R885">
        <f>Table2[[#This Row],[End_Date]]-Table2[[#This Row],[Start_Date]]</f>
        <v>16</v>
      </c>
      <c r="S885" t="str">
        <f>TEXT(Table2[[#This Row],[Start_Date]],"MMM")</f>
        <v>Mar</v>
      </c>
      <c r="T885">
        <f>YEAR(Table2[[#This Row],[Start_Date]])</f>
        <v>2026</v>
      </c>
      <c r="U885">
        <f>Table2[[#This Row],[Campaign_Cost (₹)]]/Table2[[#This Row],[Reach]]</f>
        <v>1.0801844026616005</v>
      </c>
      <c r="V885">
        <f>Table2[[#This Row],[Revenue_Generated (₹)]]/Table2[[#This Row],[Reach]]</f>
        <v>1.7332953165696492</v>
      </c>
    </row>
    <row r="886" spans="1:22" x14ac:dyDescent="0.3">
      <c r="A886" t="s">
        <v>937</v>
      </c>
      <c r="B886" t="s">
        <v>36</v>
      </c>
      <c r="C886" t="s">
        <v>33</v>
      </c>
      <c r="D886" t="s">
        <v>29</v>
      </c>
      <c r="E886">
        <v>961152</v>
      </c>
      <c r="F886">
        <v>324621</v>
      </c>
      <c r="G886">
        <v>741925</v>
      </c>
      <c r="H886">
        <v>47683</v>
      </c>
      <c r="I886">
        <v>5312</v>
      </c>
      <c r="J886">
        <v>2099</v>
      </c>
      <c r="K886">
        <f t="shared" si="26"/>
        <v>16.97179172019062</v>
      </c>
      <c r="L886">
        <v>139251</v>
      </c>
      <c r="M886">
        <v>356085</v>
      </c>
      <c r="N886">
        <f t="shared" si="27"/>
        <v>155.71450115259495</v>
      </c>
      <c r="O886" s="4">
        <v>46136</v>
      </c>
      <c r="P886" s="4">
        <v>46157</v>
      </c>
      <c r="Q886" t="s">
        <v>34</v>
      </c>
      <c r="R886">
        <f>Table2[[#This Row],[End_Date]]-Table2[[#This Row],[Start_Date]]</f>
        <v>21</v>
      </c>
      <c r="S886" t="str">
        <f>TEXT(Table2[[#This Row],[Start_Date]],"MMM")</f>
        <v>Apr</v>
      </c>
      <c r="T886">
        <f>YEAR(Table2[[#This Row],[Start_Date]])</f>
        <v>2026</v>
      </c>
      <c r="U886">
        <f>Table2[[#This Row],[Campaign_Cost (₹)]]/Table2[[#This Row],[Reach]]</f>
        <v>0.4289648543994381</v>
      </c>
      <c r="V886">
        <f>Table2[[#This Row],[Revenue_Generated (₹)]]/Table2[[#This Row],[Reach]]</f>
        <v>1.0969253375474783</v>
      </c>
    </row>
    <row r="887" spans="1:22" x14ac:dyDescent="0.3">
      <c r="A887" t="s">
        <v>938</v>
      </c>
      <c r="B887" t="s">
        <v>45</v>
      </c>
      <c r="C887" t="s">
        <v>43</v>
      </c>
      <c r="D887" t="s">
        <v>51</v>
      </c>
      <c r="E887">
        <v>763792</v>
      </c>
      <c r="F887">
        <v>450824</v>
      </c>
      <c r="G887">
        <v>566470</v>
      </c>
      <c r="H887">
        <v>38896</v>
      </c>
      <c r="I887">
        <v>2615</v>
      </c>
      <c r="J887">
        <v>3003</v>
      </c>
      <c r="K887">
        <f t="shared" si="26"/>
        <v>9.8739197558248897</v>
      </c>
      <c r="L887">
        <v>486414</v>
      </c>
      <c r="M887">
        <v>826102</v>
      </c>
      <c r="N887">
        <f t="shared" si="27"/>
        <v>69.835160994543742</v>
      </c>
      <c r="O887" s="4">
        <v>46052</v>
      </c>
      <c r="P887" s="4">
        <v>46062</v>
      </c>
      <c r="Q887" t="s">
        <v>21</v>
      </c>
      <c r="R887">
        <f>Table2[[#This Row],[End_Date]]-Table2[[#This Row],[Start_Date]]</f>
        <v>10</v>
      </c>
      <c r="S887" t="str">
        <f>TEXT(Table2[[#This Row],[Start_Date]],"MMM")</f>
        <v>Jan</v>
      </c>
      <c r="T887">
        <f>YEAR(Table2[[#This Row],[Start_Date]])</f>
        <v>2026</v>
      </c>
      <c r="U887">
        <f>Table2[[#This Row],[Campaign_Cost (₹)]]/Table2[[#This Row],[Reach]]</f>
        <v>1.0789443330434938</v>
      </c>
      <c r="V887">
        <f>Table2[[#This Row],[Revenue_Generated (₹)]]/Table2[[#This Row],[Reach]]</f>
        <v>1.8324268450659238</v>
      </c>
    </row>
    <row r="888" spans="1:22" x14ac:dyDescent="0.3">
      <c r="A888" t="s">
        <v>939</v>
      </c>
      <c r="B888" t="s">
        <v>75</v>
      </c>
      <c r="C888" t="s">
        <v>43</v>
      </c>
      <c r="D888" t="s">
        <v>46</v>
      </c>
      <c r="E888">
        <v>437276</v>
      </c>
      <c r="F888">
        <v>357881</v>
      </c>
      <c r="G888">
        <v>931026</v>
      </c>
      <c r="H888">
        <v>34284</v>
      </c>
      <c r="I888">
        <v>3759</v>
      </c>
      <c r="J888">
        <v>1995</v>
      </c>
      <c r="K888">
        <f t="shared" si="26"/>
        <v>11.187517638544655</v>
      </c>
      <c r="L888">
        <v>23098</v>
      </c>
      <c r="M888">
        <v>29001</v>
      </c>
      <c r="N888">
        <f t="shared" si="27"/>
        <v>25.556325222963029</v>
      </c>
      <c r="O888" s="4">
        <v>46060</v>
      </c>
      <c r="P888" s="4">
        <v>46075</v>
      </c>
      <c r="Q888" t="s">
        <v>47</v>
      </c>
      <c r="R888">
        <f>Table2[[#This Row],[End_Date]]-Table2[[#This Row],[Start_Date]]</f>
        <v>15</v>
      </c>
      <c r="S888" t="str">
        <f>TEXT(Table2[[#This Row],[Start_Date]],"MMM")</f>
        <v>Feb</v>
      </c>
      <c r="T888">
        <f>YEAR(Table2[[#This Row],[Start_Date]])</f>
        <v>2026</v>
      </c>
      <c r="U888">
        <f>Table2[[#This Row],[Campaign_Cost (₹)]]/Table2[[#This Row],[Reach]]</f>
        <v>6.4541006647461027E-2</v>
      </c>
      <c r="V888">
        <f>Table2[[#This Row],[Revenue_Generated (₹)]]/Table2[[#This Row],[Reach]]</f>
        <v>8.1035316208460356E-2</v>
      </c>
    </row>
    <row r="889" spans="1:22" x14ac:dyDescent="0.3">
      <c r="A889" t="s">
        <v>940</v>
      </c>
      <c r="B889" t="s">
        <v>57</v>
      </c>
      <c r="C889" t="s">
        <v>33</v>
      </c>
      <c r="D889" t="s">
        <v>46</v>
      </c>
      <c r="E889">
        <v>1667991</v>
      </c>
      <c r="F889">
        <v>671915</v>
      </c>
      <c r="G889">
        <v>1263992</v>
      </c>
      <c r="H889">
        <v>70318</v>
      </c>
      <c r="I889">
        <v>5917</v>
      </c>
      <c r="J889">
        <v>3654</v>
      </c>
      <c r="K889">
        <f t="shared" si="26"/>
        <v>11.889747959191267</v>
      </c>
      <c r="L889">
        <v>366033</v>
      </c>
      <c r="M889">
        <v>978314</v>
      </c>
      <c r="N889">
        <f t="shared" si="27"/>
        <v>167.27480855551275</v>
      </c>
      <c r="O889" s="4">
        <v>45904</v>
      </c>
      <c r="P889" s="4">
        <v>45917</v>
      </c>
      <c r="Q889" t="s">
        <v>21</v>
      </c>
      <c r="R889">
        <f>Table2[[#This Row],[End_Date]]-Table2[[#This Row],[Start_Date]]</f>
        <v>13</v>
      </c>
      <c r="S889" t="str">
        <f>TEXT(Table2[[#This Row],[Start_Date]],"MMM")</f>
        <v>Sep</v>
      </c>
      <c r="T889">
        <f>YEAR(Table2[[#This Row],[Start_Date]])</f>
        <v>2025</v>
      </c>
      <c r="U889">
        <f>Table2[[#This Row],[Campaign_Cost (₹)]]/Table2[[#This Row],[Reach]]</f>
        <v>0.5447608700505272</v>
      </c>
      <c r="V889">
        <f>Table2[[#This Row],[Revenue_Generated (₹)]]/Table2[[#This Row],[Reach]]</f>
        <v>1.4560085725128922</v>
      </c>
    </row>
    <row r="890" spans="1:22" x14ac:dyDescent="0.3">
      <c r="A890" t="s">
        <v>941</v>
      </c>
      <c r="B890" t="s">
        <v>39</v>
      </c>
      <c r="C890" t="s">
        <v>28</v>
      </c>
      <c r="D890" t="s">
        <v>40</v>
      </c>
      <c r="E890">
        <v>1862286</v>
      </c>
      <c r="F890">
        <v>892080</v>
      </c>
      <c r="G890">
        <v>1465480</v>
      </c>
      <c r="H890">
        <v>105439</v>
      </c>
      <c r="I890">
        <v>6455</v>
      </c>
      <c r="J890">
        <v>10069</v>
      </c>
      <c r="K890">
        <f t="shared" si="26"/>
        <v>13.671755896332167</v>
      </c>
      <c r="L890">
        <v>310826</v>
      </c>
      <c r="M890">
        <v>978578</v>
      </c>
      <c r="N890">
        <f t="shared" si="27"/>
        <v>214.8314491065741</v>
      </c>
      <c r="O890" s="4">
        <v>45854</v>
      </c>
      <c r="P890" s="4">
        <v>45876</v>
      </c>
      <c r="Q890" t="s">
        <v>25</v>
      </c>
      <c r="R890">
        <f>Table2[[#This Row],[End_Date]]-Table2[[#This Row],[Start_Date]]</f>
        <v>22</v>
      </c>
      <c r="S890" t="str">
        <f>TEXT(Table2[[#This Row],[Start_Date]],"MMM")</f>
        <v>Jul</v>
      </c>
      <c r="T890">
        <f>YEAR(Table2[[#This Row],[Start_Date]])</f>
        <v>2025</v>
      </c>
      <c r="U890">
        <f>Table2[[#This Row],[Campaign_Cost (₹)]]/Table2[[#This Row],[Reach]]</f>
        <v>0.34842839207245985</v>
      </c>
      <c r="V890">
        <f>Table2[[#This Row],[Revenue_Generated (₹)]]/Table2[[#This Row],[Reach]]</f>
        <v>1.096962155860461</v>
      </c>
    </row>
    <row r="891" spans="1:22" x14ac:dyDescent="0.3">
      <c r="A891" t="s">
        <v>942</v>
      </c>
      <c r="B891" t="s">
        <v>23</v>
      </c>
      <c r="C891" t="s">
        <v>37</v>
      </c>
      <c r="D891" t="s">
        <v>20</v>
      </c>
      <c r="E891">
        <v>1760158</v>
      </c>
      <c r="F891">
        <v>1504338</v>
      </c>
      <c r="G891">
        <v>2690297</v>
      </c>
      <c r="H891">
        <v>213683</v>
      </c>
      <c r="I891">
        <v>14655</v>
      </c>
      <c r="J891">
        <v>15436</v>
      </c>
      <c r="K891">
        <f t="shared" si="26"/>
        <v>16.204735903766306</v>
      </c>
      <c r="L891">
        <v>126993</v>
      </c>
      <c r="M891">
        <v>205300</v>
      </c>
      <c r="N891">
        <f t="shared" si="27"/>
        <v>61.66245383603821</v>
      </c>
      <c r="O891" s="4">
        <v>46132</v>
      </c>
      <c r="P891" s="4">
        <v>46159</v>
      </c>
      <c r="Q891" t="s">
        <v>34</v>
      </c>
      <c r="R891">
        <f>Table2[[#This Row],[End_Date]]-Table2[[#This Row],[Start_Date]]</f>
        <v>27</v>
      </c>
      <c r="S891" t="str">
        <f>TEXT(Table2[[#This Row],[Start_Date]],"MMM")</f>
        <v>Apr</v>
      </c>
      <c r="T891">
        <f>YEAR(Table2[[#This Row],[Start_Date]])</f>
        <v>2026</v>
      </c>
      <c r="U891">
        <f>Table2[[#This Row],[Campaign_Cost (₹)]]/Table2[[#This Row],[Reach]]</f>
        <v>8.4417863538646234E-2</v>
      </c>
      <c r="V891">
        <f>Table2[[#This Row],[Revenue_Generated (₹)]]/Table2[[#This Row],[Reach]]</f>
        <v>0.13647198967253371</v>
      </c>
    </row>
    <row r="892" spans="1:22" x14ac:dyDescent="0.3">
      <c r="A892" t="s">
        <v>943</v>
      </c>
      <c r="B892" t="s">
        <v>23</v>
      </c>
      <c r="C892" t="s">
        <v>33</v>
      </c>
      <c r="D892" t="s">
        <v>72</v>
      </c>
      <c r="E892">
        <v>1964635</v>
      </c>
      <c r="F892">
        <v>1511528</v>
      </c>
      <c r="G892">
        <v>3298635</v>
      </c>
      <c r="H892">
        <v>148717</v>
      </c>
      <c r="I892">
        <v>18054</v>
      </c>
      <c r="J892">
        <v>6570</v>
      </c>
      <c r="K892">
        <f t="shared" si="26"/>
        <v>11.467931788230189</v>
      </c>
      <c r="L892">
        <v>391350</v>
      </c>
      <c r="M892">
        <v>1030636</v>
      </c>
      <c r="N892">
        <f t="shared" si="27"/>
        <v>163.35403091861505</v>
      </c>
      <c r="O892" s="4">
        <v>45690</v>
      </c>
      <c r="P892" s="4">
        <v>45709</v>
      </c>
      <c r="Q892" t="s">
        <v>30</v>
      </c>
      <c r="R892">
        <f>Table2[[#This Row],[End_Date]]-Table2[[#This Row],[Start_Date]]</f>
        <v>19</v>
      </c>
      <c r="S892" t="str">
        <f>TEXT(Table2[[#This Row],[Start_Date]],"MMM")</f>
        <v>Feb</v>
      </c>
      <c r="T892">
        <f>YEAR(Table2[[#This Row],[Start_Date]])</f>
        <v>2025</v>
      </c>
      <c r="U892">
        <f>Table2[[#This Row],[Campaign_Cost (₹)]]/Table2[[#This Row],[Reach]]</f>
        <v>0.25891018889494605</v>
      </c>
      <c r="V892">
        <f>Table2[[#This Row],[Revenue_Generated (₹)]]/Table2[[#This Row],[Reach]]</f>
        <v>0.68185041891384079</v>
      </c>
    </row>
    <row r="893" spans="1:22" x14ac:dyDescent="0.3">
      <c r="A893" t="s">
        <v>944</v>
      </c>
      <c r="B893" t="s">
        <v>23</v>
      </c>
      <c r="C893" t="s">
        <v>28</v>
      </c>
      <c r="D893" t="s">
        <v>58</v>
      </c>
      <c r="E893">
        <v>1559767</v>
      </c>
      <c r="F893">
        <v>1018340</v>
      </c>
      <c r="G893">
        <v>2957334</v>
      </c>
      <c r="H893">
        <v>127789</v>
      </c>
      <c r="I893">
        <v>4092</v>
      </c>
      <c r="J893">
        <v>7919</v>
      </c>
      <c r="K893">
        <f t="shared" si="26"/>
        <v>13.728224365143271</v>
      </c>
      <c r="L893">
        <v>230005</v>
      </c>
      <c r="M893">
        <v>371014</v>
      </c>
      <c r="N893">
        <f t="shared" si="27"/>
        <v>61.306928110258475</v>
      </c>
      <c r="O893" s="4">
        <v>45862</v>
      </c>
      <c r="P893" s="4">
        <v>45877</v>
      </c>
      <c r="Q893" t="s">
        <v>25</v>
      </c>
      <c r="R893">
        <f>Table2[[#This Row],[End_Date]]-Table2[[#This Row],[Start_Date]]</f>
        <v>15</v>
      </c>
      <c r="S893" t="str">
        <f>TEXT(Table2[[#This Row],[Start_Date]],"MMM")</f>
        <v>Jul</v>
      </c>
      <c r="T893">
        <f>YEAR(Table2[[#This Row],[Start_Date]])</f>
        <v>2025</v>
      </c>
      <c r="U893">
        <f>Table2[[#This Row],[Campaign_Cost (₹)]]/Table2[[#This Row],[Reach]]</f>
        <v>0.22586267847673666</v>
      </c>
      <c r="V893">
        <f>Table2[[#This Row],[Revenue_Generated (₹)]]/Table2[[#This Row],[Reach]]</f>
        <v>0.3643321483983738</v>
      </c>
    </row>
    <row r="894" spans="1:22" x14ac:dyDescent="0.3">
      <c r="A894" t="s">
        <v>945</v>
      </c>
      <c r="B894" t="s">
        <v>45</v>
      </c>
      <c r="C894" t="s">
        <v>33</v>
      </c>
      <c r="D894" t="s">
        <v>51</v>
      </c>
      <c r="E894">
        <v>849641</v>
      </c>
      <c r="F894">
        <v>422823</v>
      </c>
      <c r="G894">
        <v>877096</v>
      </c>
      <c r="H894">
        <v>36741</v>
      </c>
      <c r="I894">
        <v>3579</v>
      </c>
      <c r="J894">
        <v>1861</v>
      </c>
      <c r="K894">
        <f t="shared" si="26"/>
        <v>9.9760419844710437</v>
      </c>
      <c r="L894">
        <v>208827</v>
      </c>
      <c r="M894">
        <v>959534</v>
      </c>
      <c r="N894">
        <f t="shared" si="27"/>
        <v>359.48751837645517</v>
      </c>
      <c r="O894" s="4">
        <v>46126</v>
      </c>
      <c r="P894" s="4">
        <v>46138</v>
      </c>
      <c r="Q894" t="s">
        <v>78</v>
      </c>
      <c r="R894">
        <f>Table2[[#This Row],[End_Date]]-Table2[[#This Row],[Start_Date]]</f>
        <v>12</v>
      </c>
      <c r="S894" t="str">
        <f>TEXT(Table2[[#This Row],[Start_Date]],"MMM")</f>
        <v>Apr</v>
      </c>
      <c r="T894">
        <f>YEAR(Table2[[#This Row],[Start_Date]])</f>
        <v>2026</v>
      </c>
      <c r="U894">
        <f>Table2[[#This Row],[Campaign_Cost (₹)]]/Table2[[#This Row],[Reach]]</f>
        <v>0.49388751321474944</v>
      </c>
      <c r="V894">
        <f>Table2[[#This Row],[Revenue_Generated (₹)]]/Table2[[#This Row],[Reach]]</f>
        <v>2.2693514780416391</v>
      </c>
    </row>
    <row r="895" spans="1:22" x14ac:dyDescent="0.3">
      <c r="A895" t="s">
        <v>946</v>
      </c>
      <c r="B895" t="s">
        <v>39</v>
      </c>
      <c r="C895" t="s">
        <v>37</v>
      </c>
      <c r="D895" t="s">
        <v>58</v>
      </c>
      <c r="E895">
        <v>1056212</v>
      </c>
      <c r="F895">
        <v>751859</v>
      </c>
      <c r="G895">
        <v>1752462</v>
      </c>
      <c r="H895">
        <v>24274</v>
      </c>
      <c r="I895">
        <v>1922</v>
      </c>
      <c r="J895">
        <v>715</v>
      </c>
      <c r="K895">
        <f t="shared" si="26"/>
        <v>3.5792615370701157</v>
      </c>
      <c r="L895">
        <v>84489</v>
      </c>
      <c r="M895">
        <v>152145</v>
      </c>
      <c r="N895">
        <f t="shared" si="27"/>
        <v>80.07669637467599</v>
      </c>
      <c r="O895" s="4">
        <v>46135</v>
      </c>
      <c r="P895" s="4">
        <v>46165</v>
      </c>
      <c r="Q895" t="s">
        <v>25</v>
      </c>
      <c r="R895">
        <f>Table2[[#This Row],[End_Date]]-Table2[[#This Row],[Start_Date]]</f>
        <v>30</v>
      </c>
      <c r="S895" t="str">
        <f>TEXT(Table2[[#This Row],[Start_Date]],"MMM")</f>
        <v>Apr</v>
      </c>
      <c r="T895">
        <f>YEAR(Table2[[#This Row],[Start_Date]])</f>
        <v>2026</v>
      </c>
      <c r="U895">
        <f>Table2[[#This Row],[Campaign_Cost (₹)]]/Table2[[#This Row],[Reach]]</f>
        <v>0.11237346364145405</v>
      </c>
      <c r="V895">
        <f>Table2[[#This Row],[Revenue_Generated (₹)]]/Table2[[#This Row],[Reach]]</f>
        <v>0.20235842092732814</v>
      </c>
    </row>
    <row r="896" spans="1:22" x14ac:dyDescent="0.3">
      <c r="A896" t="s">
        <v>947</v>
      </c>
      <c r="B896" t="s">
        <v>53</v>
      </c>
      <c r="C896" t="s">
        <v>37</v>
      </c>
      <c r="D896" t="s">
        <v>29</v>
      </c>
      <c r="E896">
        <v>1882705</v>
      </c>
      <c r="F896">
        <v>1623671</v>
      </c>
      <c r="G896">
        <v>2114275</v>
      </c>
      <c r="H896">
        <v>36256</v>
      </c>
      <c r="I896">
        <v>4658</v>
      </c>
      <c r="J896">
        <v>2995</v>
      </c>
      <c r="K896">
        <f t="shared" si="26"/>
        <v>2.7043040123276207</v>
      </c>
      <c r="L896">
        <v>176316</v>
      </c>
      <c r="M896">
        <v>795694</v>
      </c>
      <c r="N896">
        <f t="shared" si="27"/>
        <v>351.2885954763039</v>
      </c>
      <c r="O896" s="4">
        <v>45746</v>
      </c>
      <c r="P896" s="4">
        <v>45774</v>
      </c>
      <c r="Q896" t="s">
        <v>54</v>
      </c>
      <c r="R896">
        <f>Table2[[#This Row],[End_Date]]-Table2[[#This Row],[Start_Date]]</f>
        <v>28</v>
      </c>
      <c r="S896" t="str">
        <f>TEXT(Table2[[#This Row],[Start_Date]],"MMM")</f>
        <v>Mar</v>
      </c>
      <c r="T896">
        <f>YEAR(Table2[[#This Row],[Start_Date]])</f>
        <v>2025</v>
      </c>
      <c r="U896">
        <f>Table2[[#This Row],[Campaign_Cost (₹)]]/Table2[[#This Row],[Reach]]</f>
        <v>0.10859096454885257</v>
      </c>
      <c r="V896">
        <f>Table2[[#This Row],[Revenue_Generated (₹)]]/Table2[[#This Row],[Reach]]</f>
        <v>0.49005863872668787</v>
      </c>
    </row>
    <row r="897" spans="1:22" x14ac:dyDescent="0.3">
      <c r="A897" t="s">
        <v>948</v>
      </c>
      <c r="B897" t="s">
        <v>39</v>
      </c>
      <c r="C897" t="s">
        <v>33</v>
      </c>
      <c r="D897" t="s">
        <v>20</v>
      </c>
      <c r="E897">
        <v>924950</v>
      </c>
      <c r="F897">
        <v>435628</v>
      </c>
      <c r="G897">
        <v>1251799</v>
      </c>
      <c r="H897">
        <v>36981</v>
      </c>
      <c r="I897">
        <v>2230</v>
      </c>
      <c r="J897">
        <v>3497</v>
      </c>
      <c r="K897">
        <f t="shared" si="26"/>
        <v>9.8037775349610214</v>
      </c>
      <c r="L897">
        <v>161490</v>
      </c>
      <c r="M897">
        <v>605229</v>
      </c>
      <c r="N897">
        <f t="shared" si="27"/>
        <v>274.77800483002045</v>
      </c>
      <c r="O897" s="4">
        <v>45700</v>
      </c>
      <c r="P897" s="4">
        <v>45726</v>
      </c>
      <c r="Q897" t="s">
        <v>41</v>
      </c>
      <c r="R897">
        <f>Table2[[#This Row],[End_Date]]-Table2[[#This Row],[Start_Date]]</f>
        <v>26</v>
      </c>
      <c r="S897" t="str">
        <f>TEXT(Table2[[#This Row],[Start_Date]],"MMM")</f>
        <v>Feb</v>
      </c>
      <c r="T897">
        <f>YEAR(Table2[[#This Row],[Start_Date]])</f>
        <v>2025</v>
      </c>
      <c r="U897">
        <f>Table2[[#This Row],[Campaign_Cost (₹)]]/Table2[[#This Row],[Reach]]</f>
        <v>0.37070619886692313</v>
      </c>
      <c r="V897">
        <f>Table2[[#This Row],[Revenue_Generated (₹)]]/Table2[[#This Row],[Reach]]</f>
        <v>1.3893252958946625</v>
      </c>
    </row>
    <row r="898" spans="1:22" x14ac:dyDescent="0.3">
      <c r="A898" t="s">
        <v>949</v>
      </c>
      <c r="B898" t="s">
        <v>32</v>
      </c>
      <c r="C898" t="s">
        <v>37</v>
      </c>
      <c r="D898" t="s">
        <v>46</v>
      </c>
      <c r="E898">
        <v>471801</v>
      </c>
      <c r="F898">
        <v>295985</v>
      </c>
      <c r="G898">
        <v>782184</v>
      </c>
      <c r="H898">
        <v>17356</v>
      </c>
      <c r="I898">
        <v>656</v>
      </c>
      <c r="J898">
        <v>722</v>
      </c>
      <c r="K898">
        <f t="shared" ref="K898:K961" si="28">((H898+I898+J898)/F898)*100</f>
        <v>6.329374799398618</v>
      </c>
      <c r="L898">
        <v>86215</v>
      </c>
      <c r="M898">
        <v>264926</v>
      </c>
      <c r="N898">
        <f t="shared" ref="N898:N961" si="29">((M898-L898)/L898)*100</f>
        <v>207.2852751841327</v>
      </c>
      <c r="O898" s="4">
        <v>46058</v>
      </c>
      <c r="P898" s="4">
        <v>46087</v>
      </c>
      <c r="Q898" t="s">
        <v>47</v>
      </c>
      <c r="R898">
        <f>Table2[[#This Row],[End_Date]]-Table2[[#This Row],[Start_Date]]</f>
        <v>29</v>
      </c>
      <c r="S898" t="str">
        <f>TEXT(Table2[[#This Row],[Start_Date]],"MMM")</f>
        <v>Feb</v>
      </c>
      <c r="T898">
        <f>YEAR(Table2[[#This Row],[Start_Date]])</f>
        <v>2026</v>
      </c>
      <c r="U898">
        <f>Table2[[#This Row],[Campaign_Cost (₹)]]/Table2[[#This Row],[Reach]]</f>
        <v>0.29128165278645879</v>
      </c>
      <c r="V898">
        <f>Table2[[#This Row],[Revenue_Generated (₹)]]/Table2[[#This Row],[Reach]]</f>
        <v>0.89506562832575975</v>
      </c>
    </row>
    <row r="899" spans="1:22" x14ac:dyDescent="0.3">
      <c r="A899" t="s">
        <v>950</v>
      </c>
      <c r="B899" t="s">
        <v>36</v>
      </c>
      <c r="C899" t="s">
        <v>37</v>
      </c>
      <c r="D899" t="s">
        <v>46</v>
      </c>
      <c r="E899">
        <v>334815</v>
      </c>
      <c r="F899">
        <v>213443</v>
      </c>
      <c r="G899">
        <v>503277</v>
      </c>
      <c r="H899">
        <v>16097</v>
      </c>
      <c r="I899">
        <v>897</v>
      </c>
      <c r="J899">
        <v>449</v>
      </c>
      <c r="K899">
        <f t="shared" si="28"/>
        <v>8.1722052257511368</v>
      </c>
      <c r="L899">
        <v>90330</v>
      </c>
      <c r="M899">
        <v>354746</v>
      </c>
      <c r="N899">
        <f t="shared" si="29"/>
        <v>292.72224067308758</v>
      </c>
      <c r="O899" s="4">
        <v>45968</v>
      </c>
      <c r="P899" s="4">
        <v>45996</v>
      </c>
      <c r="Q899" t="s">
        <v>47</v>
      </c>
      <c r="R899">
        <f>Table2[[#This Row],[End_Date]]-Table2[[#This Row],[Start_Date]]</f>
        <v>28</v>
      </c>
      <c r="S899" t="str">
        <f>TEXT(Table2[[#This Row],[Start_Date]],"MMM")</f>
        <v>Nov</v>
      </c>
      <c r="T899">
        <f>YEAR(Table2[[#This Row],[Start_Date]])</f>
        <v>2025</v>
      </c>
      <c r="U899">
        <f>Table2[[#This Row],[Campaign_Cost (₹)]]/Table2[[#This Row],[Reach]]</f>
        <v>0.42320432152846427</v>
      </c>
      <c r="V899">
        <f>Table2[[#This Row],[Revenue_Generated (₹)]]/Table2[[#This Row],[Reach]]</f>
        <v>1.6620174941319228</v>
      </c>
    </row>
    <row r="900" spans="1:22" x14ac:dyDescent="0.3">
      <c r="A900" t="s">
        <v>951</v>
      </c>
      <c r="B900" t="s">
        <v>32</v>
      </c>
      <c r="C900" t="s">
        <v>43</v>
      </c>
      <c r="D900" t="s">
        <v>24</v>
      </c>
      <c r="E900">
        <v>965239</v>
      </c>
      <c r="F900">
        <v>621827</v>
      </c>
      <c r="G900">
        <v>732261</v>
      </c>
      <c r="H900">
        <v>57792</v>
      </c>
      <c r="I900">
        <v>8212</v>
      </c>
      <c r="J900">
        <v>1668</v>
      </c>
      <c r="K900">
        <f t="shared" si="28"/>
        <v>10.882769644933397</v>
      </c>
      <c r="L900">
        <v>452178</v>
      </c>
      <c r="M900">
        <v>1577427</v>
      </c>
      <c r="N900">
        <f t="shared" si="29"/>
        <v>248.85089500152594</v>
      </c>
      <c r="O900" s="4">
        <v>45840</v>
      </c>
      <c r="P900" s="4">
        <v>45864</v>
      </c>
      <c r="Q900" t="s">
        <v>41</v>
      </c>
      <c r="R900">
        <f>Table2[[#This Row],[End_Date]]-Table2[[#This Row],[Start_Date]]</f>
        <v>24</v>
      </c>
      <c r="S900" t="str">
        <f>TEXT(Table2[[#This Row],[Start_Date]],"MMM")</f>
        <v>Jul</v>
      </c>
      <c r="T900">
        <f>YEAR(Table2[[#This Row],[Start_Date]])</f>
        <v>2025</v>
      </c>
      <c r="U900">
        <f>Table2[[#This Row],[Campaign_Cost (₹)]]/Table2[[#This Row],[Reach]]</f>
        <v>0.7271765298065217</v>
      </c>
      <c r="V900">
        <f>Table2[[#This Row],[Revenue_Generated (₹)]]/Table2[[#This Row],[Reach]]</f>
        <v>2.5367618324710892</v>
      </c>
    </row>
    <row r="901" spans="1:22" x14ac:dyDescent="0.3">
      <c r="A901" t="s">
        <v>952</v>
      </c>
      <c r="B901" t="s">
        <v>23</v>
      </c>
      <c r="C901" t="s">
        <v>33</v>
      </c>
      <c r="D901" t="s">
        <v>20</v>
      </c>
      <c r="E901">
        <v>232230</v>
      </c>
      <c r="F901">
        <v>79947</v>
      </c>
      <c r="G901">
        <v>104003</v>
      </c>
      <c r="H901">
        <v>1922</v>
      </c>
      <c r="I901">
        <v>135</v>
      </c>
      <c r="J901">
        <v>179</v>
      </c>
      <c r="K901">
        <f t="shared" si="28"/>
        <v>2.7968529150562249</v>
      </c>
      <c r="L901">
        <v>187403</v>
      </c>
      <c r="M901">
        <v>653531</v>
      </c>
      <c r="N901">
        <f t="shared" si="29"/>
        <v>248.73027646302353</v>
      </c>
      <c r="O901" s="4">
        <v>46089</v>
      </c>
      <c r="P901" s="4">
        <v>46114</v>
      </c>
      <c r="Q901" t="s">
        <v>47</v>
      </c>
      <c r="R901">
        <f>Table2[[#This Row],[End_Date]]-Table2[[#This Row],[Start_Date]]</f>
        <v>25</v>
      </c>
      <c r="S901" t="str">
        <f>TEXT(Table2[[#This Row],[Start_Date]],"MMM")</f>
        <v>Mar</v>
      </c>
      <c r="T901">
        <f>YEAR(Table2[[#This Row],[Start_Date]])</f>
        <v>2026</v>
      </c>
      <c r="U901">
        <f>Table2[[#This Row],[Campaign_Cost (₹)]]/Table2[[#This Row],[Reach]]</f>
        <v>2.3440904599297032</v>
      </c>
      <c r="V901">
        <f>Table2[[#This Row],[Revenue_Generated (₹)]]/Table2[[#This Row],[Reach]]</f>
        <v>8.1745531414562151</v>
      </c>
    </row>
    <row r="902" spans="1:22" x14ac:dyDescent="0.3">
      <c r="A902" t="s">
        <v>953</v>
      </c>
      <c r="B902" t="s">
        <v>39</v>
      </c>
      <c r="C902" t="s">
        <v>33</v>
      </c>
      <c r="D902" t="s">
        <v>72</v>
      </c>
      <c r="E902">
        <v>1955248</v>
      </c>
      <c r="F902">
        <v>1305407</v>
      </c>
      <c r="G902">
        <v>2489114</v>
      </c>
      <c r="H902">
        <v>31040</v>
      </c>
      <c r="I902">
        <v>3246</v>
      </c>
      <c r="J902">
        <v>2874</v>
      </c>
      <c r="K902">
        <f t="shared" si="28"/>
        <v>2.8466217815593144</v>
      </c>
      <c r="L902">
        <v>393716</v>
      </c>
      <c r="M902">
        <v>1430307</v>
      </c>
      <c r="N902">
        <f t="shared" si="29"/>
        <v>263.28394070853102</v>
      </c>
      <c r="O902" s="4">
        <v>46075</v>
      </c>
      <c r="P902" s="4">
        <v>46093</v>
      </c>
      <c r="Q902" t="s">
        <v>25</v>
      </c>
      <c r="R902">
        <f>Table2[[#This Row],[End_Date]]-Table2[[#This Row],[Start_Date]]</f>
        <v>18</v>
      </c>
      <c r="S902" t="str">
        <f>TEXT(Table2[[#This Row],[Start_Date]],"MMM")</f>
        <v>Feb</v>
      </c>
      <c r="T902">
        <f>YEAR(Table2[[#This Row],[Start_Date]])</f>
        <v>2026</v>
      </c>
      <c r="U902">
        <f>Table2[[#This Row],[Campaign_Cost (₹)]]/Table2[[#This Row],[Reach]]</f>
        <v>0.30160402081496424</v>
      </c>
      <c r="V902">
        <f>Table2[[#This Row],[Revenue_Generated (₹)]]/Table2[[#This Row],[Reach]]</f>
        <v>1.0956789721519802</v>
      </c>
    </row>
    <row r="903" spans="1:22" x14ac:dyDescent="0.3">
      <c r="A903" t="s">
        <v>954</v>
      </c>
      <c r="B903" t="s">
        <v>36</v>
      </c>
      <c r="C903" t="s">
        <v>28</v>
      </c>
      <c r="D903" t="s">
        <v>51</v>
      </c>
      <c r="E903">
        <v>1149091</v>
      </c>
      <c r="F903">
        <v>532853</v>
      </c>
      <c r="G903">
        <v>628755</v>
      </c>
      <c r="H903">
        <v>11380</v>
      </c>
      <c r="I903">
        <v>1341</v>
      </c>
      <c r="J903">
        <v>1098</v>
      </c>
      <c r="K903">
        <f t="shared" si="28"/>
        <v>2.5933981792351739</v>
      </c>
      <c r="L903">
        <v>142848</v>
      </c>
      <c r="M903">
        <v>477927</v>
      </c>
      <c r="N903">
        <f t="shared" si="29"/>
        <v>234.5703125</v>
      </c>
      <c r="O903" s="4">
        <v>45691</v>
      </c>
      <c r="P903" s="4">
        <v>45720</v>
      </c>
      <c r="Q903" t="s">
        <v>78</v>
      </c>
      <c r="R903">
        <f>Table2[[#This Row],[End_Date]]-Table2[[#This Row],[Start_Date]]</f>
        <v>29</v>
      </c>
      <c r="S903" t="str">
        <f>TEXT(Table2[[#This Row],[Start_Date]],"MMM")</f>
        <v>Feb</v>
      </c>
      <c r="T903">
        <f>YEAR(Table2[[#This Row],[Start_Date]])</f>
        <v>2025</v>
      </c>
      <c r="U903">
        <f>Table2[[#This Row],[Campaign_Cost (₹)]]/Table2[[#This Row],[Reach]]</f>
        <v>0.26808144084766344</v>
      </c>
      <c r="V903">
        <f>Table2[[#This Row],[Revenue_Generated (₹)]]/Table2[[#This Row],[Reach]]</f>
        <v>0.89692091439853017</v>
      </c>
    </row>
    <row r="904" spans="1:22" x14ac:dyDescent="0.3">
      <c r="A904" t="s">
        <v>955</v>
      </c>
      <c r="B904" t="s">
        <v>45</v>
      </c>
      <c r="C904" t="s">
        <v>37</v>
      </c>
      <c r="D904" t="s">
        <v>40</v>
      </c>
      <c r="E904">
        <v>514017</v>
      </c>
      <c r="F904">
        <v>328241</v>
      </c>
      <c r="G904">
        <v>462248</v>
      </c>
      <c r="H904">
        <v>21486</v>
      </c>
      <c r="I904">
        <v>2533</v>
      </c>
      <c r="J904">
        <v>680</v>
      </c>
      <c r="K904">
        <f t="shared" si="28"/>
        <v>7.5246541413168986</v>
      </c>
      <c r="L904">
        <v>427251</v>
      </c>
      <c r="M904">
        <v>562784</v>
      </c>
      <c r="N904">
        <f t="shared" si="29"/>
        <v>31.722102464359359</v>
      </c>
      <c r="O904" s="4">
        <v>46091</v>
      </c>
      <c r="P904" s="4">
        <v>46105</v>
      </c>
      <c r="Q904" t="s">
        <v>41</v>
      </c>
      <c r="R904">
        <f>Table2[[#This Row],[End_Date]]-Table2[[#This Row],[Start_Date]]</f>
        <v>14</v>
      </c>
      <c r="S904" t="str">
        <f>TEXT(Table2[[#This Row],[Start_Date]],"MMM")</f>
        <v>Mar</v>
      </c>
      <c r="T904">
        <f>YEAR(Table2[[#This Row],[Start_Date]])</f>
        <v>2026</v>
      </c>
      <c r="U904">
        <f>Table2[[#This Row],[Campaign_Cost (₹)]]/Table2[[#This Row],[Reach]]</f>
        <v>1.3016381256454861</v>
      </c>
      <c r="V904">
        <f>Table2[[#This Row],[Revenue_Generated (₹)]]/Table2[[#This Row],[Reach]]</f>
        <v>1.7145451055779137</v>
      </c>
    </row>
    <row r="905" spans="1:22" x14ac:dyDescent="0.3">
      <c r="A905" t="s">
        <v>956</v>
      </c>
      <c r="B905" t="s">
        <v>57</v>
      </c>
      <c r="C905" t="s">
        <v>37</v>
      </c>
      <c r="D905" t="s">
        <v>29</v>
      </c>
      <c r="E905">
        <v>934044</v>
      </c>
      <c r="F905">
        <v>513421</v>
      </c>
      <c r="G905">
        <v>1521406</v>
      </c>
      <c r="H905">
        <v>57697</v>
      </c>
      <c r="I905">
        <v>2507</v>
      </c>
      <c r="J905">
        <v>2012</v>
      </c>
      <c r="K905">
        <f t="shared" si="28"/>
        <v>12.11793050927017</v>
      </c>
      <c r="L905">
        <v>460848</v>
      </c>
      <c r="M905">
        <v>931255</v>
      </c>
      <c r="N905">
        <f t="shared" si="29"/>
        <v>102.07421969933688</v>
      </c>
      <c r="O905" s="4">
        <v>45762</v>
      </c>
      <c r="P905" s="4">
        <v>45776</v>
      </c>
      <c r="Q905" t="s">
        <v>47</v>
      </c>
      <c r="R905">
        <f>Table2[[#This Row],[End_Date]]-Table2[[#This Row],[Start_Date]]</f>
        <v>14</v>
      </c>
      <c r="S905" t="str">
        <f>TEXT(Table2[[#This Row],[Start_Date]],"MMM")</f>
        <v>Apr</v>
      </c>
      <c r="T905">
        <f>YEAR(Table2[[#This Row],[Start_Date]])</f>
        <v>2025</v>
      </c>
      <c r="U905">
        <f>Table2[[#This Row],[Campaign_Cost (₹)]]/Table2[[#This Row],[Reach]]</f>
        <v>0.89760255229139441</v>
      </c>
      <c r="V905">
        <f>Table2[[#This Row],[Revenue_Generated (₹)]]/Table2[[#This Row],[Reach]]</f>
        <v>1.8138233535441675</v>
      </c>
    </row>
    <row r="906" spans="1:22" x14ac:dyDescent="0.3">
      <c r="A906" t="s">
        <v>957</v>
      </c>
      <c r="B906" t="s">
        <v>75</v>
      </c>
      <c r="C906" t="s">
        <v>28</v>
      </c>
      <c r="D906" t="s">
        <v>58</v>
      </c>
      <c r="E906">
        <v>1371014</v>
      </c>
      <c r="F906">
        <v>1039681</v>
      </c>
      <c r="G906">
        <v>2700172</v>
      </c>
      <c r="H906">
        <v>33079</v>
      </c>
      <c r="I906">
        <v>1918</v>
      </c>
      <c r="J906">
        <v>1873</v>
      </c>
      <c r="K906">
        <f t="shared" si="28"/>
        <v>3.5462800609032965</v>
      </c>
      <c r="L906">
        <v>132647</v>
      </c>
      <c r="M906">
        <v>649921</v>
      </c>
      <c r="N906">
        <f t="shared" si="29"/>
        <v>389.96283368640076</v>
      </c>
      <c r="O906" s="4">
        <v>45826</v>
      </c>
      <c r="P906" s="4">
        <v>45844</v>
      </c>
      <c r="Q906" t="s">
        <v>30</v>
      </c>
      <c r="R906">
        <f>Table2[[#This Row],[End_Date]]-Table2[[#This Row],[Start_Date]]</f>
        <v>18</v>
      </c>
      <c r="S906" t="str">
        <f>TEXT(Table2[[#This Row],[Start_Date]],"MMM")</f>
        <v>Jun</v>
      </c>
      <c r="T906">
        <f>YEAR(Table2[[#This Row],[Start_Date]])</f>
        <v>2025</v>
      </c>
      <c r="U906">
        <f>Table2[[#This Row],[Campaign_Cost (₹)]]/Table2[[#This Row],[Reach]]</f>
        <v>0.12758432634625427</v>
      </c>
      <c r="V906">
        <f>Table2[[#This Row],[Revenue_Generated (₹)]]/Table2[[#This Row],[Reach]]</f>
        <v>0.62511578070581264</v>
      </c>
    </row>
    <row r="907" spans="1:22" x14ac:dyDescent="0.3">
      <c r="A907" t="s">
        <v>958</v>
      </c>
      <c r="B907" t="s">
        <v>57</v>
      </c>
      <c r="C907" t="s">
        <v>33</v>
      </c>
      <c r="D907" t="s">
        <v>29</v>
      </c>
      <c r="E907">
        <v>1952559</v>
      </c>
      <c r="F907">
        <v>1305723</v>
      </c>
      <c r="G907">
        <v>3906232</v>
      </c>
      <c r="H907">
        <v>191415</v>
      </c>
      <c r="I907">
        <v>10981</v>
      </c>
      <c r="J907">
        <v>4932</v>
      </c>
      <c r="K907">
        <f t="shared" si="28"/>
        <v>15.878406063154282</v>
      </c>
      <c r="L907">
        <v>112464</v>
      </c>
      <c r="M907">
        <v>275392</v>
      </c>
      <c r="N907">
        <f t="shared" si="29"/>
        <v>144.87124768814908</v>
      </c>
      <c r="O907" s="4">
        <v>46052</v>
      </c>
      <c r="P907" s="4">
        <v>46061</v>
      </c>
      <c r="Q907" t="s">
        <v>54</v>
      </c>
      <c r="R907">
        <f>Table2[[#This Row],[End_Date]]-Table2[[#This Row],[Start_Date]]</f>
        <v>9</v>
      </c>
      <c r="S907" t="str">
        <f>TEXT(Table2[[#This Row],[Start_Date]],"MMM")</f>
        <v>Jan</v>
      </c>
      <c r="T907">
        <f>YEAR(Table2[[#This Row],[Start_Date]])</f>
        <v>2026</v>
      </c>
      <c r="U907">
        <f>Table2[[#This Row],[Campaign_Cost (₹)]]/Table2[[#This Row],[Reach]]</f>
        <v>8.6131591463120438E-2</v>
      </c>
      <c r="V907">
        <f>Table2[[#This Row],[Revenue_Generated (₹)]]/Table2[[#This Row],[Reach]]</f>
        <v>0.21091150266940231</v>
      </c>
    </row>
    <row r="908" spans="1:22" x14ac:dyDescent="0.3">
      <c r="A908" t="s">
        <v>959</v>
      </c>
      <c r="B908" t="s">
        <v>75</v>
      </c>
      <c r="C908" t="s">
        <v>19</v>
      </c>
      <c r="D908" t="s">
        <v>72</v>
      </c>
      <c r="E908">
        <v>1235893</v>
      </c>
      <c r="F908">
        <v>478298</v>
      </c>
      <c r="G908">
        <v>1259168</v>
      </c>
      <c r="H908">
        <v>35049</v>
      </c>
      <c r="I908">
        <v>2191</v>
      </c>
      <c r="J908">
        <v>2886</v>
      </c>
      <c r="K908">
        <f t="shared" si="28"/>
        <v>8.3893305010683719</v>
      </c>
      <c r="L908">
        <v>379884</v>
      </c>
      <c r="M908">
        <v>586526</v>
      </c>
      <c r="N908">
        <f t="shared" si="29"/>
        <v>54.396078803003022</v>
      </c>
      <c r="O908" s="4">
        <v>46123</v>
      </c>
      <c r="P908" s="4">
        <v>46142</v>
      </c>
      <c r="Q908" t="s">
        <v>78</v>
      </c>
      <c r="R908">
        <f>Table2[[#This Row],[End_Date]]-Table2[[#This Row],[Start_Date]]</f>
        <v>19</v>
      </c>
      <c r="S908" t="str">
        <f>TEXT(Table2[[#This Row],[Start_Date]],"MMM")</f>
        <v>Apr</v>
      </c>
      <c r="T908">
        <f>YEAR(Table2[[#This Row],[Start_Date]])</f>
        <v>2026</v>
      </c>
      <c r="U908">
        <f>Table2[[#This Row],[Campaign_Cost (₹)]]/Table2[[#This Row],[Reach]]</f>
        <v>0.79424124708863508</v>
      </c>
      <c r="V908">
        <f>Table2[[#This Row],[Revenue_Generated (₹)]]/Table2[[#This Row],[Reach]]</f>
        <v>1.226277341740923</v>
      </c>
    </row>
    <row r="909" spans="1:22" x14ac:dyDescent="0.3">
      <c r="A909" t="s">
        <v>960</v>
      </c>
      <c r="B909" t="s">
        <v>27</v>
      </c>
      <c r="C909" t="s">
        <v>43</v>
      </c>
      <c r="D909" t="s">
        <v>72</v>
      </c>
      <c r="E909">
        <v>1717926</v>
      </c>
      <c r="F909">
        <v>1153981</v>
      </c>
      <c r="G909">
        <v>2487879</v>
      </c>
      <c r="H909">
        <v>73357</v>
      </c>
      <c r="I909">
        <v>2615</v>
      </c>
      <c r="J909">
        <v>6114</v>
      </c>
      <c r="K909">
        <f t="shared" si="28"/>
        <v>7.1132886936613335</v>
      </c>
      <c r="L909">
        <v>257885</v>
      </c>
      <c r="M909">
        <v>934529</v>
      </c>
      <c r="N909">
        <f t="shared" si="29"/>
        <v>262.38206952711482</v>
      </c>
      <c r="O909" s="4">
        <v>45999</v>
      </c>
      <c r="P909" s="4">
        <v>46018</v>
      </c>
      <c r="Q909" t="s">
        <v>34</v>
      </c>
      <c r="R909">
        <f>Table2[[#This Row],[End_Date]]-Table2[[#This Row],[Start_Date]]</f>
        <v>19</v>
      </c>
      <c r="S909" t="str">
        <f>TEXT(Table2[[#This Row],[Start_Date]],"MMM")</f>
        <v>Dec</v>
      </c>
      <c r="T909">
        <f>YEAR(Table2[[#This Row],[Start_Date]])</f>
        <v>2025</v>
      </c>
      <c r="U909">
        <f>Table2[[#This Row],[Campaign_Cost (₹)]]/Table2[[#This Row],[Reach]]</f>
        <v>0.2234742166465479</v>
      </c>
      <c r="V909">
        <f>Table2[[#This Row],[Revenue_Generated (₹)]]/Table2[[#This Row],[Reach]]</f>
        <v>0.80983049114326844</v>
      </c>
    </row>
    <row r="910" spans="1:22" x14ac:dyDescent="0.3">
      <c r="A910" t="s">
        <v>961</v>
      </c>
      <c r="B910" t="s">
        <v>80</v>
      </c>
      <c r="C910" t="s">
        <v>43</v>
      </c>
      <c r="D910" t="s">
        <v>29</v>
      </c>
      <c r="E910">
        <v>1557331</v>
      </c>
      <c r="F910">
        <v>887153</v>
      </c>
      <c r="G910">
        <v>2301619</v>
      </c>
      <c r="H910">
        <v>85311</v>
      </c>
      <c r="I910">
        <v>8888</v>
      </c>
      <c r="J910">
        <v>3172</v>
      </c>
      <c r="K910">
        <f t="shared" si="28"/>
        <v>10.975671614704567</v>
      </c>
      <c r="L910">
        <v>403686</v>
      </c>
      <c r="M910">
        <v>1106080</v>
      </c>
      <c r="N910">
        <f t="shared" si="29"/>
        <v>173.99513483251835</v>
      </c>
      <c r="O910" s="4">
        <v>45904</v>
      </c>
      <c r="P910" s="4">
        <v>45920</v>
      </c>
      <c r="Q910" t="s">
        <v>25</v>
      </c>
      <c r="R910">
        <f>Table2[[#This Row],[End_Date]]-Table2[[#This Row],[Start_Date]]</f>
        <v>16</v>
      </c>
      <c r="S910" t="str">
        <f>TEXT(Table2[[#This Row],[Start_Date]],"MMM")</f>
        <v>Sep</v>
      </c>
      <c r="T910">
        <f>YEAR(Table2[[#This Row],[Start_Date]])</f>
        <v>2025</v>
      </c>
      <c r="U910">
        <f>Table2[[#This Row],[Campaign_Cost (₹)]]/Table2[[#This Row],[Reach]]</f>
        <v>0.45503537721227344</v>
      </c>
      <c r="V910">
        <f>Table2[[#This Row],[Revenue_Generated (₹)]]/Table2[[#This Row],[Reach]]</f>
        <v>1.2467747953284269</v>
      </c>
    </row>
    <row r="911" spans="1:22" x14ac:dyDescent="0.3">
      <c r="A911" t="s">
        <v>962</v>
      </c>
      <c r="B911" t="s">
        <v>49</v>
      </c>
      <c r="C911" t="s">
        <v>43</v>
      </c>
      <c r="D911" t="s">
        <v>40</v>
      </c>
      <c r="E911">
        <v>754136</v>
      </c>
      <c r="F911">
        <v>400467</v>
      </c>
      <c r="G911">
        <v>768522</v>
      </c>
      <c r="H911">
        <v>45754</v>
      </c>
      <c r="I911">
        <v>3618</v>
      </c>
      <c r="J911">
        <v>3256</v>
      </c>
      <c r="K911">
        <f t="shared" si="28"/>
        <v>13.141657115317868</v>
      </c>
      <c r="L911">
        <v>352206</v>
      </c>
      <c r="M911">
        <v>1053387</v>
      </c>
      <c r="N911">
        <f t="shared" si="29"/>
        <v>199.08263913732304</v>
      </c>
      <c r="O911" s="4">
        <v>46054</v>
      </c>
      <c r="P911" s="4">
        <v>46073</v>
      </c>
      <c r="Q911" t="s">
        <v>47</v>
      </c>
      <c r="R911">
        <f>Table2[[#This Row],[End_Date]]-Table2[[#This Row],[Start_Date]]</f>
        <v>19</v>
      </c>
      <c r="S911" t="str">
        <f>TEXT(Table2[[#This Row],[Start_Date]],"MMM")</f>
        <v>Feb</v>
      </c>
      <c r="T911">
        <f>YEAR(Table2[[#This Row],[Start_Date]])</f>
        <v>2026</v>
      </c>
      <c r="U911">
        <f>Table2[[#This Row],[Campaign_Cost (₹)]]/Table2[[#This Row],[Reach]]</f>
        <v>0.87948819752938445</v>
      </c>
      <c r="V911">
        <f>Table2[[#This Row],[Revenue_Generated (₹)]]/Table2[[#This Row],[Reach]]</f>
        <v>2.630396512072156</v>
      </c>
    </row>
    <row r="912" spans="1:22" x14ac:dyDescent="0.3">
      <c r="A912" t="s">
        <v>963</v>
      </c>
      <c r="B912" t="s">
        <v>36</v>
      </c>
      <c r="C912" t="s">
        <v>33</v>
      </c>
      <c r="D912" t="s">
        <v>51</v>
      </c>
      <c r="E912">
        <v>1922408</v>
      </c>
      <c r="F912">
        <v>1200465</v>
      </c>
      <c r="G912">
        <v>2226851</v>
      </c>
      <c r="H912">
        <v>53963</v>
      </c>
      <c r="I912">
        <v>1745</v>
      </c>
      <c r="J912">
        <v>4299</v>
      </c>
      <c r="K912">
        <f t="shared" si="28"/>
        <v>4.9986463578696583</v>
      </c>
      <c r="L912">
        <v>113046</v>
      </c>
      <c r="M912">
        <v>384367</v>
      </c>
      <c r="N912">
        <f t="shared" si="29"/>
        <v>240.00937671390409</v>
      </c>
      <c r="O912" s="4">
        <v>45756</v>
      </c>
      <c r="P912" s="4">
        <v>45770</v>
      </c>
      <c r="Q912" t="s">
        <v>41</v>
      </c>
      <c r="R912">
        <f>Table2[[#This Row],[End_Date]]-Table2[[#This Row],[Start_Date]]</f>
        <v>14</v>
      </c>
      <c r="S912" t="str">
        <f>TEXT(Table2[[#This Row],[Start_Date]],"MMM")</f>
        <v>Apr</v>
      </c>
      <c r="T912">
        <f>YEAR(Table2[[#This Row],[Start_Date]])</f>
        <v>2025</v>
      </c>
      <c r="U912">
        <f>Table2[[#This Row],[Campaign_Cost (₹)]]/Table2[[#This Row],[Reach]]</f>
        <v>9.4168509702490286E-2</v>
      </c>
      <c r="V912">
        <f>Table2[[#This Row],[Revenue_Generated (₹)]]/Table2[[#This Row],[Reach]]</f>
        <v>0.3201817629002095</v>
      </c>
    </row>
    <row r="913" spans="1:22" x14ac:dyDescent="0.3">
      <c r="A913" t="s">
        <v>964</v>
      </c>
      <c r="B913" t="s">
        <v>61</v>
      </c>
      <c r="C913" t="s">
        <v>33</v>
      </c>
      <c r="D913" t="s">
        <v>58</v>
      </c>
      <c r="E913">
        <v>830503</v>
      </c>
      <c r="F913">
        <v>732531</v>
      </c>
      <c r="G913">
        <v>976112</v>
      </c>
      <c r="H913">
        <v>105996</v>
      </c>
      <c r="I913">
        <v>6077</v>
      </c>
      <c r="J913">
        <v>8073</v>
      </c>
      <c r="K913">
        <f t="shared" si="28"/>
        <v>16.401490175842387</v>
      </c>
      <c r="L913">
        <v>265191</v>
      </c>
      <c r="M913">
        <v>1146590</v>
      </c>
      <c r="N913">
        <f t="shared" si="29"/>
        <v>332.36384341851721</v>
      </c>
      <c r="O913" s="4">
        <v>45828</v>
      </c>
      <c r="P913" s="4">
        <v>45857</v>
      </c>
      <c r="Q913" t="s">
        <v>47</v>
      </c>
      <c r="R913">
        <f>Table2[[#This Row],[End_Date]]-Table2[[#This Row],[Start_Date]]</f>
        <v>29</v>
      </c>
      <c r="S913" t="str">
        <f>TEXT(Table2[[#This Row],[Start_Date]],"MMM")</f>
        <v>Jun</v>
      </c>
      <c r="T913">
        <f>YEAR(Table2[[#This Row],[Start_Date]])</f>
        <v>2025</v>
      </c>
      <c r="U913">
        <f>Table2[[#This Row],[Campaign_Cost (₹)]]/Table2[[#This Row],[Reach]]</f>
        <v>0.36202017389025176</v>
      </c>
      <c r="V913">
        <f>Table2[[#This Row],[Revenue_Generated (₹)]]/Table2[[#This Row],[Reach]]</f>
        <v>1.5652443377822918</v>
      </c>
    </row>
    <row r="914" spans="1:22" x14ac:dyDescent="0.3">
      <c r="A914" t="s">
        <v>965</v>
      </c>
      <c r="B914" t="s">
        <v>49</v>
      </c>
      <c r="C914" t="s">
        <v>19</v>
      </c>
      <c r="D914" t="s">
        <v>72</v>
      </c>
      <c r="E914">
        <v>1055100</v>
      </c>
      <c r="F914">
        <v>626965</v>
      </c>
      <c r="G914">
        <v>1240332</v>
      </c>
      <c r="H914">
        <v>13198</v>
      </c>
      <c r="I914">
        <v>549</v>
      </c>
      <c r="J914">
        <v>409</v>
      </c>
      <c r="K914">
        <f t="shared" si="28"/>
        <v>2.2578612841227184</v>
      </c>
      <c r="L914">
        <v>430450</v>
      </c>
      <c r="M914">
        <v>1633625</v>
      </c>
      <c r="N914">
        <f t="shared" si="29"/>
        <v>279.51562318503892</v>
      </c>
      <c r="O914" s="4">
        <v>45784</v>
      </c>
      <c r="P914" s="4">
        <v>45800</v>
      </c>
      <c r="Q914" t="s">
        <v>41</v>
      </c>
      <c r="R914">
        <f>Table2[[#This Row],[End_Date]]-Table2[[#This Row],[Start_Date]]</f>
        <v>16</v>
      </c>
      <c r="S914" t="str">
        <f>TEXT(Table2[[#This Row],[Start_Date]],"MMM")</f>
        <v>May</v>
      </c>
      <c r="T914">
        <f>YEAR(Table2[[#This Row],[Start_Date]])</f>
        <v>2025</v>
      </c>
      <c r="U914">
        <f>Table2[[#This Row],[Campaign_Cost (₹)]]/Table2[[#This Row],[Reach]]</f>
        <v>0.68656145079868891</v>
      </c>
      <c r="V914">
        <f>Table2[[#This Row],[Revenue_Generated (₹)]]/Table2[[#This Row],[Reach]]</f>
        <v>2.6056079685468885</v>
      </c>
    </row>
    <row r="915" spans="1:22" x14ac:dyDescent="0.3">
      <c r="A915" t="s">
        <v>966</v>
      </c>
      <c r="B915" t="s">
        <v>45</v>
      </c>
      <c r="C915" t="s">
        <v>43</v>
      </c>
      <c r="D915" t="s">
        <v>24</v>
      </c>
      <c r="E915">
        <v>1793036</v>
      </c>
      <c r="F915">
        <v>1136414</v>
      </c>
      <c r="G915">
        <v>3178904</v>
      </c>
      <c r="H915">
        <v>159016</v>
      </c>
      <c r="I915">
        <v>21092</v>
      </c>
      <c r="J915">
        <v>13998</v>
      </c>
      <c r="K915">
        <f t="shared" si="28"/>
        <v>17.080570989093761</v>
      </c>
      <c r="L915">
        <v>414890</v>
      </c>
      <c r="M915">
        <v>505757</v>
      </c>
      <c r="N915">
        <f t="shared" si="29"/>
        <v>21.901467858950564</v>
      </c>
      <c r="O915" s="4">
        <v>45977</v>
      </c>
      <c r="P915" s="4">
        <v>45999</v>
      </c>
      <c r="Q915" t="s">
        <v>41</v>
      </c>
      <c r="R915">
        <f>Table2[[#This Row],[End_Date]]-Table2[[#This Row],[Start_Date]]</f>
        <v>22</v>
      </c>
      <c r="S915" t="str">
        <f>TEXT(Table2[[#This Row],[Start_Date]],"MMM")</f>
        <v>Nov</v>
      </c>
      <c r="T915">
        <f>YEAR(Table2[[#This Row],[Start_Date]])</f>
        <v>2025</v>
      </c>
      <c r="U915">
        <f>Table2[[#This Row],[Campaign_Cost (₹)]]/Table2[[#This Row],[Reach]]</f>
        <v>0.36508701934330273</v>
      </c>
      <c r="V915">
        <f>Table2[[#This Row],[Revenue_Generated (₹)]]/Table2[[#This Row],[Reach]]</f>
        <v>0.44504643554197676</v>
      </c>
    </row>
    <row r="916" spans="1:22" x14ac:dyDescent="0.3">
      <c r="A916" t="s">
        <v>967</v>
      </c>
      <c r="B916" t="s">
        <v>63</v>
      </c>
      <c r="C916" t="s">
        <v>33</v>
      </c>
      <c r="D916" t="s">
        <v>72</v>
      </c>
      <c r="E916">
        <v>1107078</v>
      </c>
      <c r="F916">
        <v>744506</v>
      </c>
      <c r="G916">
        <v>885419</v>
      </c>
      <c r="H916">
        <v>67701</v>
      </c>
      <c r="I916">
        <v>9865</v>
      </c>
      <c r="J916">
        <v>2501</v>
      </c>
      <c r="K916">
        <f t="shared" si="28"/>
        <v>10.754379414000693</v>
      </c>
      <c r="L916">
        <v>211250</v>
      </c>
      <c r="M916">
        <v>362489</v>
      </c>
      <c r="N916">
        <f t="shared" si="29"/>
        <v>71.592426035502953</v>
      </c>
      <c r="O916" s="4">
        <v>46123</v>
      </c>
      <c r="P916" s="4">
        <v>46143</v>
      </c>
      <c r="Q916" t="s">
        <v>34</v>
      </c>
      <c r="R916">
        <f>Table2[[#This Row],[End_Date]]-Table2[[#This Row],[Start_Date]]</f>
        <v>20</v>
      </c>
      <c r="S916" t="str">
        <f>TEXT(Table2[[#This Row],[Start_Date]],"MMM")</f>
        <v>Apr</v>
      </c>
      <c r="T916">
        <f>YEAR(Table2[[#This Row],[Start_Date]])</f>
        <v>2026</v>
      </c>
      <c r="U916">
        <f>Table2[[#This Row],[Campaign_Cost (₹)]]/Table2[[#This Row],[Reach]]</f>
        <v>0.28374519480031052</v>
      </c>
      <c r="V916">
        <f>Table2[[#This Row],[Revenue_Generated (₹)]]/Table2[[#This Row],[Reach]]</f>
        <v>0.48688526351701666</v>
      </c>
    </row>
    <row r="917" spans="1:22" x14ac:dyDescent="0.3">
      <c r="A917" t="s">
        <v>968</v>
      </c>
      <c r="B917" t="s">
        <v>27</v>
      </c>
      <c r="C917" t="s">
        <v>37</v>
      </c>
      <c r="D917" t="s">
        <v>29</v>
      </c>
      <c r="E917">
        <v>286358</v>
      </c>
      <c r="F917">
        <v>230689</v>
      </c>
      <c r="G917">
        <v>614732</v>
      </c>
      <c r="H917">
        <v>6923</v>
      </c>
      <c r="I917">
        <v>576</v>
      </c>
      <c r="J917">
        <v>476</v>
      </c>
      <c r="K917">
        <f t="shared" si="28"/>
        <v>3.4570352292480351</v>
      </c>
      <c r="L917">
        <v>188834</v>
      </c>
      <c r="M917">
        <v>313070</v>
      </c>
      <c r="N917">
        <f t="shared" si="29"/>
        <v>65.79111812491395</v>
      </c>
      <c r="O917" s="4">
        <v>45863</v>
      </c>
      <c r="P917" s="4">
        <v>45885</v>
      </c>
      <c r="Q917" t="s">
        <v>25</v>
      </c>
      <c r="R917">
        <f>Table2[[#This Row],[End_Date]]-Table2[[#This Row],[Start_Date]]</f>
        <v>22</v>
      </c>
      <c r="S917" t="str">
        <f>TEXT(Table2[[#This Row],[Start_Date]],"MMM")</f>
        <v>Jul</v>
      </c>
      <c r="T917">
        <f>YEAR(Table2[[#This Row],[Start_Date]])</f>
        <v>2025</v>
      </c>
      <c r="U917">
        <f>Table2[[#This Row],[Campaign_Cost (₹)]]/Table2[[#This Row],[Reach]]</f>
        <v>0.81856525452015483</v>
      </c>
      <c r="V917">
        <f>Table2[[#This Row],[Revenue_Generated (₹)]]/Table2[[#This Row],[Reach]]</f>
        <v>1.3571084880510125</v>
      </c>
    </row>
    <row r="918" spans="1:22" x14ac:dyDescent="0.3">
      <c r="A918" t="s">
        <v>969</v>
      </c>
      <c r="B918" t="s">
        <v>61</v>
      </c>
      <c r="C918" t="s">
        <v>19</v>
      </c>
      <c r="D918" t="s">
        <v>72</v>
      </c>
      <c r="E918">
        <v>1487781</v>
      </c>
      <c r="F918">
        <v>791357</v>
      </c>
      <c r="G918">
        <v>1110064</v>
      </c>
      <c r="H918">
        <v>85029</v>
      </c>
      <c r="I918">
        <v>6039</v>
      </c>
      <c r="J918">
        <v>3182</v>
      </c>
      <c r="K918">
        <f t="shared" si="28"/>
        <v>11.909921817839484</v>
      </c>
      <c r="L918">
        <v>204716</v>
      </c>
      <c r="M918">
        <v>225440</v>
      </c>
      <c r="N918">
        <f t="shared" si="29"/>
        <v>10.123292756794779</v>
      </c>
      <c r="O918" s="4">
        <v>45789</v>
      </c>
      <c r="P918" s="4">
        <v>45819</v>
      </c>
      <c r="Q918" t="s">
        <v>34</v>
      </c>
      <c r="R918">
        <f>Table2[[#This Row],[End_Date]]-Table2[[#This Row],[Start_Date]]</f>
        <v>30</v>
      </c>
      <c r="S918" t="str">
        <f>TEXT(Table2[[#This Row],[Start_Date]],"MMM")</f>
        <v>May</v>
      </c>
      <c r="T918">
        <f>YEAR(Table2[[#This Row],[Start_Date]])</f>
        <v>2025</v>
      </c>
      <c r="U918">
        <f>Table2[[#This Row],[Campaign_Cost (₹)]]/Table2[[#This Row],[Reach]]</f>
        <v>0.25868982014438491</v>
      </c>
      <c r="V918">
        <f>Table2[[#This Row],[Revenue_Generated (₹)]]/Table2[[#This Row],[Reach]]</f>
        <v>0.28487774796962684</v>
      </c>
    </row>
    <row r="919" spans="1:22" x14ac:dyDescent="0.3">
      <c r="A919" t="s">
        <v>970</v>
      </c>
      <c r="B919" t="s">
        <v>23</v>
      </c>
      <c r="C919" t="s">
        <v>19</v>
      </c>
      <c r="D919" t="s">
        <v>72</v>
      </c>
      <c r="E919">
        <v>612242</v>
      </c>
      <c r="F919">
        <v>402044</v>
      </c>
      <c r="G919">
        <v>932602</v>
      </c>
      <c r="H919">
        <v>18725</v>
      </c>
      <c r="I919">
        <v>1645</v>
      </c>
      <c r="J919">
        <v>511</v>
      </c>
      <c r="K919">
        <f t="shared" si="28"/>
        <v>5.1937101411785775</v>
      </c>
      <c r="L919">
        <v>152294</v>
      </c>
      <c r="M919">
        <v>253883</v>
      </c>
      <c r="N919">
        <f t="shared" si="29"/>
        <v>66.705845272958882</v>
      </c>
      <c r="O919" s="4">
        <v>45907</v>
      </c>
      <c r="P919" s="4">
        <v>45919</v>
      </c>
      <c r="Q919" t="s">
        <v>47</v>
      </c>
      <c r="R919">
        <f>Table2[[#This Row],[End_Date]]-Table2[[#This Row],[Start_Date]]</f>
        <v>12</v>
      </c>
      <c r="S919" t="str">
        <f>TEXT(Table2[[#This Row],[Start_Date]],"MMM")</f>
        <v>Sep</v>
      </c>
      <c r="T919">
        <f>YEAR(Table2[[#This Row],[Start_Date]])</f>
        <v>2025</v>
      </c>
      <c r="U919">
        <f>Table2[[#This Row],[Campaign_Cost (₹)]]/Table2[[#This Row],[Reach]]</f>
        <v>0.37879933539612581</v>
      </c>
      <c r="V919">
        <f>Table2[[#This Row],[Revenue_Generated (₹)]]/Table2[[#This Row],[Reach]]</f>
        <v>0.63148063396046206</v>
      </c>
    </row>
    <row r="920" spans="1:22" x14ac:dyDescent="0.3">
      <c r="A920" t="s">
        <v>971</v>
      </c>
      <c r="B920" t="s">
        <v>63</v>
      </c>
      <c r="C920" t="s">
        <v>28</v>
      </c>
      <c r="D920" t="s">
        <v>72</v>
      </c>
      <c r="E920">
        <v>1039046</v>
      </c>
      <c r="F920">
        <v>723429</v>
      </c>
      <c r="G920">
        <v>2043809</v>
      </c>
      <c r="H920">
        <v>79771</v>
      </c>
      <c r="I920">
        <v>5766</v>
      </c>
      <c r="J920">
        <v>6555</v>
      </c>
      <c r="K920">
        <f t="shared" si="28"/>
        <v>12.729929267419472</v>
      </c>
      <c r="L920">
        <v>389824</v>
      </c>
      <c r="M920">
        <v>1446821</v>
      </c>
      <c r="N920">
        <f t="shared" si="29"/>
        <v>271.14723567558696</v>
      </c>
      <c r="O920" s="4">
        <v>45808</v>
      </c>
      <c r="P920" s="4">
        <v>45831</v>
      </c>
      <c r="Q920" t="s">
        <v>78</v>
      </c>
      <c r="R920">
        <f>Table2[[#This Row],[End_Date]]-Table2[[#This Row],[Start_Date]]</f>
        <v>23</v>
      </c>
      <c r="S920" t="str">
        <f>TEXT(Table2[[#This Row],[Start_Date]],"MMM")</f>
        <v>May</v>
      </c>
      <c r="T920">
        <f>YEAR(Table2[[#This Row],[Start_Date]])</f>
        <v>2025</v>
      </c>
      <c r="U920">
        <f>Table2[[#This Row],[Campaign_Cost (₹)]]/Table2[[#This Row],[Reach]]</f>
        <v>0.53885592089894097</v>
      </c>
      <c r="V920">
        <f>Table2[[#This Row],[Revenue_Generated (₹)]]/Table2[[#This Row],[Reach]]</f>
        <v>1.999948854690647</v>
      </c>
    </row>
    <row r="921" spans="1:22" x14ac:dyDescent="0.3">
      <c r="A921" t="s">
        <v>972</v>
      </c>
      <c r="B921" t="s">
        <v>61</v>
      </c>
      <c r="C921" t="s">
        <v>33</v>
      </c>
      <c r="D921" t="s">
        <v>72</v>
      </c>
      <c r="E921">
        <v>707362</v>
      </c>
      <c r="F921">
        <v>617087</v>
      </c>
      <c r="G921">
        <v>1395247</v>
      </c>
      <c r="H921">
        <v>55019</v>
      </c>
      <c r="I921">
        <v>7762</v>
      </c>
      <c r="J921">
        <v>3091</v>
      </c>
      <c r="K921">
        <f t="shared" si="28"/>
        <v>10.674669860165585</v>
      </c>
      <c r="L921">
        <v>360336</v>
      </c>
      <c r="M921">
        <v>1006171</v>
      </c>
      <c r="N921">
        <f t="shared" si="29"/>
        <v>179.23132853780916</v>
      </c>
      <c r="O921" s="4">
        <v>45766</v>
      </c>
      <c r="P921" s="4">
        <v>45778</v>
      </c>
      <c r="Q921" t="s">
        <v>41</v>
      </c>
      <c r="R921">
        <f>Table2[[#This Row],[End_Date]]-Table2[[#This Row],[Start_Date]]</f>
        <v>12</v>
      </c>
      <c r="S921" t="str">
        <f>TEXT(Table2[[#This Row],[Start_Date]],"MMM")</f>
        <v>Apr</v>
      </c>
      <c r="T921">
        <f>YEAR(Table2[[#This Row],[Start_Date]])</f>
        <v>2025</v>
      </c>
      <c r="U921">
        <f>Table2[[#This Row],[Campaign_Cost (₹)]]/Table2[[#This Row],[Reach]]</f>
        <v>0.58393062890645886</v>
      </c>
      <c r="V921">
        <f>Table2[[#This Row],[Revenue_Generated (₹)]]/Table2[[#This Row],[Reach]]</f>
        <v>1.6305172528346894</v>
      </c>
    </row>
    <row r="922" spans="1:22" x14ac:dyDescent="0.3">
      <c r="A922" t="s">
        <v>973</v>
      </c>
      <c r="B922" t="s">
        <v>36</v>
      </c>
      <c r="C922" t="s">
        <v>28</v>
      </c>
      <c r="D922" t="s">
        <v>40</v>
      </c>
      <c r="E922">
        <v>1673057</v>
      </c>
      <c r="F922">
        <v>825105</v>
      </c>
      <c r="G922">
        <v>945977</v>
      </c>
      <c r="H922">
        <v>42209</v>
      </c>
      <c r="I922">
        <v>1743</v>
      </c>
      <c r="J922">
        <v>1382</v>
      </c>
      <c r="K922">
        <f t="shared" si="28"/>
        <v>5.4943310245362715</v>
      </c>
      <c r="L922">
        <v>265212</v>
      </c>
      <c r="M922">
        <v>1267918</v>
      </c>
      <c r="N922">
        <f t="shared" si="29"/>
        <v>378.07716091277922</v>
      </c>
      <c r="O922" s="4">
        <v>45953</v>
      </c>
      <c r="P922" s="4">
        <v>45960</v>
      </c>
      <c r="Q922" t="s">
        <v>21</v>
      </c>
      <c r="R922">
        <f>Table2[[#This Row],[End_Date]]-Table2[[#This Row],[Start_Date]]</f>
        <v>7</v>
      </c>
      <c r="S922" t="str">
        <f>TEXT(Table2[[#This Row],[Start_Date]],"MMM")</f>
        <v>Oct</v>
      </c>
      <c r="T922">
        <f>YEAR(Table2[[#This Row],[Start_Date]])</f>
        <v>2025</v>
      </c>
      <c r="U922">
        <f>Table2[[#This Row],[Campaign_Cost (₹)]]/Table2[[#This Row],[Reach]]</f>
        <v>0.32142818186776229</v>
      </c>
      <c r="V922">
        <f>Table2[[#This Row],[Revenue_Generated (₹)]]/Table2[[#This Row],[Reach]]</f>
        <v>1.5366747262469624</v>
      </c>
    </row>
    <row r="923" spans="1:22" x14ac:dyDescent="0.3">
      <c r="A923" t="s">
        <v>974</v>
      </c>
      <c r="B923" t="s">
        <v>49</v>
      </c>
      <c r="C923" t="s">
        <v>33</v>
      </c>
      <c r="D923" t="s">
        <v>24</v>
      </c>
      <c r="E923">
        <v>727967</v>
      </c>
      <c r="F923">
        <v>191283</v>
      </c>
      <c r="G923">
        <v>280807</v>
      </c>
      <c r="H923">
        <v>21917</v>
      </c>
      <c r="I923">
        <v>1781</v>
      </c>
      <c r="J923">
        <v>450</v>
      </c>
      <c r="K923">
        <f t="shared" si="28"/>
        <v>12.624226930777956</v>
      </c>
      <c r="L923">
        <v>36019</v>
      </c>
      <c r="M923">
        <v>172384</v>
      </c>
      <c r="N923">
        <f t="shared" si="29"/>
        <v>378.59185429911992</v>
      </c>
      <c r="O923" s="4">
        <v>45813</v>
      </c>
      <c r="P923" s="4">
        <v>45827</v>
      </c>
      <c r="Q923" t="s">
        <v>54</v>
      </c>
      <c r="R923">
        <f>Table2[[#This Row],[End_Date]]-Table2[[#This Row],[Start_Date]]</f>
        <v>14</v>
      </c>
      <c r="S923" t="str">
        <f>TEXT(Table2[[#This Row],[Start_Date]],"MMM")</f>
        <v>Jun</v>
      </c>
      <c r="T923">
        <f>YEAR(Table2[[#This Row],[Start_Date]])</f>
        <v>2025</v>
      </c>
      <c r="U923">
        <f>Table2[[#This Row],[Campaign_Cost (₹)]]/Table2[[#This Row],[Reach]]</f>
        <v>0.1883021491716462</v>
      </c>
      <c r="V923">
        <f>Table2[[#This Row],[Revenue_Generated (₹)]]/Table2[[#This Row],[Reach]]</f>
        <v>0.9011987474056764</v>
      </c>
    </row>
    <row r="924" spans="1:22" x14ac:dyDescent="0.3">
      <c r="A924" t="s">
        <v>975</v>
      </c>
      <c r="B924" t="s">
        <v>80</v>
      </c>
      <c r="C924" t="s">
        <v>28</v>
      </c>
      <c r="D924" t="s">
        <v>20</v>
      </c>
      <c r="E924">
        <v>1888794</v>
      </c>
      <c r="F924">
        <v>1059894</v>
      </c>
      <c r="G924">
        <v>2305741</v>
      </c>
      <c r="H924">
        <v>139974</v>
      </c>
      <c r="I924">
        <v>9616</v>
      </c>
      <c r="J924">
        <v>7143</v>
      </c>
      <c r="K924">
        <f t="shared" si="28"/>
        <v>14.787610836555354</v>
      </c>
      <c r="L924">
        <v>243401</v>
      </c>
      <c r="M924">
        <v>489189</v>
      </c>
      <c r="N924">
        <f t="shared" si="29"/>
        <v>100.98068619274365</v>
      </c>
      <c r="O924" s="4">
        <v>45694</v>
      </c>
      <c r="P924" s="4">
        <v>45712</v>
      </c>
      <c r="Q924" t="s">
        <v>41</v>
      </c>
      <c r="R924">
        <f>Table2[[#This Row],[End_Date]]-Table2[[#This Row],[Start_Date]]</f>
        <v>18</v>
      </c>
      <c r="S924" t="str">
        <f>TEXT(Table2[[#This Row],[Start_Date]],"MMM")</f>
        <v>Feb</v>
      </c>
      <c r="T924">
        <f>YEAR(Table2[[#This Row],[Start_Date]])</f>
        <v>2025</v>
      </c>
      <c r="U924">
        <f>Table2[[#This Row],[Campaign_Cost (₹)]]/Table2[[#This Row],[Reach]]</f>
        <v>0.22964654956061645</v>
      </c>
      <c r="V924">
        <f>Table2[[#This Row],[Revenue_Generated (₹)]]/Table2[[#This Row],[Reach]]</f>
        <v>0.46154521112488606</v>
      </c>
    </row>
    <row r="925" spans="1:22" x14ac:dyDescent="0.3">
      <c r="A925" t="s">
        <v>976</v>
      </c>
      <c r="B925" t="s">
        <v>63</v>
      </c>
      <c r="C925" t="s">
        <v>33</v>
      </c>
      <c r="D925" t="s">
        <v>46</v>
      </c>
      <c r="E925">
        <v>147521</v>
      </c>
      <c r="F925">
        <v>40610</v>
      </c>
      <c r="G925">
        <v>86583</v>
      </c>
      <c r="H925">
        <v>4432</v>
      </c>
      <c r="I925">
        <v>526</v>
      </c>
      <c r="J925">
        <v>189</v>
      </c>
      <c r="K925">
        <f t="shared" si="28"/>
        <v>12.674218172863828</v>
      </c>
      <c r="L925">
        <v>462047</v>
      </c>
      <c r="M925">
        <v>1300574</v>
      </c>
      <c r="N925">
        <f t="shared" si="29"/>
        <v>181.48088830789942</v>
      </c>
      <c r="O925" s="4">
        <v>45871</v>
      </c>
      <c r="P925" s="4">
        <v>45879</v>
      </c>
      <c r="Q925" t="s">
        <v>30</v>
      </c>
      <c r="R925">
        <f>Table2[[#This Row],[End_Date]]-Table2[[#This Row],[Start_Date]]</f>
        <v>8</v>
      </c>
      <c r="S925" t="str">
        <f>TEXT(Table2[[#This Row],[Start_Date]],"MMM")</f>
        <v>Aug</v>
      </c>
      <c r="T925">
        <f>YEAR(Table2[[#This Row],[Start_Date]])</f>
        <v>2025</v>
      </c>
      <c r="U925">
        <f>Table2[[#This Row],[Campaign_Cost (₹)]]/Table2[[#This Row],[Reach]]</f>
        <v>11.377665599606008</v>
      </c>
      <c r="V925">
        <f>Table2[[#This Row],[Revenue_Generated (₹)]]/Table2[[#This Row],[Reach]]</f>
        <v>32.025954198473279</v>
      </c>
    </row>
    <row r="926" spans="1:22" x14ac:dyDescent="0.3">
      <c r="A926" t="s">
        <v>977</v>
      </c>
      <c r="B926" t="s">
        <v>103</v>
      </c>
      <c r="C926" t="s">
        <v>28</v>
      </c>
      <c r="D926" t="s">
        <v>40</v>
      </c>
      <c r="E926">
        <v>957895</v>
      </c>
      <c r="F926">
        <v>513199</v>
      </c>
      <c r="G926">
        <v>977061</v>
      </c>
      <c r="H926">
        <v>31445</v>
      </c>
      <c r="I926">
        <v>3236</v>
      </c>
      <c r="J926">
        <v>2308</v>
      </c>
      <c r="K926">
        <f t="shared" si="28"/>
        <v>7.2075354784401373</v>
      </c>
      <c r="L926">
        <v>215626</v>
      </c>
      <c r="M926">
        <v>297906</v>
      </c>
      <c r="N926">
        <f t="shared" si="29"/>
        <v>38.158663611994839</v>
      </c>
      <c r="O926" s="4">
        <v>46019</v>
      </c>
      <c r="P926" s="4">
        <v>46033</v>
      </c>
      <c r="Q926" t="s">
        <v>41</v>
      </c>
      <c r="R926">
        <f>Table2[[#This Row],[End_Date]]-Table2[[#This Row],[Start_Date]]</f>
        <v>14</v>
      </c>
      <c r="S926" t="str">
        <f>TEXT(Table2[[#This Row],[Start_Date]],"MMM")</f>
        <v>Dec</v>
      </c>
      <c r="T926">
        <f>YEAR(Table2[[#This Row],[Start_Date]])</f>
        <v>2025</v>
      </c>
      <c r="U926">
        <f>Table2[[#This Row],[Campaign_Cost (₹)]]/Table2[[#This Row],[Reach]]</f>
        <v>0.42016060046882397</v>
      </c>
      <c r="V926">
        <f>Table2[[#This Row],[Revenue_Generated (₹)]]/Table2[[#This Row],[Reach]]</f>
        <v>0.58048827063186015</v>
      </c>
    </row>
    <row r="927" spans="1:22" x14ac:dyDescent="0.3">
      <c r="A927" t="s">
        <v>978</v>
      </c>
      <c r="B927" t="s">
        <v>23</v>
      </c>
      <c r="C927" t="s">
        <v>33</v>
      </c>
      <c r="D927" t="s">
        <v>40</v>
      </c>
      <c r="E927">
        <v>136732</v>
      </c>
      <c r="F927">
        <v>113787</v>
      </c>
      <c r="G927">
        <v>331420</v>
      </c>
      <c r="H927">
        <v>4990</v>
      </c>
      <c r="I927">
        <v>345</v>
      </c>
      <c r="J927">
        <v>355</v>
      </c>
      <c r="K927">
        <f t="shared" si="28"/>
        <v>5.0005712427605964</v>
      </c>
      <c r="L927">
        <v>278877</v>
      </c>
      <c r="M927">
        <v>1015882</v>
      </c>
      <c r="N927">
        <f t="shared" si="29"/>
        <v>264.27600698515835</v>
      </c>
      <c r="O927" s="4">
        <v>46134</v>
      </c>
      <c r="P927" s="4">
        <v>46150</v>
      </c>
      <c r="Q927" t="s">
        <v>21</v>
      </c>
      <c r="R927">
        <f>Table2[[#This Row],[End_Date]]-Table2[[#This Row],[Start_Date]]</f>
        <v>16</v>
      </c>
      <c r="S927" t="str">
        <f>TEXT(Table2[[#This Row],[Start_Date]],"MMM")</f>
        <v>Apr</v>
      </c>
      <c r="T927">
        <f>YEAR(Table2[[#This Row],[Start_Date]])</f>
        <v>2026</v>
      </c>
      <c r="U927">
        <f>Table2[[#This Row],[Campaign_Cost (₹)]]/Table2[[#This Row],[Reach]]</f>
        <v>2.450868728413615</v>
      </c>
      <c r="V927">
        <f>Table2[[#This Row],[Revenue_Generated (₹)]]/Table2[[#This Row],[Reach]]</f>
        <v>8.9279267403130405</v>
      </c>
    </row>
    <row r="928" spans="1:22" x14ac:dyDescent="0.3">
      <c r="A928" t="s">
        <v>979</v>
      </c>
      <c r="B928" t="s">
        <v>45</v>
      </c>
      <c r="C928" t="s">
        <v>37</v>
      </c>
      <c r="D928" t="s">
        <v>51</v>
      </c>
      <c r="E928">
        <v>988433</v>
      </c>
      <c r="F928">
        <v>504876</v>
      </c>
      <c r="G928">
        <v>1343103</v>
      </c>
      <c r="H928">
        <v>65037</v>
      </c>
      <c r="I928">
        <v>3276</v>
      </c>
      <c r="J928">
        <v>4698</v>
      </c>
      <c r="K928">
        <f t="shared" si="28"/>
        <v>14.461174625056451</v>
      </c>
      <c r="L928">
        <v>125336</v>
      </c>
      <c r="M928">
        <v>505227</v>
      </c>
      <c r="N928">
        <f t="shared" si="29"/>
        <v>303.09807238143873</v>
      </c>
      <c r="O928" s="4">
        <v>45660</v>
      </c>
      <c r="P928" s="4">
        <v>45677</v>
      </c>
      <c r="Q928" t="s">
        <v>34</v>
      </c>
      <c r="R928">
        <f>Table2[[#This Row],[End_Date]]-Table2[[#This Row],[Start_Date]]</f>
        <v>17</v>
      </c>
      <c r="S928" t="str">
        <f>TEXT(Table2[[#This Row],[Start_Date]],"MMM")</f>
        <v>Jan</v>
      </c>
      <c r="T928">
        <f>YEAR(Table2[[#This Row],[Start_Date]])</f>
        <v>2025</v>
      </c>
      <c r="U928">
        <f>Table2[[#This Row],[Campaign_Cost (₹)]]/Table2[[#This Row],[Reach]]</f>
        <v>0.2482510557047671</v>
      </c>
      <c r="V928">
        <f>Table2[[#This Row],[Revenue_Generated (₹)]]/Table2[[#This Row],[Reach]]</f>
        <v>1.0006952202124879</v>
      </c>
    </row>
    <row r="929" spans="1:22" x14ac:dyDescent="0.3">
      <c r="A929" t="s">
        <v>980</v>
      </c>
      <c r="B929" t="s">
        <v>63</v>
      </c>
      <c r="C929" t="s">
        <v>43</v>
      </c>
      <c r="D929" t="s">
        <v>72</v>
      </c>
      <c r="E929">
        <v>280209</v>
      </c>
      <c r="F929">
        <v>87846</v>
      </c>
      <c r="G929">
        <v>139112</v>
      </c>
      <c r="H929">
        <v>12401</v>
      </c>
      <c r="I929">
        <v>1847</v>
      </c>
      <c r="J929">
        <v>825</v>
      </c>
      <c r="K929">
        <f t="shared" si="28"/>
        <v>17.15843635452952</v>
      </c>
      <c r="L929">
        <v>30247</v>
      </c>
      <c r="M929">
        <v>108912</v>
      </c>
      <c r="N929">
        <f t="shared" si="29"/>
        <v>260.07537937646708</v>
      </c>
      <c r="O929" s="4">
        <v>46072</v>
      </c>
      <c r="P929" s="4">
        <v>46089</v>
      </c>
      <c r="Q929" t="s">
        <v>25</v>
      </c>
      <c r="R929">
        <f>Table2[[#This Row],[End_Date]]-Table2[[#This Row],[Start_Date]]</f>
        <v>17</v>
      </c>
      <c r="S929" t="str">
        <f>TEXT(Table2[[#This Row],[Start_Date]],"MMM")</f>
        <v>Feb</v>
      </c>
      <c r="T929">
        <f>YEAR(Table2[[#This Row],[Start_Date]])</f>
        <v>2026</v>
      </c>
      <c r="U929">
        <f>Table2[[#This Row],[Campaign_Cost (₹)]]/Table2[[#This Row],[Reach]]</f>
        <v>0.34431846640712155</v>
      </c>
      <c r="V929">
        <f>Table2[[#This Row],[Revenue_Generated (₹)]]/Table2[[#This Row],[Reach]]</f>
        <v>1.2398060241786764</v>
      </c>
    </row>
    <row r="930" spans="1:22" x14ac:dyDescent="0.3">
      <c r="A930" t="s">
        <v>981</v>
      </c>
      <c r="B930" t="s">
        <v>23</v>
      </c>
      <c r="C930" t="s">
        <v>19</v>
      </c>
      <c r="D930" t="s">
        <v>58</v>
      </c>
      <c r="E930">
        <v>1297935</v>
      </c>
      <c r="F930">
        <v>1149482</v>
      </c>
      <c r="G930">
        <v>1633442</v>
      </c>
      <c r="H930">
        <v>162685</v>
      </c>
      <c r="I930">
        <v>8957</v>
      </c>
      <c r="J930">
        <v>5049</v>
      </c>
      <c r="K930">
        <f t="shared" si="28"/>
        <v>15.371358577167801</v>
      </c>
      <c r="L930">
        <v>134796</v>
      </c>
      <c r="M930">
        <v>158363</v>
      </c>
      <c r="N930">
        <f t="shared" si="29"/>
        <v>17.483456482388203</v>
      </c>
      <c r="O930" s="4">
        <v>46002</v>
      </c>
      <c r="P930" s="4">
        <v>46030</v>
      </c>
      <c r="Q930" t="s">
        <v>25</v>
      </c>
      <c r="R930">
        <f>Table2[[#This Row],[End_Date]]-Table2[[#This Row],[Start_Date]]</f>
        <v>28</v>
      </c>
      <c r="S930" t="str">
        <f>TEXT(Table2[[#This Row],[Start_Date]],"MMM")</f>
        <v>Dec</v>
      </c>
      <c r="T930">
        <f>YEAR(Table2[[#This Row],[Start_Date]])</f>
        <v>2025</v>
      </c>
      <c r="U930">
        <f>Table2[[#This Row],[Campaign_Cost (₹)]]/Table2[[#This Row],[Reach]]</f>
        <v>0.11726673405934152</v>
      </c>
      <c r="V930">
        <f>Table2[[#This Row],[Revenue_Generated (₹)]]/Table2[[#This Row],[Reach]]</f>
        <v>0.13776901247692439</v>
      </c>
    </row>
    <row r="931" spans="1:22" x14ac:dyDescent="0.3">
      <c r="A931" t="s">
        <v>982</v>
      </c>
      <c r="B931" t="s">
        <v>57</v>
      </c>
      <c r="C931" t="s">
        <v>43</v>
      </c>
      <c r="D931" t="s">
        <v>58</v>
      </c>
      <c r="E931">
        <v>759387</v>
      </c>
      <c r="F931">
        <v>375612</v>
      </c>
      <c r="G931">
        <v>846039</v>
      </c>
      <c r="H931">
        <v>7652</v>
      </c>
      <c r="I931">
        <v>1131</v>
      </c>
      <c r="J931">
        <v>504</v>
      </c>
      <c r="K931">
        <f t="shared" si="28"/>
        <v>2.4724982162444222</v>
      </c>
      <c r="L931">
        <v>26969</v>
      </c>
      <c r="M931">
        <v>36182</v>
      </c>
      <c r="N931">
        <f t="shared" si="29"/>
        <v>34.161444621602584</v>
      </c>
      <c r="O931" s="4">
        <v>45687</v>
      </c>
      <c r="P931" s="4">
        <v>45703</v>
      </c>
      <c r="Q931" t="s">
        <v>25</v>
      </c>
      <c r="R931">
        <f>Table2[[#This Row],[End_Date]]-Table2[[#This Row],[Start_Date]]</f>
        <v>16</v>
      </c>
      <c r="S931" t="str">
        <f>TEXT(Table2[[#This Row],[Start_Date]],"MMM")</f>
        <v>Jan</v>
      </c>
      <c r="T931">
        <f>YEAR(Table2[[#This Row],[Start_Date]])</f>
        <v>2025</v>
      </c>
      <c r="U931">
        <f>Table2[[#This Row],[Campaign_Cost (₹)]]/Table2[[#This Row],[Reach]]</f>
        <v>7.1800155479590635E-2</v>
      </c>
      <c r="V931">
        <f>Table2[[#This Row],[Revenue_Generated (₹)]]/Table2[[#This Row],[Reach]]</f>
        <v>9.6328125831975545E-2</v>
      </c>
    </row>
    <row r="932" spans="1:22" x14ac:dyDescent="0.3">
      <c r="A932" t="s">
        <v>983</v>
      </c>
      <c r="B932" t="s">
        <v>49</v>
      </c>
      <c r="C932" t="s">
        <v>33</v>
      </c>
      <c r="D932" t="s">
        <v>58</v>
      </c>
      <c r="E932">
        <v>546822</v>
      </c>
      <c r="F932">
        <v>306251</v>
      </c>
      <c r="G932">
        <v>877396</v>
      </c>
      <c r="H932">
        <v>38068</v>
      </c>
      <c r="I932">
        <v>1512</v>
      </c>
      <c r="J932">
        <v>1607</v>
      </c>
      <c r="K932">
        <f t="shared" si="28"/>
        <v>13.448772412171717</v>
      </c>
      <c r="L932">
        <v>466115</v>
      </c>
      <c r="M932">
        <v>2107702</v>
      </c>
      <c r="N932">
        <f t="shared" si="29"/>
        <v>352.1849758106905</v>
      </c>
      <c r="O932" s="4">
        <v>45934</v>
      </c>
      <c r="P932" s="4">
        <v>45954</v>
      </c>
      <c r="Q932" t="s">
        <v>47</v>
      </c>
      <c r="R932">
        <f>Table2[[#This Row],[End_Date]]-Table2[[#This Row],[Start_Date]]</f>
        <v>20</v>
      </c>
      <c r="S932" t="str">
        <f>TEXT(Table2[[#This Row],[Start_Date]],"MMM")</f>
        <v>Oct</v>
      </c>
      <c r="T932">
        <f>YEAR(Table2[[#This Row],[Start_Date]])</f>
        <v>2025</v>
      </c>
      <c r="U932">
        <f>Table2[[#This Row],[Campaign_Cost (₹)]]/Table2[[#This Row],[Reach]]</f>
        <v>1.5220031934589602</v>
      </c>
      <c r="V932">
        <f>Table2[[#This Row],[Revenue_Generated (₹)]]/Table2[[#This Row],[Reach]]</f>
        <v>6.8822697721803356</v>
      </c>
    </row>
    <row r="933" spans="1:22" x14ac:dyDescent="0.3">
      <c r="A933" t="s">
        <v>984</v>
      </c>
      <c r="B933" t="s">
        <v>80</v>
      </c>
      <c r="C933" t="s">
        <v>19</v>
      </c>
      <c r="D933" t="s">
        <v>24</v>
      </c>
      <c r="E933">
        <v>1009126</v>
      </c>
      <c r="F933">
        <v>716286</v>
      </c>
      <c r="G933">
        <v>1911762</v>
      </c>
      <c r="H933">
        <v>27600</v>
      </c>
      <c r="I933">
        <v>2260</v>
      </c>
      <c r="J933">
        <v>1646</v>
      </c>
      <c r="K933">
        <f t="shared" si="28"/>
        <v>4.3985223779328368</v>
      </c>
      <c r="L933">
        <v>457378</v>
      </c>
      <c r="M933">
        <v>2076342</v>
      </c>
      <c r="N933">
        <f t="shared" si="29"/>
        <v>353.96630358259472</v>
      </c>
      <c r="O933" s="4">
        <v>45985</v>
      </c>
      <c r="P933" s="4">
        <v>46006</v>
      </c>
      <c r="Q933" t="s">
        <v>30</v>
      </c>
      <c r="R933">
        <f>Table2[[#This Row],[End_Date]]-Table2[[#This Row],[Start_Date]]</f>
        <v>21</v>
      </c>
      <c r="S933" t="str">
        <f>TEXT(Table2[[#This Row],[Start_Date]],"MMM")</f>
        <v>Nov</v>
      </c>
      <c r="T933">
        <f>YEAR(Table2[[#This Row],[Start_Date]])</f>
        <v>2025</v>
      </c>
      <c r="U933">
        <f>Table2[[#This Row],[Campaign_Cost (₹)]]/Table2[[#This Row],[Reach]]</f>
        <v>0.63854102970042692</v>
      </c>
      <c r="V933">
        <f>Table2[[#This Row],[Revenue_Generated (₹)]]/Table2[[#This Row],[Reach]]</f>
        <v>2.8987611093892665</v>
      </c>
    </row>
    <row r="934" spans="1:22" x14ac:dyDescent="0.3">
      <c r="A934" t="s">
        <v>985</v>
      </c>
      <c r="B934" t="s">
        <v>39</v>
      </c>
      <c r="C934" t="s">
        <v>37</v>
      </c>
      <c r="D934" t="s">
        <v>40</v>
      </c>
      <c r="E934">
        <v>1789041</v>
      </c>
      <c r="F934">
        <v>981256</v>
      </c>
      <c r="G934">
        <v>1634468</v>
      </c>
      <c r="H934">
        <v>91043</v>
      </c>
      <c r="I934">
        <v>11904</v>
      </c>
      <c r="J934">
        <v>3445</v>
      </c>
      <c r="K934">
        <f t="shared" si="28"/>
        <v>10.842430517622313</v>
      </c>
      <c r="L934">
        <v>124747</v>
      </c>
      <c r="M934">
        <v>405343</v>
      </c>
      <c r="N934">
        <f t="shared" si="29"/>
        <v>224.93206249448883</v>
      </c>
      <c r="O934" s="4">
        <v>45802</v>
      </c>
      <c r="P934" s="4">
        <v>45815</v>
      </c>
      <c r="Q934" t="s">
        <v>21</v>
      </c>
      <c r="R934">
        <f>Table2[[#This Row],[End_Date]]-Table2[[#This Row],[Start_Date]]</f>
        <v>13</v>
      </c>
      <c r="S934" t="str">
        <f>TEXT(Table2[[#This Row],[Start_Date]],"MMM")</f>
        <v>May</v>
      </c>
      <c r="T934">
        <f>YEAR(Table2[[#This Row],[Start_Date]])</f>
        <v>2025</v>
      </c>
      <c r="U934">
        <f>Table2[[#This Row],[Campaign_Cost (₹)]]/Table2[[#This Row],[Reach]]</f>
        <v>0.12712992328199776</v>
      </c>
      <c r="V934">
        <f>Table2[[#This Row],[Revenue_Generated (₹)]]/Table2[[#This Row],[Reach]]</f>
        <v>0.41308588176785671</v>
      </c>
    </row>
    <row r="935" spans="1:22" x14ac:dyDescent="0.3">
      <c r="A935" t="s">
        <v>986</v>
      </c>
      <c r="B935" t="s">
        <v>61</v>
      </c>
      <c r="C935" t="s">
        <v>33</v>
      </c>
      <c r="D935" t="s">
        <v>40</v>
      </c>
      <c r="E935">
        <v>1831602</v>
      </c>
      <c r="F935">
        <v>822430</v>
      </c>
      <c r="G935">
        <v>1712408</v>
      </c>
      <c r="H935">
        <v>17524</v>
      </c>
      <c r="I935">
        <v>1379</v>
      </c>
      <c r="J935">
        <v>1147</v>
      </c>
      <c r="K935">
        <f t="shared" si="28"/>
        <v>2.4378974502389261</v>
      </c>
      <c r="L935">
        <v>279509</v>
      </c>
      <c r="M935">
        <v>401966</v>
      </c>
      <c r="N935">
        <f t="shared" si="29"/>
        <v>43.811469398123137</v>
      </c>
      <c r="O935" s="4">
        <v>45888</v>
      </c>
      <c r="P935" s="4">
        <v>45912</v>
      </c>
      <c r="Q935" t="s">
        <v>78</v>
      </c>
      <c r="R935">
        <f>Table2[[#This Row],[End_Date]]-Table2[[#This Row],[Start_Date]]</f>
        <v>24</v>
      </c>
      <c r="S935" t="str">
        <f>TEXT(Table2[[#This Row],[Start_Date]],"MMM")</f>
        <v>Aug</v>
      </c>
      <c r="T935">
        <f>YEAR(Table2[[#This Row],[Start_Date]])</f>
        <v>2025</v>
      </c>
      <c r="U935">
        <f>Table2[[#This Row],[Campaign_Cost (₹)]]/Table2[[#This Row],[Reach]]</f>
        <v>0.33985749547073912</v>
      </c>
      <c r="V935">
        <f>Table2[[#This Row],[Revenue_Generated (₹)]]/Table2[[#This Row],[Reach]]</f>
        <v>0.48875405809612976</v>
      </c>
    </row>
    <row r="936" spans="1:22" x14ac:dyDescent="0.3">
      <c r="A936" t="s">
        <v>987</v>
      </c>
      <c r="B936" t="s">
        <v>32</v>
      </c>
      <c r="C936" t="s">
        <v>19</v>
      </c>
      <c r="D936" t="s">
        <v>40</v>
      </c>
      <c r="E936">
        <v>955142</v>
      </c>
      <c r="F936">
        <v>690326</v>
      </c>
      <c r="G936">
        <v>1191852</v>
      </c>
      <c r="H936">
        <v>39301</v>
      </c>
      <c r="I936">
        <v>2977</v>
      </c>
      <c r="J936">
        <v>3693</v>
      </c>
      <c r="K936">
        <f t="shared" si="28"/>
        <v>6.6593174818853695</v>
      </c>
      <c r="L936">
        <v>452582</v>
      </c>
      <c r="M936">
        <v>842549</v>
      </c>
      <c r="N936">
        <f t="shared" si="29"/>
        <v>86.164938066471933</v>
      </c>
      <c r="O936" s="4">
        <v>45871</v>
      </c>
      <c r="P936" s="4">
        <v>45901</v>
      </c>
      <c r="Q936" t="s">
        <v>47</v>
      </c>
      <c r="R936">
        <f>Table2[[#This Row],[End_Date]]-Table2[[#This Row],[Start_Date]]</f>
        <v>30</v>
      </c>
      <c r="S936" t="str">
        <f>TEXT(Table2[[#This Row],[Start_Date]],"MMM")</f>
        <v>Aug</v>
      </c>
      <c r="T936">
        <f>YEAR(Table2[[#This Row],[Start_Date]])</f>
        <v>2025</v>
      </c>
      <c r="U936">
        <f>Table2[[#This Row],[Campaign_Cost (₹)]]/Table2[[#This Row],[Reach]]</f>
        <v>0.6556061918571805</v>
      </c>
      <c r="V936">
        <f>Table2[[#This Row],[Revenue_Generated (₹)]]/Table2[[#This Row],[Reach]]</f>
        <v>1.2205088610308752</v>
      </c>
    </row>
    <row r="937" spans="1:22" x14ac:dyDescent="0.3">
      <c r="A937" t="s">
        <v>988</v>
      </c>
      <c r="B937" t="s">
        <v>57</v>
      </c>
      <c r="C937" t="s">
        <v>37</v>
      </c>
      <c r="D937" t="s">
        <v>29</v>
      </c>
      <c r="E937">
        <v>1815544</v>
      </c>
      <c r="F937">
        <v>993652</v>
      </c>
      <c r="G937">
        <v>1124492</v>
      </c>
      <c r="H937">
        <v>43096</v>
      </c>
      <c r="I937">
        <v>5967</v>
      </c>
      <c r="J937">
        <v>3651</v>
      </c>
      <c r="K937">
        <f t="shared" si="28"/>
        <v>5.305076626424543</v>
      </c>
      <c r="L937">
        <v>14674</v>
      </c>
      <c r="M937">
        <v>69317</v>
      </c>
      <c r="N937">
        <f t="shared" si="29"/>
        <v>372.37971923129345</v>
      </c>
      <c r="O937" s="4">
        <v>45664</v>
      </c>
      <c r="P937" s="4">
        <v>45692</v>
      </c>
      <c r="Q937" t="s">
        <v>41</v>
      </c>
      <c r="R937">
        <f>Table2[[#This Row],[End_Date]]-Table2[[#This Row],[Start_Date]]</f>
        <v>28</v>
      </c>
      <c r="S937" t="str">
        <f>TEXT(Table2[[#This Row],[Start_Date]],"MMM")</f>
        <v>Jan</v>
      </c>
      <c r="T937">
        <f>YEAR(Table2[[#This Row],[Start_Date]])</f>
        <v>2025</v>
      </c>
      <c r="U937">
        <f>Table2[[#This Row],[Campaign_Cost (₹)]]/Table2[[#This Row],[Reach]]</f>
        <v>1.4767745649382279E-2</v>
      </c>
      <c r="V937">
        <f>Table2[[#This Row],[Revenue_Generated (₹)]]/Table2[[#This Row],[Reach]]</f>
        <v>6.9759835435343559E-2</v>
      </c>
    </row>
    <row r="938" spans="1:22" x14ac:dyDescent="0.3">
      <c r="A938" t="s">
        <v>989</v>
      </c>
      <c r="B938" t="s">
        <v>57</v>
      </c>
      <c r="C938" t="s">
        <v>33</v>
      </c>
      <c r="D938" t="s">
        <v>20</v>
      </c>
      <c r="E938">
        <v>1025414</v>
      </c>
      <c r="F938">
        <v>374645</v>
      </c>
      <c r="G938">
        <v>450029</v>
      </c>
      <c r="H938">
        <v>11267</v>
      </c>
      <c r="I938">
        <v>612</v>
      </c>
      <c r="J938">
        <v>1123</v>
      </c>
      <c r="K938">
        <f t="shared" si="28"/>
        <v>3.4704853928385537</v>
      </c>
      <c r="L938">
        <v>185666</v>
      </c>
      <c r="M938">
        <v>263454</v>
      </c>
      <c r="N938">
        <f t="shared" si="29"/>
        <v>41.896739306065733</v>
      </c>
      <c r="O938" s="4">
        <v>46010</v>
      </c>
      <c r="P938" s="4">
        <v>46039</v>
      </c>
      <c r="Q938" t="s">
        <v>30</v>
      </c>
      <c r="R938">
        <f>Table2[[#This Row],[End_Date]]-Table2[[#This Row],[Start_Date]]</f>
        <v>29</v>
      </c>
      <c r="S938" t="str">
        <f>TEXT(Table2[[#This Row],[Start_Date]],"MMM")</f>
        <v>Dec</v>
      </c>
      <c r="T938">
        <f>YEAR(Table2[[#This Row],[Start_Date]])</f>
        <v>2025</v>
      </c>
      <c r="U938">
        <f>Table2[[#This Row],[Campaign_Cost (₹)]]/Table2[[#This Row],[Reach]]</f>
        <v>0.49557848096197732</v>
      </c>
      <c r="V938">
        <f>Table2[[#This Row],[Revenue_Generated (₹)]]/Table2[[#This Row],[Reach]]</f>
        <v>0.70320970518757753</v>
      </c>
    </row>
    <row r="939" spans="1:22" x14ac:dyDescent="0.3">
      <c r="A939" t="s">
        <v>990</v>
      </c>
      <c r="B939" t="s">
        <v>27</v>
      </c>
      <c r="C939" t="s">
        <v>28</v>
      </c>
      <c r="D939" t="s">
        <v>51</v>
      </c>
      <c r="E939">
        <v>1729537</v>
      </c>
      <c r="F939">
        <v>805606</v>
      </c>
      <c r="G939">
        <v>1318169</v>
      </c>
      <c r="H939">
        <v>114127</v>
      </c>
      <c r="I939">
        <v>10664</v>
      </c>
      <c r="J939">
        <v>2654</v>
      </c>
      <c r="K939">
        <f t="shared" si="28"/>
        <v>15.819767975908819</v>
      </c>
      <c r="L939">
        <v>258881</v>
      </c>
      <c r="M939">
        <v>1169433</v>
      </c>
      <c r="N939">
        <f t="shared" si="29"/>
        <v>351.72608264028645</v>
      </c>
      <c r="O939" s="4">
        <v>45672</v>
      </c>
      <c r="P939" s="4">
        <v>45682</v>
      </c>
      <c r="Q939" t="s">
        <v>25</v>
      </c>
      <c r="R939">
        <f>Table2[[#This Row],[End_Date]]-Table2[[#This Row],[Start_Date]]</f>
        <v>10</v>
      </c>
      <c r="S939" t="str">
        <f>TEXT(Table2[[#This Row],[Start_Date]],"MMM")</f>
        <v>Jan</v>
      </c>
      <c r="T939">
        <f>YEAR(Table2[[#This Row],[Start_Date]])</f>
        <v>2025</v>
      </c>
      <c r="U939">
        <f>Table2[[#This Row],[Campaign_Cost (₹)]]/Table2[[#This Row],[Reach]]</f>
        <v>0.32134939412069918</v>
      </c>
      <c r="V939">
        <f>Table2[[#This Row],[Revenue_Generated (₹)]]/Table2[[#This Row],[Reach]]</f>
        <v>1.4516190296497296</v>
      </c>
    </row>
    <row r="940" spans="1:22" x14ac:dyDescent="0.3">
      <c r="A940" t="s">
        <v>991</v>
      </c>
      <c r="B940" t="s">
        <v>39</v>
      </c>
      <c r="C940" t="s">
        <v>33</v>
      </c>
      <c r="D940" t="s">
        <v>51</v>
      </c>
      <c r="E940">
        <v>423898</v>
      </c>
      <c r="F940">
        <v>221494</v>
      </c>
      <c r="G940">
        <v>536979</v>
      </c>
      <c r="H940">
        <v>23842</v>
      </c>
      <c r="I940">
        <v>2669</v>
      </c>
      <c r="J940">
        <v>1053</v>
      </c>
      <c r="K940">
        <f t="shared" si="28"/>
        <v>12.444580891581714</v>
      </c>
      <c r="L940">
        <v>53989</v>
      </c>
      <c r="M940">
        <v>81045</v>
      </c>
      <c r="N940">
        <f t="shared" si="29"/>
        <v>50.113912093204171</v>
      </c>
      <c r="O940" s="4">
        <v>46024</v>
      </c>
      <c r="P940" s="4">
        <v>46031</v>
      </c>
      <c r="Q940" t="s">
        <v>34</v>
      </c>
      <c r="R940">
        <f>Table2[[#This Row],[End_Date]]-Table2[[#This Row],[Start_Date]]</f>
        <v>7</v>
      </c>
      <c r="S940" t="str">
        <f>TEXT(Table2[[#This Row],[Start_Date]],"MMM")</f>
        <v>Jan</v>
      </c>
      <c r="T940">
        <f>YEAR(Table2[[#This Row],[Start_Date]])</f>
        <v>2026</v>
      </c>
      <c r="U940">
        <f>Table2[[#This Row],[Campaign_Cost (₹)]]/Table2[[#This Row],[Reach]]</f>
        <v>0.24374926634581523</v>
      </c>
      <c r="V940">
        <f>Table2[[#This Row],[Revenue_Generated (₹)]]/Table2[[#This Row],[Reach]]</f>
        <v>0.3659015594101872</v>
      </c>
    </row>
    <row r="941" spans="1:22" x14ac:dyDescent="0.3">
      <c r="A941" t="s">
        <v>992</v>
      </c>
      <c r="B941" t="s">
        <v>103</v>
      </c>
      <c r="C941" t="s">
        <v>43</v>
      </c>
      <c r="D941" t="s">
        <v>58</v>
      </c>
      <c r="E941">
        <v>1664662</v>
      </c>
      <c r="F941">
        <v>1381537</v>
      </c>
      <c r="G941">
        <v>4053363</v>
      </c>
      <c r="H941">
        <v>121080</v>
      </c>
      <c r="I941">
        <v>14987</v>
      </c>
      <c r="J941">
        <v>12097</v>
      </c>
      <c r="K941">
        <f t="shared" si="28"/>
        <v>10.724577047158345</v>
      </c>
      <c r="L941">
        <v>250391</v>
      </c>
      <c r="M941">
        <v>1051890</v>
      </c>
      <c r="N941">
        <f t="shared" si="29"/>
        <v>320.09896521839846</v>
      </c>
      <c r="O941" s="4">
        <v>45937</v>
      </c>
      <c r="P941" s="4">
        <v>45944</v>
      </c>
      <c r="Q941" t="s">
        <v>25</v>
      </c>
      <c r="R941">
        <f>Table2[[#This Row],[End_Date]]-Table2[[#This Row],[Start_Date]]</f>
        <v>7</v>
      </c>
      <c r="S941" t="str">
        <f>TEXT(Table2[[#This Row],[Start_Date]],"MMM")</f>
        <v>Oct</v>
      </c>
      <c r="T941">
        <f>YEAR(Table2[[#This Row],[Start_Date]])</f>
        <v>2025</v>
      </c>
      <c r="U941">
        <f>Table2[[#This Row],[Campaign_Cost (₹)]]/Table2[[#This Row],[Reach]]</f>
        <v>0.18124089329493165</v>
      </c>
      <c r="V941">
        <f>Table2[[#This Row],[Revenue_Generated (₹)]]/Table2[[#This Row],[Reach]]</f>
        <v>0.76139111728458952</v>
      </c>
    </row>
    <row r="942" spans="1:22" x14ac:dyDescent="0.3">
      <c r="A942" t="s">
        <v>993</v>
      </c>
      <c r="B942" t="s">
        <v>36</v>
      </c>
      <c r="C942" t="s">
        <v>28</v>
      </c>
      <c r="D942" t="s">
        <v>20</v>
      </c>
      <c r="E942">
        <v>172143</v>
      </c>
      <c r="F942">
        <v>59695</v>
      </c>
      <c r="G942">
        <v>128695</v>
      </c>
      <c r="H942">
        <v>7688</v>
      </c>
      <c r="I942">
        <v>870</v>
      </c>
      <c r="J942">
        <v>592</v>
      </c>
      <c r="K942">
        <f t="shared" si="28"/>
        <v>15.327916910964067</v>
      </c>
      <c r="L942">
        <v>279374</v>
      </c>
      <c r="M942">
        <v>909592</v>
      </c>
      <c r="N942">
        <f t="shared" si="29"/>
        <v>225.58219447765362</v>
      </c>
      <c r="O942" s="4">
        <v>45997</v>
      </c>
      <c r="P942" s="4">
        <v>46026</v>
      </c>
      <c r="Q942" t="s">
        <v>30</v>
      </c>
      <c r="R942">
        <f>Table2[[#This Row],[End_Date]]-Table2[[#This Row],[Start_Date]]</f>
        <v>29</v>
      </c>
      <c r="S942" t="str">
        <f>TEXT(Table2[[#This Row],[Start_Date]],"MMM")</f>
        <v>Dec</v>
      </c>
      <c r="T942">
        <f>YEAR(Table2[[#This Row],[Start_Date]])</f>
        <v>2025</v>
      </c>
      <c r="U942">
        <f>Table2[[#This Row],[Campaign_Cost (₹)]]/Table2[[#This Row],[Reach]]</f>
        <v>4.6800234525504649</v>
      </c>
      <c r="V942">
        <f>Table2[[#This Row],[Revenue_Generated (₹)]]/Table2[[#This Row],[Reach]]</f>
        <v>15.237323058882653</v>
      </c>
    </row>
    <row r="943" spans="1:22" x14ac:dyDescent="0.3">
      <c r="A943" t="s">
        <v>994</v>
      </c>
      <c r="B943" t="s">
        <v>45</v>
      </c>
      <c r="C943" t="s">
        <v>28</v>
      </c>
      <c r="D943" t="s">
        <v>58</v>
      </c>
      <c r="E943">
        <v>314675</v>
      </c>
      <c r="F943">
        <v>103000</v>
      </c>
      <c r="G943">
        <v>220454</v>
      </c>
      <c r="H943">
        <v>3471</v>
      </c>
      <c r="I943">
        <v>487</v>
      </c>
      <c r="J943">
        <v>321</v>
      </c>
      <c r="K943">
        <f t="shared" si="28"/>
        <v>4.1543689320388353</v>
      </c>
      <c r="L943">
        <v>417933</v>
      </c>
      <c r="M943">
        <v>1802970</v>
      </c>
      <c r="N943">
        <f t="shared" si="29"/>
        <v>331.40168400198121</v>
      </c>
      <c r="O943" s="4">
        <v>45902</v>
      </c>
      <c r="P943" s="4">
        <v>45918</v>
      </c>
      <c r="Q943" t="s">
        <v>41</v>
      </c>
      <c r="R943">
        <f>Table2[[#This Row],[End_Date]]-Table2[[#This Row],[Start_Date]]</f>
        <v>16</v>
      </c>
      <c r="S943" t="str">
        <f>TEXT(Table2[[#This Row],[Start_Date]],"MMM")</f>
        <v>Sep</v>
      </c>
      <c r="T943">
        <f>YEAR(Table2[[#This Row],[Start_Date]])</f>
        <v>2025</v>
      </c>
      <c r="U943">
        <f>Table2[[#This Row],[Campaign_Cost (₹)]]/Table2[[#This Row],[Reach]]</f>
        <v>4.0576019417475724</v>
      </c>
      <c r="V943">
        <f>Table2[[#This Row],[Revenue_Generated (₹)]]/Table2[[#This Row],[Reach]]</f>
        <v>17.504563106796116</v>
      </c>
    </row>
    <row r="944" spans="1:22" x14ac:dyDescent="0.3">
      <c r="A944" t="s">
        <v>995</v>
      </c>
      <c r="B944" t="s">
        <v>36</v>
      </c>
      <c r="C944" t="s">
        <v>33</v>
      </c>
      <c r="D944" t="s">
        <v>20</v>
      </c>
      <c r="E944">
        <v>901418</v>
      </c>
      <c r="F944">
        <v>271985</v>
      </c>
      <c r="G944">
        <v>343288</v>
      </c>
      <c r="H944">
        <v>16538</v>
      </c>
      <c r="I944">
        <v>2212</v>
      </c>
      <c r="J944">
        <v>973</v>
      </c>
      <c r="K944">
        <f t="shared" si="28"/>
        <v>7.2515028402301605</v>
      </c>
      <c r="L944">
        <v>191523</v>
      </c>
      <c r="M944">
        <v>897128</v>
      </c>
      <c r="N944">
        <f t="shared" si="29"/>
        <v>368.41789236801844</v>
      </c>
      <c r="O944" s="4">
        <v>45908</v>
      </c>
      <c r="P944" s="4">
        <v>45916</v>
      </c>
      <c r="Q944" t="s">
        <v>41</v>
      </c>
      <c r="R944">
        <f>Table2[[#This Row],[End_Date]]-Table2[[#This Row],[Start_Date]]</f>
        <v>8</v>
      </c>
      <c r="S944" t="str">
        <f>TEXT(Table2[[#This Row],[Start_Date]],"MMM")</f>
        <v>Sep</v>
      </c>
      <c r="T944">
        <f>YEAR(Table2[[#This Row],[Start_Date]])</f>
        <v>2025</v>
      </c>
      <c r="U944">
        <f>Table2[[#This Row],[Campaign_Cost (₹)]]/Table2[[#This Row],[Reach]]</f>
        <v>0.70416750923764182</v>
      </c>
      <c r="V944">
        <f>Table2[[#This Row],[Revenue_Generated (₹)]]/Table2[[#This Row],[Reach]]</f>
        <v>3.2984466055113333</v>
      </c>
    </row>
    <row r="945" spans="1:22" x14ac:dyDescent="0.3">
      <c r="A945" t="s">
        <v>996</v>
      </c>
      <c r="B945" t="s">
        <v>23</v>
      </c>
      <c r="C945" t="s">
        <v>43</v>
      </c>
      <c r="D945" t="s">
        <v>46</v>
      </c>
      <c r="E945">
        <v>950742</v>
      </c>
      <c r="F945">
        <v>516473</v>
      </c>
      <c r="G945">
        <v>1091345</v>
      </c>
      <c r="H945">
        <v>17100</v>
      </c>
      <c r="I945">
        <v>1845</v>
      </c>
      <c r="J945">
        <v>1060</v>
      </c>
      <c r="K945">
        <f t="shared" si="28"/>
        <v>3.8733873793983422</v>
      </c>
      <c r="L945">
        <v>78541</v>
      </c>
      <c r="M945">
        <v>177725</v>
      </c>
      <c r="N945">
        <f t="shared" si="29"/>
        <v>126.28308781400797</v>
      </c>
      <c r="O945" s="4">
        <v>45681</v>
      </c>
      <c r="P945" s="4">
        <v>45689</v>
      </c>
      <c r="Q945" t="s">
        <v>78</v>
      </c>
      <c r="R945">
        <f>Table2[[#This Row],[End_Date]]-Table2[[#This Row],[Start_Date]]</f>
        <v>8</v>
      </c>
      <c r="S945" t="str">
        <f>TEXT(Table2[[#This Row],[Start_Date]],"MMM")</f>
        <v>Jan</v>
      </c>
      <c r="T945">
        <f>YEAR(Table2[[#This Row],[Start_Date]])</f>
        <v>2025</v>
      </c>
      <c r="U945">
        <f>Table2[[#This Row],[Campaign_Cost (₹)]]/Table2[[#This Row],[Reach]]</f>
        <v>0.15207184112238201</v>
      </c>
      <c r="V945">
        <f>Table2[[#This Row],[Revenue_Generated (₹)]]/Table2[[#This Row],[Reach]]</f>
        <v>0.34411285778733836</v>
      </c>
    </row>
    <row r="946" spans="1:22" x14ac:dyDescent="0.3">
      <c r="A946" t="s">
        <v>997</v>
      </c>
      <c r="B946" t="s">
        <v>39</v>
      </c>
      <c r="C946" t="s">
        <v>43</v>
      </c>
      <c r="D946" t="s">
        <v>51</v>
      </c>
      <c r="E946">
        <v>921588</v>
      </c>
      <c r="F946">
        <v>261579</v>
      </c>
      <c r="G946">
        <v>412781</v>
      </c>
      <c r="H946">
        <v>11608</v>
      </c>
      <c r="I946">
        <v>932</v>
      </c>
      <c r="J946">
        <v>879</v>
      </c>
      <c r="K946">
        <f t="shared" si="28"/>
        <v>5.1299989678070483</v>
      </c>
      <c r="L946">
        <v>494922</v>
      </c>
      <c r="M946">
        <v>1047313</v>
      </c>
      <c r="N946">
        <f t="shared" si="29"/>
        <v>111.6117287168483</v>
      </c>
      <c r="O946" s="4">
        <v>46127</v>
      </c>
      <c r="P946" s="4">
        <v>46143</v>
      </c>
      <c r="Q946" t="s">
        <v>25</v>
      </c>
      <c r="R946">
        <f>Table2[[#This Row],[End_Date]]-Table2[[#This Row],[Start_Date]]</f>
        <v>16</v>
      </c>
      <c r="S946" t="str">
        <f>TEXT(Table2[[#This Row],[Start_Date]],"MMM")</f>
        <v>Apr</v>
      </c>
      <c r="T946">
        <f>YEAR(Table2[[#This Row],[Start_Date]])</f>
        <v>2026</v>
      </c>
      <c r="U946">
        <f>Table2[[#This Row],[Campaign_Cost (₹)]]/Table2[[#This Row],[Reach]]</f>
        <v>1.8920555549183995</v>
      </c>
      <c r="V946">
        <f>Table2[[#This Row],[Revenue_Generated (₹)]]/Table2[[#This Row],[Reach]]</f>
        <v>4.0038114680459822</v>
      </c>
    </row>
    <row r="947" spans="1:22" x14ac:dyDescent="0.3">
      <c r="A947" t="s">
        <v>998</v>
      </c>
      <c r="B947" t="s">
        <v>53</v>
      </c>
      <c r="C947" t="s">
        <v>28</v>
      </c>
      <c r="D947" t="s">
        <v>29</v>
      </c>
      <c r="E947">
        <v>1787322</v>
      </c>
      <c r="F947">
        <v>642749</v>
      </c>
      <c r="G947">
        <v>1071186</v>
      </c>
      <c r="H947">
        <v>16479</v>
      </c>
      <c r="I947">
        <v>2345</v>
      </c>
      <c r="J947">
        <v>612</v>
      </c>
      <c r="K947">
        <f t="shared" si="28"/>
        <v>3.0238864626782771</v>
      </c>
      <c r="L947">
        <v>134078</v>
      </c>
      <c r="M947">
        <v>659880</v>
      </c>
      <c r="N947">
        <f t="shared" si="29"/>
        <v>392.16127925535881</v>
      </c>
      <c r="O947" s="4">
        <v>45729</v>
      </c>
      <c r="P947" s="4">
        <v>45736</v>
      </c>
      <c r="Q947" t="s">
        <v>41</v>
      </c>
      <c r="R947">
        <f>Table2[[#This Row],[End_Date]]-Table2[[#This Row],[Start_Date]]</f>
        <v>7</v>
      </c>
      <c r="S947" t="str">
        <f>TEXT(Table2[[#This Row],[Start_Date]],"MMM")</f>
        <v>Mar</v>
      </c>
      <c r="T947">
        <f>YEAR(Table2[[#This Row],[Start_Date]])</f>
        <v>2025</v>
      </c>
      <c r="U947">
        <f>Table2[[#This Row],[Campaign_Cost (₹)]]/Table2[[#This Row],[Reach]]</f>
        <v>0.20860086907953182</v>
      </c>
      <c r="V947">
        <f>Table2[[#This Row],[Revenue_Generated (₹)]]/Table2[[#This Row],[Reach]]</f>
        <v>1.02665270579962</v>
      </c>
    </row>
    <row r="948" spans="1:22" x14ac:dyDescent="0.3">
      <c r="A948" t="s">
        <v>999</v>
      </c>
      <c r="B948" t="s">
        <v>18</v>
      </c>
      <c r="C948" t="s">
        <v>33</v>
      </c>
      <c r="D948" t="s">
        <v>40</v>
      </c>
      <c r="E948">
        <v>284594</v>
      </c>
      <c r="F948">
        <v>102518</v>
      </c>
      <c r="G948">
        <v>126444</v>
      </c>
      <c r="H948">
        <v>11747</v>
      </c>
      <c r="I948">
        <v>1602</v>
      </c>
      <c r="J948">
        <v>252</v>
      </c>
      <c r="K948">
        <f t="shared" si="28"/>
        <v>13.266938488850737</v>
      </c>
      <c r="L948">
        <v>238545</v>
      </c>
      <c r="M948">
        <v>963339</v>
      </c>
      <c r="N948">
        <f t="shared" si="29"/>
        <v>303.83952713324527</v>
      </c>
      <c r="O948" s="4">
        <v>45930</v>
      </c>
      <c r="P948" s="4">
        <v>45952</v>
      </c>
      <c r="Q948" t="s">
        <v>47</v>
      </c>
      <c r="R948">
        <f>Table2[[#This Row],[End_Date]]-Table2[[#This Row],[Start_Date]]</f>
        <v>22</v>
      </c>
      <c r="S948" t="str">
        <f>TEXT(Table2[[#This Row],[Start_Date]],"MMM")</f>
        <v>Sep</v>
      </c>
      <c r="T948">
        <f>YEAR(Table2[[#This Row],[Start_Date]])</f>
        <v>2025</v>
      </c>
      <c r="U948">
        <f>Table2[[#This Row],[Campaign_Cost (₹)]]/Table2[[#This Row],[Reach]]</f>
        <v>2.3268596734232037</v>
      </c>
      <c r="V948">
        <f>Table2[[#This Row],[Revenue_Generated (₹)]]/Table2[[#This Row],[Reach]]</f>
        <v>9.3967791022064411</v>
      </c>
    </row>
    <row r="949" spans="1:22" x14ac:dyDescent="0.3">
      <c r="A949" t="s">
        <v>1000</v>
      </c>
      <c r="B949" t="s">
        <v>49</v>
      </c>
      <c r="C949" t="s">
        <v>28</v>
      </c>
      <c r="D949" t="s">
        <v>58</v>
      </c>
      <c r="E949">
        <v>842002</v>
      </c>
      <c r="F949">
        <v>641323</v>
      </c>
      <c r="G949">
        <v>1591033</v>
      </c>
      <c r="H949">
        <v>74818</v>
      </c>
      <c r="I949">
        <v>4066</v>
      </c>
      <c r="J949">
        <v>3527</v>
      </c>
      <c r="K949">
        <f t="shared" si="28"/>
        <v>12.850155070066096</v>
      </c>
      <c r="L949">
        <v>419220</v>
      </c>
      <c r="M949">
        <v>1313509</v>
      </c>
      <c r="N949">
        <f t="shared" si="29"/>
        <v>213.3221220361624</v>
      </c>
      <c r="O949" s="4">
        <v>46006</v>
      </c>
      <c r="P949" s="4">
        <v>46029</v>
      </c>
      <c r="Q949" t="s">
        <v>21</v>
      </c>
      <c r="R949">
        <f>Table2[[#This Row],[End_Date]]-Table2[[#This Row],[Start_Date]]</f>
        <v>23</v>
      </c>
      <c r="S949" t="str">
        <f>TEXT(Table2[[#This Row],[Start_Date]],"MMM")</f>
        <v>Dec</v>
      </c>
      <c r="T949">
        <f>YEAR(Table2[[#This Row],[Start_Date]])</f>
        <v>2025</v>
      </c>
      <c r="U949">
        <f>Table2[[#This Row],[Campaign_Cost (₹)]]/Table2[[#This Row],[Reach]]</f>
        <v>0.65367997093508268</v>
      </c>
      <c r="V949">
        <f>Table2[[#This Row],[Revenue_Generated (₹)]]/Table2[[#This Row],[Reach]]</f>
        <v>2.0481239562591704</v>
      </c>
    </row>
    <row r="950" spans="1:22" x14ac:dyDescent="0.3">
      <c r="A950" t="s">
        <v>1001</v>
      </c>
      <c r="B950" t="s">
        <v>45</v>
      </c>
      <c r="C950" t="s">
        <v>28</v>
      </c>
      <c r="D950" t="s">
        <v>40</v>
      </c>
      <c r="E950">
        <v>639256</v>
      </c>
      <c r="F950">
        <v>350659</v>
      </c>
      <c r="G950">
        <v>493202</v>
      </c>
      <c r="H950">
        <v>32462</v>
      </c>
      <c r="I950">
        <v>1531</v>
      </c>
      <c r="J950">
        <v>1957</v>
      </c>
      <c r="K950">
        <f t="shared" si="28"/>
        <v>10.252125284107922</v>
      </c>
      <c r="L950">
        <v>139067</v>
      </c>
      <c r="M950">
        <v>218072</v>
      </c>
      <c r="N950">
        <f t="shared" si="29"/>
        <v>56.810745899458539</v>
      </c>
      <c r="O950" s="4">
        <v>45811</v>
      </c>
      <c r="P950" s="4">
        <v>45829</v>
      </c>
      <c r="Q950" t="s">
        <v>78</v>
      </c>
      <c r="R950">
        <f>Table2[[#This Row],[End_Date]]-Table2[[#This Row],[Start_Date]]</f>
        <v>18</v>
      </c>
      <c r="S950" t="str">
        <f>TEXT(Table2[[#This Row],[Start_Date]],"MMM")</f>
        <v>Jun</v>
      </c>
      <c r="T950">
        <f>YEAR(Table2[[#This Row],[Start_Date]])</f>
        <v>2025</v>
      </c>
      <c r="U950">
        <f>Table2[[#This Row],[Campaign_Cost (₹)]]/Table2[[#This Row],[Reach]]</f>
        <v>0.39658756797914785</v>
      </c>
      <c r="V950">
        <f>Table2[[#This Row],[Revenue_Generated (₹)]]/Table2[[#This Row],[Reach]]</f>
        <v>0.6218919234926239</v>
      </c>
    </row>
    <row r="951" spans="1:22" x14ac:dyDescent="0.3">
      <c r="A951" t="s">
        <v>1002</v>
      </c>
      <c r="B951" t="s">
        <v>57</v>
      </c>
      <c r="C951" t="s">
        <v>33</v>
      </c>
      <c r="D951" t="s">
        <v>20</v>
      </c>
      <c r="E951">
        <v>647871</v>
      </c>
      <c r="F951">
        <v>481012</v>
      </c>
      <c r="G951">
        <v>683897</v>
      </c>
      <c r="H951">
        <v>57891</v>
      </c>
      <c r="I951">
        <v>3924</v>
      </c>
      <c r="J951">
        <v>5277</v>
      </c>
      <c r="K951">
        <f t="shared" si="28"/>
        <v>13.94809277107432</v>
      </c>
      <c r="L951">
        <v>102880</v>
      </c>
      <c r="M951">
        <v>502584</v>
      </c>
      <c r="N951">
        <f t="shared" si="29"/>
        <v>388.51477449455678</v>
      </c>
      <c r="O951" s="4">
        <v>46150</v>
      </c>
      <c r="P951" s="4">
        <v>46173</v>
      </c>
      <c r="Q951" t="s">
        <v>25</v>
      </c>
      <c r="R951">
        <f>Table2[[#This Row],[End_Date]]-Table2[[#This Row],[Start_Date]]</f>
        <v>23</v>
      </c>
      <c r="S951" t="str">
        <f>TEXT(Table2[[#This Row],[Start_Date]],"MMM")</f>
        <v>May</v>
      </c>
      <c r="T951">
        <f>YEAR(Table2[[#This Row],[Start_Date]])</f>
        <v>2026</v>
      </c>
      <c r="U951">
        <f>Table2[[#This Row],[Campaign_Cost (₹)]]/Table2[[#This Row],[Reach]]</f>
        <v>0.21388239794433403</v>
      </c>
      <c r="V951">
        <f>Table2[[#This Row],[Revenue_Generated (₹)]]/Table2[[#This Row],[Reach]]</f>
        <v>1.0448471140013138</v>
      </c>
    </row>
    <row r="952" spans="1:22" x14ac:dyDescent="0.3">
      <c r="A952" t="s">
        <v>1003</v>
      </c>
      <c r="B952" t="s">
        <v>23</v>
      </c>
      <c r="C952" t="s">
        <v>19</v>
      </c>
      <c r="D952" t="s">
        <v>20</v>
      </c>
      <c r="E952">
        <v>1660392</v>
      </c>
      <c r="F952">
        <v>923380</v>
      </c>
      <c r="G952">
        <v>2048346</v>
      </c>
      <c r="H952">
        <v>86729</v>
      </c>
      <c r="I952">
        <v>8062</v>
      </c>
      <c r="J952">
        <v>2988</v>
      </c>
      <c r="K952">
        <f t="shared" si="28"/>
        <v>10.589248196842037</v>
      </c>
      <c r="L952">
        <v>435925</v>
      </c>
      <c r="M952">
        <v>1953776</v>
      </c>
      <c r="N952">
        <f t="shared" si="29"/>
        <v>348.19085851924069</v>
      </c>
      <c r="O952" s="4">
        <v>45809</v>
      </c>
      <c r="P952" s="4">
        <v>45818</v>
      </c>
      <c r="Q952" t="s">
        <v>25</v>
      </c>
      <c r="R952">
        <f>Table2[[#This Row],[End_Date]]-Table2[[#This Row],[Start_Date]]</f>
        <v>9</v>
      </c>
      <c r="S952" t="str">
        <f>TEXT(Table2[[#This Row],[Start_Date]],"MMM")</f>
        <v>Jun</v>
      </c>
      <c r="T952">
        <f>YEAR(Table2[[#This Row],[Start_Date]])</f>
        <v>2025</v>
      </c>
      <c r="U952">
        <f>Table2[[#This Row],[Campaign_Cost (₹)]]/Table2[[#This Row],[Reach]]</f>
        <v>0.47209707812601531</v>
      </c>
      <c r="V952">
        <f>Table2[[#This Row],[Revenue_Generated (₹)]]/Table2[[#This Row],[Reach]]</f>
        <v>2.1158959474972385</v>
      </c>
    </row>
    <row r="953" spans="1:22" x14ac:dyDescent="0.3">
      <c r="A953" t="s">
        <v>1004</v>
      </c>
      <c r="B953" t="s">
        <v>23</v>
      </c>
      <c r="C953" t="s">
        <v>19</v>
      </c>
      <c r="D953" t="s">
        <v>24</v>
      </c>
      <c r="E953">
        <v>1378485</v>
      </c>
      <c r="F953">
        <v>479803</v>
      </c>
      <c r="G953">
        <v>875115</v>
      </c>
      <c r="H953">
        <v>54064</v>
      </c>
      <c r="I953">
        <v>6387</v>
      </c>
      <c r="J953">
        <v>4816</v>
      </c>
      <c r="K953">
        <f t="shared" si="28"/>
        <v>13.602874513081412</v>
      </c>
      <c r="L953">
        <v>281859</v>
      </c>
      <c r="M953">
        <v>424220</v>
      </c>
      <c r="N953">
        <f t="shared" si="29"/>
        <v>50.507878052501432</v>
      </c>
      <c r="O953" s="4">
        <v>45691</v>
      </c>
      <c r="P953" s="4">
        <v>45710</v>
      </c>
      <c r="Q953" t="s">
        <v>41</v>
      </c>
      <c r="R953">
        <f>Table2[[#This Row],[End_Date]]-Table2[[#This Row],[Start_Date]]</f>
        <v>19</v>
      </c>
      <c r="S953" t="str">
        <f>TEXT(Table2[[#This Row],[Start_Date]],"MMM")</f>
        <v>Feb</v>
      </c>
      <c r="T953">
        <f>YEAR(Table2[[#This Row],[Start_Date]])</f>
        <v>2025</v>
      </c>
      <c r="U953">
        <f>Table2[[#This Row],[Campaign_Cost (₹)]]/Table2[[#This Row],[Reach]]</f>
        <v>0.58744734818248323</v>
      </c>
      <c r="V953">
        <f>Table2[[#This Row],[Revenue_Generated (₹)]]/Table2[[#This Row],[Reach]]</f>
        <v>0.88415453842514535</v>
      </c>
    </row>
    <row r="954" spans="1:22" x14ac:dyDescent="0.3">
      <c r="A954" t="s">
        <v>1005</v>
      </c>
      <c r="B954" t="s">
        <v>32</v>
      </c>
      <c r="C954" t="s">
        <v>28</v>
      </c>
      <c r="D954" t="s">
        <v>46</v>
      </c>
      <c r="E954">
        <v>315111</v>
      </c>
      <c r="F954">
        <v>270880</v>
      </c>
      <c r="G954">
        <v>648241</v>
      </c>
      <c r="H954">
        <v>13957</v>
      </c>
      <c r="I954">
        <v>1333</v>
      </c>
      <c r="J954">
        <v>385</v>
      </c>
      <c r="K954">
        <f t="shared" si="28"/>
        <v>5.7866952155936211</v>
      </c>
      <c r="L954">
        <v>294521</v>
      </c>
      <c r="M954">
        <v>491400</v>
      </c>
      <c r="N954">
        <f t="shared" si="29"/>
        <v>66.847185769435796</v>
      </c>
      <c r="O954" s="4">
        <v>45954</v>
      </c>
      <c r="P954" s="4">
        <v>45961</v>
      </c>
      <c r="Q954" t="s">
        <v>25</v>
      </c>
      <c r="R954">
        <f>Table2[[#This Row],[End_Date]]-Table2[[#This Row],[Start_Date]]</f>
        <v>7</v>
      </c>
      <c r="S954" t="str">
        <f>TEXT(Table2[[#This Row],[Start_Date]],"MMM")</f>
        <v>Oct</v>
      </c>
      <c r="T954">
        <f>YEAR(Table2[[#This Row],[Start_Date]])</f>
        <v>2025</v>
      </c>
      <c r="U954">
        <f>Table2[[#This Row],[Campaign_Cost (₹)]]/Table2[[#This Row],[Reach]]</f>
        <v>1.0872748080330774</v>
      </c>
      <c r="V954">
        <f>Table2[[#This Row],[Revenue_Generated (₹)]]/Table2[[#This Row],[Reach]]</f>
        <v>1.814087418783225</v>
      </c>
    </row>
    <row r="955" spans="1:22" x14ac:dyDescent="0.3">
      <c r="A955" t="s">
        <v>1006</v>
      </c>
      <c r="B955" t="s">
        <v>57</v>
      </c>
      <c r="C955" t="s">
        <v>33</v>
      </c>
      <c r="D955" t="s">
        <v>40</v>
      </c>
      <c r="E955">
        <v>532981</v>
      </c>
      <c r="F955">
        <v>219526</v>
      </c>
      <c r="G955">
        <v>548171</v>
      </c>
      <c r="H955">
        <v>18733</v>
      </c>
      <c r="I955">
        <v>1310</v>
      </c>
      <c r="J955">
        <v>1721</v>
      </c>
      <c r="K955">
        <f t="shared" si="28"/>
        <v>9.9140876251560179</v>
      </c>
      <c r="L955">
        <v>274815</v>
      </c>
      <c r="M955">
        <v>564531</v>
      </c>
      <c r="N955">
        <f t="shared" si="29"/>
        <v>105.42219311172971</v>
      </c>
      <c r="O955" s="4">
        <v>45896</v>
      </c>
      <c r="P955" s="4">
        <v>45923</v>
      </c>
      <c r="Q955" t="s">
        <v>41</v>
      </c>
      <c r="R955">
        <f>Table2[[#This Row],[End_Date]]-Table2[[#This Row],[Start_Date]]</f>
        <v>27</v>
      </c>
      <c r="S955" t="str">
        <f>TEXT(Table2[[#This Row],[Start_Date]],"MMM")</f>
        <v>Aug</v>
      </c>
      <c r="T955">
        <f>YEAR(Table2[[#This Row],[Start_Date]])</f>
        <v>2025</v>
      </c>
      <c r="U955">
        <f>Table2[[#This Row],[Campaign_Cost (₹)]]/Table2[[#This Row],[Reach]]</f>
        <v>1.251856272149996</v>
      </c>
      <c r="V955">
        <f>Table2[[#This Row],[Revenue_Generated (₹)]]/Table2[[#This Row],[Reach]]</f>
        <v>2.5715906088572651</v>
      </c>
    </row>
    <row r="956" spans="1:22" x14ac:dyDescent="0.3">
      <c r="A956" t="s">
        <v>1007</v>
      </c>
      <c r="B956" t="s">
        <v>32</v>
      </c>
      <c r="C956" t="s">
        <v>43</v>
      </c>
      <c r="D956" t="s">
        <v>20</v>
      </c>
      <c r="E956">
        <v>1503953</v>
      </c>
      <c r="F956">
        <v>572590</v>
      </c>
      <c r="G956">
        <v>1448954</v>
      </c>
      <c r="H956">
        <v>78576</v>
      </c>
      <c r="I956">
        <v>9067</v>
      </c>
      <c r="J956">
        <v>6617</v>
      </c>
      <c r="K956">
        <f t="shared" si="28"/>
        <v>16.462040901866956</v>
      </c>
      <c r="L956">
        <v>494181</v>
      </c>
      <c r="M956">
        <v>2137638</v>
      </c>
      <c r="N956">
        <f t="shared" si="29"/>
        <v>332.56175368943769</v>
      </c>
      <c r="O956" s="4">
        <v>45804</v>
      </c>
      <c r="P956" s="4">
        <v>45824</v>
      </c>
      <c r="Q956" t="s">
        <v>34</v>
      </c>
      <c r="R956">
        <f>Table2[[#This Row],[End_Date]]-Table2[[#This Row],[Start_Date]]</f>
        <v>20</v>
      </c>
      <c r="S956" t="str">
        <f>TEXT(Table2[[#This Row],[Start_Date]],"MMM")</f>
        <v>May</v>
      </c>
      <c r="T956">
        <f>YEAR(Table2[[#This Row],[Start_Date]])</f>
        <v>2025</v>
      </c>
      <c r="U956">
        <f>Table2[[#This Row],[Campaign_Cost (₹)]]/Table2[[#This Row],[Reach]]</f>
        <v>0.86306257531567088</v>
      </c>
      <c r="V956">
        <f>Table2[[#This Row],[Revenue_Generated (₹)]]/Table2[[#This Row],[Reach]]</f>
        <v>3.7332786112226897</v>
      </c>
    </row>
    <row r="957" spans="1:22" x14ac:dyDescent="0.3">
      <c r="A957" t="s">
        <v>1008</v>
      </c>
      <c r="B957" t="s">
        <v>53</v>
      </c>
      <c r="C957" t="s">
        <v>33</v>
      </c>
      <c r="D957" t="s">
        <v>72</v>
      </c>
      <c r="E957">
        <v>1906309</v>
      </c>
      <c r="F957">
        <v>599413</v>
      </c>
      <c r="G957">
        <v>1619786</v>
      </c>
      <c r="H957">
        <v>62637</v>
      </c>
      <c r="I957">
        <v>6242</v>
      </c>
      <c r="J957">
        <v>4503</v>
      </c>
      <c r="K957">
        <f t="shared" si="28"/>
        <v>12.242310393668472</v>
      </c>
      <c r="L957">
        <v>41439</v>
      </c>
      <c r="M957">
        <v>150831</v>
      </c>
      <c r="N957">
        <f t="shared" si="29"/>
        <v>263.98320422790124</v>
      </c>
      <c r="O957" s="4">
        <v>46002</v>
      </c>
      <c r="P957" s="4">
        <v>46022</v>
      </c>
      <c r="Q957" t="s">
        <v>41</v>
      </c>
      <c r="R957">
        <f>Table2[[#This Row],[End_Date]]-Table2[[#This Row],[Start_Date]]</f>
        <v>20</v>
      </c>
      <c r="S957" t="str">
        <f>TEXT(Table2[[#This Row],[Start_Date]],"MMM")</f>
        <v>Dec</v>
      </c>
      <c r="T957">
        <f>YEAR(Table2[[#This Row],[Start_Date]])</f>
        <v>2025</v>
      </c>
      <c r="U957">
        <f>Table2[[#This Row],[Campaign_Cost (₹)]]/Table2[[#This Row],[Reach]]</f>
        <v>6.9132634761007852E-2</v>
      </c>
      <c r="V957">
        <f>Table2[[#This Row],[Revenue_Generated (₹)]]/Table2[[#This Row],[Reach]]</f>
        <v>0.25163117917028827</v>
      </c>
    </row>
    <row r="958" spans="1:22" x14ac:dyDescent="0.3">
      <c r="A958" t="s">
        <v>1009</v>
      </c>
      <c r="B958" t="s">
        <v>39</v>
      </c>
      <c r="C958" t="s">
        <v>33</v>
      </c>
      <c r="D958" t="s">
        <v>29</v>
      </c>
      <c r="E958">
        <v>1697727</v>
      </c>
      <c r="F958">
        <v>870683</v>
      </c>
      <c r="G958">
        <v>1632822</v>
      </c>
      <c r="H958">
        <v>93954</v>
      </c>
      <c r="I958">
        <v>13302</v>
      </c>
      <c r="J958">
        <v>6265</v>
      </c>
      <c r="K958">
        <f t="shared" si="28"/>
        <v>13.038155103522179</v>
      </c>
      <c r="L958">
        <v>436297</v>
      </c>
      <c r="M958">
        <v>1233211</v>
      </c>
      <c r="N958">
        <f t="shared" si="29"/>
        <v>182.65401779063345</v>
      </c>
      <c r="O958" s="4">
        <v>45787</v>
      </c>
      <c r="P958" s="4">
        <v>45801</v>
      </c>
      <c r="Q958" t="s">
        <v>54</v>
      </c>
      <c r="R958">
        <f>Table2[[#This Row],[End_Date]]-Table2[[#This Row],[Start_Date]]</f>
        <v>14</v>
      </c>
      <c r="S958" t="str">
        <f>TEXT(Table2[[#This Row],[Start_Date]],"MMM")</f>
        <v>May</v>
      </c>
      <c r="T958">
        <f>YEAR(Table2[[#This Row],[Start_Date]])</f>
        <v>2025</v>
      </c>
      <c r="U958">
        <f>Table2[[#This Row],[Campaign_Cost (₹)]]/Table2[[#This Row],[Reach]]</f>
        <v>0.5010974143287511</v>
      </c>
      <c r="V958">
        <f>Table2[[#This Row],[Revenue_Generated (₹)]]/Table2[[#This Row],[Reach]]</f>
        <v>1.4163719746451924</v>
      </c>
    </row>
    <row r="959" spans="1:22" x14ac:dyDescent="0.3">
      <c r="A959" t="s">
        <v>1010</v>
      </c>
      <c r="B959" t="s">
        <v>75</v>
      </c>
      <c r="C959" t="s">
        <v>19</v>
      </c>
      <c r="D959" t="s">
        <v>29</v>
      </c>
      <c r="E959">
        <v>1187626</v>
      </c>
      <c r="F959">
        <v>551220</v>
      </c>
      <c r="G959">
        <v>833517</v>
      </c>
      <c r="H959">
        <v>41249</v>
      </c>
      <c r="I959">
        <v>5048</v>
      </c>
      <c r="J959">
        <v>2087</v>
      </c>
      <c r="K959">
        <f t="shared" si="28"/>
        <v>8.7776205507782734</v>
      </c>
      <c r="L959">
        <v>291719</v>
      </c>
      <c r="M959">
        <v>799261</v>
      </c>
      <c r="N959">
        <f t="shared" si="29"/>
        <v>173.98318244612111</v>
      </c>
      <c r="O959" s="4">
        <v>45932</v>
      </c>
      <c r="P959" s="4">
        <v>45961</v>
      </c>
      <c r="Q959" t="s">
        <v>25</v>
      </c>
      <c r="R959">
        <f>Table2[[#This Row],[End_Date]]-Table2[[#This Row],[Start_Date]]</f>
        <v>29</v>
      </c>
      <c r="S959" t="str">
        <f>TEXT(Table2[[#This Row],[Start_Date]],"MMM")</f>
        <v>Oct</v>
      </c>
      <c r="T959">
        <f>YEAR(Table2[[#This Row],[Start_Date]])</f>
        <v>2025</v>
      </c>
      <c r="U959">
        <f>Table2[[#This Row],[Campaign_Cost (₹)]]/Table2[[#This Row],[Reach]]</f>
        <v>0.52922426617321583</v>
      </c>
      <c r="V959">
        <f>Table2[[#This Row],[Revenue_Generated (₹)]]/Table2[[#This Row],[Reach]]</f>
        <v>1.4499854867385074</v>
      </c>
    </row>
    <row r="960" spans="1:22" x14ac:dyDescent="0.3">
      <c r="A960" t="s">
        <v>1011</v>
      </c>
      <c r="B960" t="s">
        <v>23</v>
      </c>
      <c r="C960" t="s">
        <v>19</v>
      </c>
      <c r="D960" t="s">
        <v>29</v>
      </c>
      <c r="E960">
        <v>1022154</v>
      </c>
      <c r="F960">
        <v>820770</v>
      </c>
      <c r="G960">
        <v>1319618</v>
      </c>
      <c r="H960">
        <v>77368</v>
      </c>
      <c r="I960">
        <v>7349</v>
      </c>
      <c r="J960">
        <v>1862</v>
      </c>
      <c r="K960">
        <f t="shared" si="28"/>
        <v>10.548509326607942</v>
      </c>
      <c r="L960">
        <v>185267</v>
      </c>
      <c r="M960">
        <v>581875</v>
      </c>
      <c r="N960">
        <f t="shared" si="29"/>
        <v>214.07374222068691</v>
      </c>
      <c r="O960" s="4">
        <v>45779</v>
      </c>
      <c r="P960" s="4">
        <v>45797</v>
      </c>
      <c r="Q960" t="s">
        <v>54</v>
      </c>
      <c r="R960">
        <f>Table2[[#This Row],[End_Date]]-Table2[[#This Row],[Start_Date]]</f>
        <v>18</v>
      </c>
      <c r="S960" t="str">
        <f>TEXT(Table2[[#This Row],[Start_Date]],"MMM")</f>
        <v>May</v>
      </c>
      <c r="T960">
        <f>YEAR(Table2[[#This Row],[Start_Date]])</f>
        <v>2025</v>
      </c>
      <c r="U960">
        <f>Table2[[#This Row],[Campaign_Cost (₹)]]/Table2[[#This Row],[Reach]]</f>
        <v>0.22572340606990995</v>
      </c>
      <c r="V960">
        <f>Table2[[#This Row],[Revenue_Generated (₹)]]/Table2[[#This Row],[Reach]]</f>
        <v>0.70893794851176339</v>
      </c>
    </row>
    <row r="961" spans="1:22" x14ac:dyDescent="0.3">
      <c r="A961" t="s">
        <v>1012</v>
      </c>
      <c r="B961" t="s">
        <v>39</v>
      </c>
      <c r="C961" t="s">
        <v>43</v>
      </c>
      <c r="D961" t="s">
        <v>24</v>
      </c>
      <c r="E961">
        <v>1780336</v>
      </c>
      <c r="F961">
        <v>521481</v>
      </c>
      <c r="G961">
        <v>916446</v>
      </c>
      <c r="H961">
        <v>74653</v>
      </c>
      <c r="I961">
        <v>8634</v>
      </c>
      <c r="J961">
        <v>5332</v>
      </c>
      <c r="K961">
        <f t="shared" si="28"/>
        <v>16.993715974311623</v>
      </c>
      <c r="L961">
        <v>64184</v>
      </c>
      <c r="M961">
        <v>120337</v>
      </c>
      <c r="N961">
        <f t="shared" si="29"/>
        <v>87.487535834475878</v>
      </c>
      <c r="O961" s="4">
        <v>45723</v>
      </c>
      <c r="P961" s="4">
        <v>45748</v>
      </c>
      <c r="Q961" t="s">
        <v>21</v>
      </c>
      <c r="R961">
        <f>Table2[[#This Row],[End_Date]]-Table2[[#This Row],[Start_Date]]</f>
        <v>25</v>
      </c>
      <c r="S961" t="str">
        <f>TEXT(Table2[[#This Row],[Start_Date]],"MMM")</f>
        <v>Mar</v>
      </c>
      <c r="T961">
        <f>YEAR(Table2[[#This Row],[Start_Date]])</f>
        <v>2025</v>
      </c>
      <c r="U961">
        <f>Table2[[#This Row],[Campaign_Cost (₹)]]/Table2[[#This Row],[Reach]]</f>
        <v>0.12308022727577803</v>
      </c>
      <c r="V961">
        <f>Table2[[#This Row],[Revenue_Generated (₹)]]/Table2[[#This Row],[Reach]]</f>
        <v>0.23076008521882868</v>
      </c>
    </row>
    <row r="962" spans="1:22" x14ac:dyDescent="0.3">
      <c r="A962" t="s">
        <v>1013</v>
      </c>
      <c r="B962" t="s">
        <v>23</v>
      </c>
      <c r="C962" t="s">
        <v>19</v>
      </c>
      <c r="D962" t="s">
        <v>72</v>
      </c>
      <c r="E962">
        <v>1219519</v>
      </c>
      <c r="F962">
        <v>703027</v>
      </c>
      <c r="G962">
        <v>1217988</v>
      </c>
      <c r="H962">
        <v>55769</v>
      </c>
      <c r="I962">
        <v>4309</v>
      </c>
      <c r="J962">
        <v>2772</v>
      </c>
      <c r="K962">
        <f t="shared" ref="K962:K1001" si="30">((H962+I962+J962)/F962)*100</f>
        <v>8.9399126918311804</v>
      </c>
      <c r="L962">
        <v>216442</v>
      </c>
      <c r="M962">
        <v>390648</v>
      </c>
      <c r="N962">
        <f t="shared" ref="N962:N1001" si="31">((M962-L962)/L962)*100</f>
        <v>80.486227257186684</v>
      </c>
      <c r="O962" s="4">
        <v>45685</v>
      </c>
      <c r="P962" s="4">
        <v>45701</v>
      </c>
      <c r="Q962" t="s">
        <v>78</v>
      </c>
      <c r="R962">
        <f>Table2[[#This Row],[End_Date]]-Table2[[#This Row],[Start_Date]]</f>
        <v>16</v>
      </c>
      <c r="S962" t="str">
        <f>TEXT(Table2[[#This Row],[Start_Date]],"MMM")</f>
        <v>Jan</v>
      </c>
      <c r="T962">
        <f>YEAR(Table2[[#This Row],[Start_Date]])</f>
        <v>2025</v>
      </c>
      <c r="U962">
        <f>Table2[[#This Row],[Campaign_Cost (₹)]]/Table2[[#This Row],[Reach]]</f>
        <v>0.30787153267228712</v>
      </c>
      <c r="V962">
        <f>Table2[[#This Row],[Revenue_Generated (₹)]]/Table2[[#This Row],[Reach]]</f>
        <v>0.55566571411908794</v>
      </c>
    </row>
    <row r="963" spans="1:22" x14ac:dyDescent="0.3">
      <c r="A963" t="s">
        <v>1014</v>
      </c>
      <c r="B963" t="s">
        <v>45</v>
      </c>
      <c r="C963" t="s">
        <v>19</v>
      </c>
      <c r="D963" t="s">
        <v>40</v>
      </c>
      <c r="E963">
        <v>1803669</v>
      </c>
      <c r="F963">
        <v>1193625</v>
      </c>
      <c r="G963">
        <v>2296478</v>
      </c>
      <c r="H963">
        <v>62136</v>
      </c>
      <c r="I963">
        <v>5693</v>
      </c>
      <c r="J963">
        <v>3756</v>
      </c>
      <c r="K963">
        <f t="shared" si="30"/>
        <v>5.9972772018012357</v>
      </c>
      <c r="L963">
        <v>13112</v>
      </c>
      <c r="M963">
        <v>55548</v>
      </c>
      <c r="N963">
        <f t="shared" si="31"/>
        <v>323.64246491763271</v>
      </c>
      <c r="O963" s="4">
        <v>45949</v>
      </c>
      <c r="P963" s="4">
        <v>45975</v>
      </c>
      <c r="Q963" t="s">
        <v>54</v>
      </c>
      <c r="R963">
        <f>Table2[[#This Row],[End_Date]]-Table2[[#This Row],[Start_Date]]</f>
        <v>26</v>
      </c>
      <c r="S963" t="str">
        <f>TEXT(Table2[[#This Row],[Start_Date]],"MMM")</f>
        <v>Oct</v>
      </c>
      <c r="T963">
        <f>YEAR(Table2[[#This Row],[Start_Date]])</f>
        <v>2025</v>
      </c>
      <c r="U963">
        <f>Table2[[#This Row],[Campaign_Cost (₹)]]/Table2[[#This Row],[Reach]]</f>
        <v>1.0985024609906796E-2</v>
      </c>
      <c r="V963">
        <f>Table2[[#This Row],[Revenue_Generated (₹)]]/Table2[[#This Row],[Reach]]</f>
        <v>4.6537229029217718E-2</v>
      </c>
    </row>
    <row r="964" spans="1:22" x14ac:dyDescent="0.3">
      <c r="A964" t="s">
        <v>1015</v>
      </c>
      <c r="B964" t="s">
        <v>36</v>
      </c>
      <c r="C964" t="s">
        <v>37</v>
      </c>
      <c r="D964" t="s">
        <v>24</v>
      </c>
      <c r="E964">
        <v>510407</v>
      </c>
      <c r="F964">
        <v>220612</v>
      </c>
      <c r="G964">
        <v>527998</v>
      </c>
      <c r="H964">
        <v>21949</v>
      </c>
      <c r="I964">
        <v>1327</v>
      </c>
      <c r="J964">
        <v>2032</v>
      </c>
      <c r="K964">
        <f t="shared" si="30"/>
        <v>11.471724112922233</v>
      </c>
      <c r="L964">
        <v>387048</v>
      </c>
      <c r="M964">
        <v>1451882</v>
      </c>
      <c r="N964">
        <f t="shared" si="31"/>
        <v>275.11678138112069</v>
      </c>
      <c r="O964" s="4">
        <v>45846</v>
      </c>
      <c r="P964" s="4">
        <v>45853</v>
      </c>
      <c r="Q964" t="s">
        <v>54</v>
      </c>
      <c r="R964">
        <f>Table2[[#This Row],[End_Date]]-Table2[[#This Row],[Start_Date]]</f>
        <v>7</v>
      </c>
      <c r="S964" t="str">
        <f>TEXT(Table2[[#This Row],[Start_Date]],"MMM")</f>
        <v>Jul</v>
      </c>
      <c r="T964">
        <f>YEAR(Table2[[#This Row],[Start_Date]])</f>
        <v>2025</v>
      </c>
      <c r="U964">
        <f>Table2[[#This Row],[Campaign_Cost (₹)]]/Table2[[#This Row],[Reach]]</f>
        <v>1.7544285895599514</v>
      </c>
      <c r="V964">
        <f>Table2[[#This Row],[Revenue_Generated (₹)]]/Table2[[#This Row],[Reach]]</f>
        <v>6.5811560567874823</v>
      </c>
    </row>
    <row r="965" spans="1:22" x14ac:dyDescent="0.3">
      <c r="A965" t="s">
        <v>1016</v>
      </c>
      <c r="B965" t="s">
        <v>36</v>
      </c>
      <c r="C965" t="s">
        <v>28</v>
      </c>
      <c r="D965" t="s">
        <v>51</v>
      </c>
      <c r="E965">
        <v>1960129</v>
      </c>
      <c r="F965">
        <v>1235259</v>
      </c>
      <c r="G965">
        <v>2198649</v>
      </c>
      <c r="H965">
        <v>42307</v>
      </c>
      <c r="I965">
        <v>5901</v>
      </c>
      <c r="J965">
        <v>1629</v>
      </c>
      <c r="K965">
        <f t="shared" si="30"/>
        <v>4.0345385056899001</v>
      </c>
      <c r="L965">
        <v>389083</v>
      </c>
      <c r="M965">
        <v>617064</v>
      </c>
      <c r="N965">
        <f t="shared" si="31"/>
        <v>58.59443871873097</v>
      </c>
      <c r="O965" s="4">
        <v>45728</v>
      </c>
      <c r="P965" s="4">
        <v>45742</v>
      </c>
      <c r="Q965" t="s">
        <v>78</v>
      </c>
      <c r="R965">
        <f>Table2[[#This Row],[End_Date]]-Table2[[#This Row],[Start_Date]]</f>
        <v>14</v>
      </c>
      <c r="S965" t="str">
        <f>TEXT(Table2[[#This Row],[Start_Date]],"MMM")</f>
        <v>Mar</v>
      </c>
      <c r="T965">
        <f>YEAR(Table2[[#This Row],[Start_Date]])</f>
        <v>2025</v>
      </c>
      <c r="U965">
        <f>Table2[[#This Row],[Campaign_Cost (₹)]]/Table2[[#This Row],[Reach]]</f>
        <v>0.31498090683816105</v>
      </c>
      <c r="V965">
        <f>Table2[[#This Row],[Revenue_Generated (₹)]]/Table2[[#This Row],[Reach]]</f>
        <v>0.4995422012711504</v>
      </c>
    </row>
    <row r="966" spans="1:22" x14ac:dyDescent="0.3">
      <c r="A966" t="s">
        <v>1017</v>
      </c>
      <c r="B966" t="s">
        <v>103</v>
      </c>
      <c r="C966" t="s">
        <v>43</v>
      </c>
      <c r="D966" t="s">
        <v>58</v>
      </c>
      <c r="E966">
        <v>111247</v>
      </c>
      <c r="F966">
        <v>34301</v>
      </c>
      <c r="G966">
        <v>57190</v>
      </c>
      <c r="H966">
        <v>3703</v>
      </c>
      <c r="I966">
        <v>509</v>
      </c>
      <c r="J966">
        <v>174</v>
      </c>
      <c r="K966">
        <f t="shared" si="30"/>
        <v>12.786799218681672</v>
      </c>
      <c r="L966">
        <v>391531</v>
      </c>
      <c r="M966">
        <v>1137303</v>
      </c>
      <c r="N966">
        <f t="shared" si="31"/>
        <v>190.4758499327001</v>
      </c>
      <c r="O966" s="4">
        <v>45716</v>
      </c>
      <c r="P966" s="4">
        <v>45728</v>
      </c>
      <c r="Q966" t="s">
        <v>30</v>
      </c>
      <c r="R966">
        <f>Table2[[#This Row],[End_Date]]-Table2[[#This Row],[Start_Date]]</f>
        <v>12</v>
      </c>
      <c r="S966" t="str">
        <f>TEXT(Table2[[#This Row],[Start_Date]],"MMM")</f>
        <v>Feb</v>
      </c>
      <c r="T966">
        <f>YEAR(Table2[[#This Row],[Start_Date]])</f>
        <v>2025</v>
      </c>
      <c r="U966">
        <f>Table2[[#This Row],[Campaign_Cost (₹)]]/Table2[[#This Row],[Reach]]</f>
        <v>11.414565173027025</v>
      </c>
      <c r="V966">
        <f>Table2[[#This Row],[Revenue_Generated (₹)]]/Table2[[#This Row],[Reach]]</f>
        <v>33.156555202472234</v>
      </c>
    </row>
    <row r="967" spans="1:22" x14ac:dyDescent="0.3">
      <c r="A967" t="s">
        <v>1018</v>
      </c>
      <c r="B967" t="s">
        <v>57</v>
      </c>
      <c r="C967" t="s">
        <v>28</v>
      </c>
      <c r="D967" t="s">
        <v>46</v>
      </c>
      <c r="E967">
        <v>53208</v>
      </c>
      <c r="F967">
        <v>44207</v>
      </c>
      <c r="G967">
        <v>114052</v>
      </c>
      <c r="H967">
        <v>1174</v>
      </c>
      <c r="I967">
        <v>168</v>
      </c>
      <c r="J967">
        <v>88</v>
      </c>
      <c r="K967">
        <f t="shared" si="30"/>
        <v>3.2347818218834119</v>
      </c>
      <c r="L967">
        <v>238392</v>
      </c>
      <c r="M967">
        <v>518255</v>
      </c>
      <c r="N967">
        <f t="shared" si="31"/>
        <v>117.396137454277</v>
      </c>
      <c r="O967" s="4">
        <v>45944</v>
      </c>
      <c r="P967" s="4">
        <v>45964</v>
      </c>
      <c r="Q967" t="s">
        <v>21</v>
      </c>
      <c r="R967">
        <f>Table2[[#This Row],[End_Date]]-Table2[[#This Row],[Start_Date]]</f>
        <v>20</v>
      </c>
      <c r="S967" t="str">
        <f>TEXT(Table2[[#This Row],[Start_Date]],"MMM")</f>
        <v>Oct</v>
      </c>
      <c r="T967">
        <f>YEAR(Table2[[#This Row],[Start_Date]])</f>
        <v>2025</v>
      </c>
      <c r="U967">
        <f>Table2[[#This Row],[Campaign_Cost (₹)]]/Table2[[#This Row],[Reach]]</f>
        <v>5.3926301264505625</v>
      </c>
      <c r="V967">
        <f>Table2[[#This Row],[Revenue_Generated (₹)]]/Table2[[#This Row],[Reach]]</f>
        <v>11.723369602099215</v>
      </c>
    </row>
    <row r="968" spans="1:22" x14ac:dyDescent="0.3">
      <c r="A968" t="s">
        <v>1019</v>
      </c>
      <c r="B968" t="s">
        <v>49</v>
      </c>
      <c r="C968" t="s">
        <v>43</v>
      </c>
      <c r="D968" t="s">
        <v>40</v>
      </c>
      <c r="E968">
        <v>1569695</v>
      </c>
      <c r="F968">
        <v>1190890</v>
      </c>
      <c r="G968">
        <v>2710690</v>
      </c>
      <c r="H968">
        <v>134204</v>
      </c>
      <c r="I968">
        <v>17013</v>
      </c>
      <c r="J968">
        <v>8538</v>
      </c>
      <c r="K968">
        <f t="shared" si="30"/>
        <v>13.414757030456215</v>
      </c>
      <c r="L968">
        <v>228799</v>
      </c>
      <c r="M968">
        <v>1011271</v>
      </c>
      <c r="N968">
        <f t="shared" si="31"/>
        <v>341.99100520544232</v>
      </c>
      <c r="O968" s="4">
        <v>45851</v>
      </c>
      <c r="P968" s="4">
        <v>45876</v>
      </c>
      <c r="Q968" t="s">
        <v>21</v>
      </c>
      <c r="R968">
        <f>Table2[[#This Row],[End_Date]]-Table2[[#This Row],[Start_Date]]</f>
        <v>25</v>
      </c>
      <c r="S968" t="str">
        <f>TEXT(Table2[[#This Row],[Start_Date]],"MMM")</f>
        <v>Jul</v>
      </c>
      <c r="T968">
        <f>YEAR(Table2[[#This Row],[Start_Date]])</f>
        <v>2025</v>
      </c>
      <c r="U968">
        <f>Table2[[#This Row],[Campaign_Cost (₹)]]/Table2[[#This Row],[Reach]]</f>
        <v>0.19212437756635795</v>
      </c>
      <c r="V968">
        <f>Table2[[#This Row],[Revenue_Generated (₹)]]/Table2[[#This Row],[Reach]]</f>
        <v>0.84917246765024479</v>
      </c>
    </row>
    <row r="969" spans="1:22" x14ac:dyDescent="0.3">
      <c r="A969" t="s">
        <v>1020</v>
      </c>
      <c r="B969" t="s">
        <v>23</v>
      </c>
      <c r="C969" t="s">
        <v>19</v>
      </c>
      <c r="D969" t="s">
        <v>24</v>
      </c>
      <c r="E969">
        <v>433098</v>
      </c>
      <c r="F969">
        <v>246896</v>
      </c>
      <c r="G969">
        <v>361259</v>
      </c>
      <c r="H969">
        <v>36120</v>
      </c>
      <c r="I969">
        <v>1773</v>
      </c>
      <c r="J969">
        <v>900</v>
      </c>
      <c r="K969">
        <f t="shared" si="30"/>
        <v>15.712283714600481</v>
      </c>
      <c r="L969">
        <v>238276</v>
      </c>
      <c r="M969">
        <v>806264</v>
      </c>
      <c r="N969">
        <f t="shared" si="31"/>
        <v>238.37398646947236</v>
      </c>
      <c r="O969" s="4">
        <v>45899</v>
      </c>
      <c r="P969" s="4">
        <v>45918</v>
      </c>
      <c r="Q969" t="s">
        <v>47</v>
      </c>
      <c r="R969">
        <f>Table2[[#This Row],[End_Date]]-Table2[[#This Row],[Start_Date]]</f>
        <v>19</v>
      </c>
      <c r="S969" t="str">
        <f>TEXT(Table2[[#This Row],[Start_Date]],"MMM")</f>
        <v>Aug</v>
      </c>
      <c r="T969">
        <f>YEAR(Table2[[#This Row],[Start_Date]])</f>
        <v>2025</v>
      </c>
      <c r="U969">
        <f>Table2[[#This Row],[Campaign_Cost (₹)]]/Table2[[#This Row],[Reach]]</f>
        <v>0.96508651415980817</v>
      </c>
      <c r="V969">
        <f>Table2[[#This Row],[Revenue_Generated (₹)]]/Table2[[#This Row],[Reach]]</f>
        <v>3.2656017108418118</v>
      </c>
    </row>
    <row r="970" spans="1:22" x14ac:dyDescent="0.3">
      <c r="A970" t="s">
        <v>1021</v>
      </c>
      <c r="B970" t="s">
        <v>75</v>
      </c>
      <c r="C970" t="s">
        <v>33</v>
      </c>
      <c r="D970" t="s">
        <v>20</v>
      </c>
      <c r="E970">
        <v>1880816</v>
      </c>
      <c r="F970">
        <v>1023665</v>
      </c>
      <c r="G970">
        <v>1419699</v>
      </c>
      <c r="H970">
        <v>141055</v>
      </c>
      <c r="I970">
        <v>18311</v>
      </c>
      <c r="J970">
        <v>12880</v>
      </c>
      <c r="K970">
        <f t="shared" si="30"/>
        <v>16.826403169005484</v>
      </c>
      <c r="L970">
        <v>307667</v>
      </c>
      <c r="M970">
        <v>1321888</v>
      </c>
      <c r="N970">
        <f t="shared" si="31"/>
        <v>329.64893862520188</v>
      </c>
      <c r="O970" s="4">
        <v>45788</v>
      </c>
      <c r="P970" s="4">
        <v>45813</v>
      </c>
      <c r="Q970" t="s">
        <v>30</v>
      </c>
      <c r="R970">
        <f>Table2[[#This Row],[End_Date]]-Table2[[#This Row],[Start_Date]]</f>
        <v>25</v>
      </c>
      <c r="S970" t="str">
        <f>TEXT(Table2[[#This Row],[Start_Date]],"MMM")</f>
        <v>May</v>
      </c>
      <c r="T970">
        <f>YEAR(Table2[[#This Row],[Start_Date]])</f>
        <v>2025</v>
      </c>
      <c r="U970">
        <f>Table2[[#This Row],[Campaign_Cost (₹)]]/Table2[[#This Row],[Reach]]</f>
        <v>0.30055438058349165</v>
      </c>
      <c r="V970">
        <f>Table2[[#This Row],[Revenue_Generated (₹)]]/Table2[[#This Row],[Reach]]</f>
        <v>1.2913287061685219</v>
      </c>
    </row>
    <row r="971" spans="1:22" x14ac:dyDescent="0.3">
      <c r="A971" t="s">
        <v>1022</v>
      </c>
      <c r="B971" t="s">
        <v>53</v>
      </c>
      <c r="C971" t="s">
        <v>33</v>
      </c>
      <c r="D971" t="s">
        <v>58</v>
      </c>
      <c r="E971">
        <v>60532</v>
      </c>
      <c r="F971">
        <v>31774</v>
      </c>
      <c r="G971">
        <v>82488</v>
      </c>
      <c r="H971">
        <v>3936</v>
      </c>
      <c r="I971">
        <v>231</v>
      </c>
      <c r="J971">
        <v>297</v>
      </c>
      <c r="K971">
        <f t="shared" si="30"/>
        <v>14.04922263485869</v>
      </c>
      <c r="L971">
        <v>434789</v>
      </c>
      <c r="M971">
        <v>855644</v>
      </c>
      <c r="N971">
        <f t="shared" si="31"/>
        <v>96.795227110161491</v>
      </c>
      <c r="O971" s="4">
        <v>45861</v>
      </c>
      <c r="P971" s="4">
        <v>45869</v>
      </c>
      <c r="Q971" t="s">
        <v>21</v>
      </c>
      <c r="R971">
        <f>Table2[[#This Row],[End_Date]]-Table2[[#This Row],[Start_Date]]</f>
        <v>8</v>
      </c>
      <c r="S971" t="str">
        <f>TEXT(Table2[[#This Row],[Start_Date]],"MMM")</f>
        <v>Jul</v>
      </c>
      <c r="T971">
        <f>YEAR(Table2[[#This Row],[Start_Date]])</f>
        <v>2025</v>
      </c>
      <c r="U971">
        <f>Table2[[#This Row],[Campaign_Cost (₹)]]/Table2[[#This Row],[Reach]]</f>
        <v>13.683798073896897</v>
      </c>
      <c r="V971">
        <f>Table2[[#This Row],[Revenue_Generated (₹)]]/Table2[[#This Row],[Reach]]</f>
        <v>26.929061496821301</v>
      </c>
    </row>
    <row r="972" spans="1:22" x14ac:dyDescent="0.3">
      <c r="A972" t="s">
        <v>1023</v>
      </c>
      <c r="B972" t="s">
        <v>63</v>
      </c>
      <c r="C972" t="s">
        <v>43</v>
      </c>
      <c r="D972" t="s">
        <v>46</v>
      </c>
      <c r="E972">
        <v>1991662</v>
      </c>
      <c r="F972">
        <v>593676</v>
      </c>
      <c r="G972">
        <v>836297</v>
      </c>
      <c r="H972">
        <v>44733</v>
      </c>
      <c r="I972">
        <v>2723</v>
      </c>
      <c r="J972">
        <v>3535</v>
      </c>
      <c r="K972">
        <f t="shared" si="30"/>
        <v>8.5890283589028371</v>
      </c>
      <c r="L972">
        <v>162261</v>
      </c>
      <c r="M972">
        <v>733518</v>
      </c>
      <c r="N972">
        <f t="shared" si="31"/>
        <v>352.06056908314383</v>
      </c>
      <c r="O972" s="4">
        <v>46076</v>
      </c>
      <c r="P972" s="4">
        <v>46091</v>
      </c>
      <c r="Q972" t="s">
        <v>30</v>
      </c>
      <c r="R972">
        <f>Table2[[#This Row],[End_Date]]-Table2[[#This Row],[Start_Date]]</f>
        <v>15</v>
      </c>
      <c r="S972" t="str">
        <f>TEXT(Table2[[#This Row],[Start_Date]],"MMM")</f>
        <v>Feb</v>
      </c>
      <c r="T972">
        <f>YEAR(Table2[[#This Row],[Start_Date]])</f>
        <v>2026</v>
      </c>
      <c r="U972">
        <f>Table2[[#This Row],[Campaign_Cost (₹)]]/Table2[[#This Row],[Reach]]</f>
        <v>0.27331574798374869</v>
      </c>
      <c r="V972">
        <f>Table2[[#This Row],[Revenue_Generated (₹)]]/Table2[[#This Row],[Reach]]</f>
        <v>1.2355527257291856</v>
      </c>
    </row>
    <row r="973" spans="1:22" x14ac:dyDescent="0.3">
      <c r="A973" t="s">
        <v>1024</v>
      </c>
      <c r="B973" t="s">
        <v>23</v>
      </c>
      <c r="C973" t="s">
        <v>43</v>
      </c>
      <c r="D973" t="s">
        <v>29</v>
      </c>
      <c r="E973">
        <v>412529</v>
      </c>
      <c r="F973">
        <v>296740</v>
      </c>
      <c r="G973">
        <v>861728</v>
      </c>
      <c r="H973">
        <v>22763</v>
      </c>
      <c r="I973">
        <v>981</v>
      </c>
      <c r="J973">
        <v>1207</v>
      </c>
      <c r="K973">
        <f t="shared" si="30"/>
        <v>8.4083709644806888</v>
      </c>
      <c r="L973">
        <v>43207</v>
      </c>
      <c r="M973">
        <v>124726</v>
      </c>
      <c r="N973">
        <f t="shared" si="31"/>
        <v>188.6708172286898</v>
      </c>
      <c r="O973" s="4">
        <v>45874</v>
      </c>
      <c r="P973" s="4">
        <v>45886</v>
      </c>
      <c r="Q973" t="s">
        <v>54</v>
      </c>
      <c r="R973">
        <f>Table2[[#This Row],[End_Date]]-Table2[[#This Row],[Start_Date]]</f>
        <v>12</v>
      </c>
      <c r="S973" t="str">
        <f>TEXT(Table2[[#This Row],[Start_Date]],"MMM")</f>
        <v>Aug</v>
      </c>
      <c r="T973">
        <f>YEAR(Table2[[#This Row],[Start_Date]])</f>
        <v>2025</v>
      </c>
      <c r="U973">
        <f>Table2[[#This Row],[Campaign_Cost (₹)]]/Table2[[#This Row],[Reach]]</f>
        <v>0.14560558064298712</v>
      </c>
      <c r="V973">
        <f>Table2[[#This Row],[Revenue_Generated (₹)]]/Table2[[#This Row],[Reach]]</f>
        <v>0.42032081957268991</v>
      </c>
    </row>
    <row r="974" spans="1:22" x14ac:dyDescent="0.3">
      <c r="A974" t="s">
        <v>1025</v>
      </c>
      <c r="B974" t="s">
        <v>36</v>
      </c>
      <c r="C974" t="s">
        <v>43</v>
      </c>
      <c r="D974" t="s">
        <v>51</v>
      </c>
      <c r="E974">
        <v>274474</v>
      </c>
      <c r="F974">
        <v>210104</v>
      </c>
      <c r="G974">
        <v>553559</v>
      </c>
      <c r="H974">
        <v>16966</v>
      </c>
      <c r="I974">
        <v>2080</v>
      </c>
      <c r="J974">
        <v>441</v>
      </c>
      <c r="K974">
        <f t="shared" si="30"/>
        <v>9.2749305106042712</v>
      </c>
      <c r="L974">
        <v>458218</v>
      </c>
      <c r="M974">
        <v>1562997</v>
      </c>
      <c r="N974">
        <f t="shared" si="31"/>
        <v>241.10336128218447</v>
      </c>
      <c r="O974" s="4">
        <v>45911</v>
      </c>
      <c r="P974" s="4">
        <v>45934</v>
      </c>
      <c r="Q974" t="s">
        <v>47</v>
      </c>
      <c r="R974">
        <f>Table2[[#This Row],[End_Date]]-Table2[[#This Row],[Start_Date]]</f>
        <v>23</v>
      </c>
      <c r="S974" t="str">
        <f>TEXT(Table2[[#This Row],[Start_Date]],"MMM")</f>
        <v>Sep</v>
      </c>
      <c r="T974">
        <f>YEAR(Table2[[#This Row],[Start_Date]])</f>
        <v>2025</v>
      </c>
      <c r="U974">
        <f>Table2[[#This Row],[Campaign_Cost (₹)]]/Table2[[#This Row],[Reach]]</f>
        <v>2.1809104062749878</v>
      </c>
      <c r="V974">
        <f>Table2[[#This Row],[Revenue_Generated (₹)]]/Table2[[#This Row],[Reach]]</f>
        <v>7.4391587023569281</v>
      </c>
    </row>
    <row r="975" spans="1:22" x14ac:dyDescent="0.3">
      <c r="A975" t="s">
        <v>1026</v>
      </c>
      <c r="B975" t="s">
        <v>103</v>
      </c>
      <c r="C975" t="s">
        <v>28</v>
      </c>
      <c r="D975" t="s">
        <v>29</v>
      </c>
      <c r="E975">
        <v>619308</v>
      </c>
      <c r="F975">
        <v>392268</v>
      </c>
      <c r="G975">
        <v>816139</v>
      </c>
      <c r="H975">
        <v>40579</v>
      </c>
      <c r="I975">
        <v>3477</v>
      </c>
      <c r="J975">
        <v>2184</v>
      </c>
      <c r="K975">
        <f t="shared" si="30"/>
        <v>11.787859320668522</v>
      </c>
      <c r="L975">
        <v>107512</v>
      </c>
      <c r="M975">
        <v>393751</v>
      </c>
      <c r="N975">
        <f t="shared" si="31"/>
        <v>266.23911749386116</v>
      </c>
      <c r="O975" s="4">
        <v>45844</v>
      </c>
      <c r="P975" s="4">
        <v>45853</v>
      </c>
      <c r="Q975" t="s">
        <v>54</v>
      </c>
      <c r="R975">
        <f>Table2[[#This Row],[End_Date]]-Table2[[#This Row],[Start_Date]]</f>
        <v>9</v>
      </c>
      <c r="S975" t="str">
        <f>TEXT(Table2[[#This Row],[Start_Date]],"MMM")</f>
        <v>Jul</v>
      </c>
      <c r="T975">
        <f>YEAR(Table2[[#This Row],[Start_Date]])</f>
        <v>2025</v>
      </c>
      <c r="U975">
        <f>Table2[[#This Row],[Campaign_Cost (₹)]]/Table2[[#This Row],[Reach]]</f>
        <v>0.27407792631568212</v>
      </c>
      <c r="V975">
        <f>Table2[[#This Row],[Revenue_Generated (₹)]]/Table2[[#This Row],[Reach]]</f>
        <v>1.0037805785840292</v>
      </c>
    </row>
    <row r="976" spans="1:22" x14ac:dyDescent="0.3">
      <c r="A976" t="s">
        <v>1027</v>
      </c>
      <c r="B976" t="s">
        <v>61</v>
      </c>
      <c r="C976" t="s">
        <v>19</v>
      </c>
      <c r="D976" t="s">
        <v>20</v>
      </c>
      <c r="E976">
        <v>945091</v>
      </c>
      <c r="F976">
        <v>558185</v>
      </c>
      <c r="G976">
        <v>1452049</v>
      </c>
      <c r="H976">
        <v>50895</v>
      </c>
      <c r="I976">
        <v>4371</v>
      </c>
      <c r="J976">
        <v>1763</v>
      </c>
      <c r="K976">
        <f t="shared" si="30"/>
        <v>10.216863584653833</v>
      </c>
      <c r="L976">
        <v>405115</v>
      </c>
      <c r="M976">
        <v>1983204</v>
      </c>
      <c r="N976">
        <f t="shared" si="31"/>
        <v>389.54099453241673</v>
      </c>
      <c r="O976" s="4">
        <v>45686</v>
      </c>
      <c r="P976" s="4">
        <v>45694</v>
      </c>
      <c r="Q976" t="s">
        <v>25</v>
      </c>
      <c r="R976">
        <f>Table2[[#This Row],[End_Date]]-Table2[[#This Row],[Start_Date]]</f>
        <v>8</v>
      </c>
      <c r="S976" t="str">
        <f>TEXT(Table2[[#This Row],[Start_Date]],"MMM")</f>
        <v>Jan</v>
      </c>
      <c r="T976">
        <f>YEAR(Table2[[#This Row],[Start_Date]])</f>
        <v>2025</v>
      </c>
      <c r="U976">
        <f>Table2[[#This Row],[Campaign_Cost (₹)]]/Table2[[#This Row],[Reach]]</f>
        <v>0.72577192149556147</v>
      </c>
      <c r="V976">
        <f>Table2[[#This Row],[Revenue_Generated (₹)]]/Table2[[#This Row],[Reach]]</f>
        <v>3.5529510825264023</v>
      </c>
    </row>
    <row r="977" spans="1:22" x14ac:dyDescent="0.3">
      <c r="A977" t="s">
        <v>1028</v>
      </c>
      <c r="B977" t="s">
        <v>18</v>
      </c>
      <c r="C977" t="s">
        <v>28</v>
      </c>
      <c r="D977" t="s">
        <v>58</v>
      </c>
      <c r="E977">
        <v>1750990</v>
      </c>
      <c r="F977">
        <v>593982</v>
      </c>
      <c r="G977">
        <v>895613</v>
      </c>
      <c r="H977">
        <v>14063</v>
      </c>
      <c r="I977">
        <v>1398</v>
      </c>
      <c r="J977">
        <v>1329</v>
      </c>
      <c r="K977">
        <f t="shared" si="30"/>
        <v>2.8266849837200456</v>
      </c>
      <c r="L977">
        <v>160793</v>
      </c>
      <c r="M977">
        <v>450730</v>
      </c>
      <c r="N977">
        <f t="shared" si="31"/>
        <v>180.31692921955559</v>
      </c>
      <c r="O977" s="4">
        <v>45713</v>
      </c>
      <c r="P977" s="4">
        <v>45723</v>
      </c>
      <c r="Q977" t="s">
        <v>54</v>
      </c>
      <c r="R977">
        <f>Table2[[#This Row],[End_Date]]-Table2[[#This Row],[Start_Date]]</f>
        <v>10</v>
      </c>
      <c r="S977" t="str">
        <f>TEXT(Table2[[#This Row],[Start_Date]],"MMM")</f>
        <v>Feb</v>
      </c>
      <c r="T977">
        <f>YEAR(Table2[[#This Row],[Start_Date]])</f>
        <v>2025</v>
      </c>
      <c r="U977">
        <f>Table2[[#This Row],[Campaign_Cost (₹)]]/Table2[[#This Row],[Reach]]</f>
        <v>0.27070348933132654</v>
      </c>
      <c r="V977">
        <f>Table2[[#This Row],[Revenue_Generated (₹)]]/Table2[[#This Row],[Reach]]</f>
        <v>0.75882770858376181</v>
      </c>
    </row>
    <row r="978" spans="1:22" x14ac:dyDescent="0.3">
      <c r="A978" t="s">
        <v>1029</v>
      </c>
      <c r="B978" t="s">
        <v>75</v>
      </c>
      <c r="C978" t="s">
        <v>19</v>
      </c>
      <c r="D978" t="s">
        <v>51</v>
      </c>
      <c r="E978">
        <v>529258</v>
      </c>
      <c r="F978">
        <v>396037</v>
      </c>
      <c r="G978">
        <v>1085879</v>
      </c>
      <c r="H978">
        <v>56081</v>
      </c>
      <c r="I978">
        <v>2365</v>
      </c>
      <c r="J978">
        <v>5026</v>
      </c>
      <c r="K978">
        <f t="shared" si="30"/>
        <v>16.026785376113846</v>
      </c>
      <c r="L978">
        <v>443602</v>
      </c>
      <c r="M978">
        <v>1874455</v>
      </c>
      <c r="N978">
        <f t="shared" si="31"/>
        <v>322.55332482720996</v>
      </c>
      <c r="O978" s="4">
        <v>45707</v>
      </c>
      <c r="P978" s="4">
        <v>45718</v>
      </c>
      <c r="Q978" t="s">
        <v>47</v>
      </c>
      <c r="R978">
        <f>Table2[[#This Row],[End_Date]]-Table2[[#This Row],[Start_Date]]</f>
        <v>11</v>
      </c>
      <c r="S978" t="str">
        <f>TEXT(Table2[[#This Row],[Start_Date]],"MMM")</f>
        <v>Feb</v>
      </c>
      <c r="T978">
        <f>YEAR(Table2[[#This Row],[Start_Date]])</f>
        <v>2025</v>
      </c>
      <c r="U978">
        <f>Table2[[#This Row],[Campaign_Cost (₹)]]/Table2[[#This Row],[Reach]]</f>
        <v>1.1201024146733765</v>
      </c>
      <c r="V978">
        <f>Table2[[#This Row],[Revenue_Generated (₹)]]/Table2[[#This Row],[Reach]]</f>
        <v>4.733029994672215</v>
      </c>
    </row>
    <row r="979" spans="1:22" x14ac:dyDescent="0.3">
      <c r="A979" t="s">
        <v>1030</v>
      </c>
      <c r="B979" t="s">
        <v>61</v>
      </c>
      <c r="C979" t="s">
        <v>33</v>
      </c>
      <c r="D979" t="s">
        <v>40</v>
      </c>
      <c r="E979">
        <v>60696</v>
      </c>
      <c r="F979">
        <v>44954</v>
      </c>
      <c r="G979">
        <v>109166</v>
      </c>
      <c r="H979">
        <v>983</v>
      </c>
      <c r="I979">
        <v>136</v>
      </c>
      <c r="J979">
        <v>83</v>
      </c>
      <c r="K979">
        <f t="shared" si="30"/>
        <v>2.6738443742492324</v>
      </c>
      <c r="L979">
        <v>344578</v>
      </c>
      <c r="M979">
        <v>1405170</v>
      </c>
      <c r="N979">
        <f t="shared" si="31"/>
        <v>307.79446163132877</v>
      </c>
      <c r="O979" s="4">
        <v>45825</v>
      </c>
      <c r="P979" s="4">
        <v>45849</v>
      </c>
      <c r="Q979" t="s">
        <v>78</v>
      </c>
      <c r="R979">
        <f>Table2[[#This Row],[End_Date]]-Table2[[#This Row],[Start_Date]]</f>
        <v>24</v>
      </c>
      <c r="S979" t="str">
        <f>TEXT(Table2[[#This Row],[Start_Date]],"MMM")</f>
        <v>Jun</v>
      </c>
      <c r="T979">
        <f>YEAR(Table2[[#This Row],[Start_Date]])</f>
        <v>2025</v>
      </c>
      <c r="U979">
        <f>Table2[[#This Row],[Campaign_Cost (₹)]]/Table2[[#This Row],[Reach]]</f>
        <v>7.6651243493348753</v>
      </c>
      <c r="V979">
        <f>Table2[[#This Row],[Revenue_Generated (₹)]]/Table2[[#This Row],[Reach]]</f>
        <v>31.257952573742049</v>
      </c>
    </row>
    <row r="980" spans="1:22" x14ac:dyDescent="0.3">
      <c r="A980" t="s">
        <v>1031</v>
      </c>
      <c r="B980" t="s">
        <v>75</v>
      </c>
      <c r="C980" t="s">
        <v>19</v>
      </c>
      <c r="D980" t="s">
        <v>29</v>
      </c>
      <c r="E980">
        <v>1128470</v>
      </c>
      <c r="F980">
        <v>918877</v>
      </c>
      <c r="G980">
        <v>2482193</v>
      </c>
      <c r="H980">
        <v>137795</v>
      </c>
      <c r="I980">
        <v>13902</v>
      </c>
      <c r="J980">
        <v>13005</v>
      </c>
      <c r="K980">
        <f t="shared" si="30"/>
        <v>17.924270604226681</v>
      </c>
      <c r="L980">
        <v>346723</v>
      </c>
      <c r="M980">
        <v>1499892</v>
      </c>
      <c r="N980">
        <f t="shared" si="31"/>
        <v>332.59085783175618</v>
      </c>
      <c r="O980" s="4">
        <v>46029</v>
      </c>
      <c r="P980" s="4">
        <v>46040</v>
      </c>
      <c r="Q980" t="s">
        <v>21</v>
      </c>
      <c r="R980">
        <f>Table2[[#This Row],[End_Date]]-Table2[[#This Row],[Start_Date]]</f>
        <v>11</v>
      </c>
      <c r="S980" t="str">
        <f>TEXT(Table2[[#This Row],[Start_Date]],"MMM")</f>
        <v>Jan</v>
      </c>
      <c r="T980">
        <f>YEAR(Table2[[#This Row],[Start_Date]])</f>
        <v>2026</v>
      </c>
      <c r="U980">
        <f>Table2[[#This Row],[Campaign_Cost (₹)]]/Table2[[#This Row],[Reach]]</f>
        <v>0.37733341894508188</v>
      </c>
      <c r="V980">
        <f>Table2[[#This Row],[Revenue_Generated (₹)]]/Table2[[#This Row],[Reach]]</f>
        <v>1.632309873900424</v>
      </c>
    </row>
    <row r="981" spans="1:22" x14ac:dyDescent="0.3">
      <c r="A981" t="s">
        <v>1032</v>
      </c>
      <c r="B981" t="s">
        <v>53</v>
      </c>
      <c r="C981" t="s">
        <v>19</v>
      </c>
      <c r="D981" t="s">
        <v>40</v>
      </c>
      <c r="E981">
        <v>1000098</v>
      </c>
      <c r="F981">
        <v>508583</v>
      </c>
      <c r="G981">
        <v>759627</v>
      </c>
      <c r="H981">
        <v>49016</v>
      </c>
      <c r="I981">
        <v>7160</v>
      </c>
      <c r="J981">
        <v>4162</v>
      </c>
      <c r="K981">
        <f t="shared" si="30"/>
        <v>11.863943545104732</v>
      </c>
      <c r="L981">
        <v>383278</v>
      </c>
      <c r="M981">
        <v>1073999</v>
      </c>
      <c r="N981">
        <f t="shared" si="31"/>
        <v>180.21410047015482</v>
      </c>
      <c r="O981" s="4">
        <v>46015</v>
      </c>
      <c r="P981" s="4">
        <v>46025</v>
      </c>
      <c r="Q981" t="s">
        <v>41</v>
      </c>
      <c r="R981">
        <f>Table2[[#This Row],[End_Date]]-Table2[[#This Row],[Start_Date]]</f>
        <v>10</v>
      </c>
      <c r="S981" t="str">
        <f>TEXT(Table2[[#This Row],[Start_Date]],"MMM")</f>
        <v>Dec</v>
      </c>
      <c r="T981">
        <f>YEAR(Table2[[#This Row],[Start_Date]])</f>
        <v>2025</v>
      </c>
      <c r="U981">
        <f>Table2[[#This Row],[Campaign_Cost (₹)]]/Table2[[#This Row],[Reach]]</f>
        <v>0.75361936989635914</v>
      </c>
      <c r="V981">
        <f>Table2[[#This Row],[Revenue_Generated (₹)]]/Table2[[#This Row],[Reach]]</f>
        <v>2.1117477383239316</v>
      </c>
    </row>
    <row r="982" spans="1:22" x14ac:dyDescent="0.3">
      <c r="A982" t="s">
        <v>1033</v>
      </c>
      <c r="B982" t="s">
        <v>57</v>
      </c>
      <c r="C982" t="s">
        <v>19</v>
      </c>
      <c r="D982" t="s">
        <v>20</v>
      </c>
      <c r="E982">
        <v>1422174</v>
      </c>
      <c r="F982">
        <v>472455</v>
      </c>
      <c r="G982">
        <v>994648</v>
      </c>
      <c r="H982">
        <v>21795</v>
      </c>
      <c r="I982">
        <v>918</v>
      </c>
      <c r="J982">
        <v>2109</v>
      </c>
      <c r="K982">
        <f t="shared" si="30"/>
        <v>5.2538336984474716</v>
      </c>
      <c r="L982">
        <v>15200</v>
      </c>
      <c r="M982">
        <v>51865</v>
      </c>
      <c r="N982">
        <f t="shared" si="31"/>
        <v>241.21710526315789</v>
      </c>
      <c r="O982" s="4">
        <v>46073</v>
      </c>
      <c r="P982" s="4">
        <v>46101</v>
      </c>
      <c r="Q982" t="s">
        <v>78</v>
      </c>
      <c r="R982">
        <f>Table2[[#This Row],[End_Date]]-Table2[[#This Row],[Start_Date]]</f>
        <v>28</v>
      </c>
      <c r="S982" t="str">
        <f>TEXT(Table2[[#This Row],[Start_Date]],"MMM")</f>
        <v>Feb</v>
      </c>
      <c r="T982">
        <f>YEAR(Table2[[#This Row],[Start_Date]])</f>
        <v>2026</v>
      </c>
      <c r="U982">
        <f>Table2[[#This Row],[Campaign_Cost (₹)]]/Table2[[#This Row],[Reach]]</f>
        <v>3.2172376205141233E-2</v>
      </c>
      <c r="V982">
        <f>Table2[[#This Row],[Revenue_Generated (₹)]]/Table2[[#This Row],[Reach]]</f>
        <v>0.10977765078155592</v>
      </c>
    </row>
    <row r="983" spans="1:22" x14ac:dyDescent="0.3">
      <c r="A983" t="s">
        <v>1034</v>
      </c>
      <c r="B983" t="s">
        <v>63</v>
      </c>
      <c r="C983" t="s">
        <v>43</v>
      </c>
      <c r="D983" t="s">
        <v>20</v>
      </c>
      <c r="E983">
        <v>933598</v>
      </c>
      <c r="F983">
        <v>799449</v>
      </c>
      <c r="G983">
        <v>2260117</v>
      </c>
      <c r="H983">
        <v>91629</v>
      </c>
      <c r="I983">
        <v>5363</v>
      </c>
      <c r="J983">
        <v>4239</v>
      </c>
      <c r="K983">
        <f t="shared" si="30"/>
        <v>12.662596363245186</v>
      </c>
      <c r="L983">
        <v>112614</v>
      </c>
      <c r="M983">
        <v>549107</v>
      </c>
      <c r="N983">
        <f t="shared" si="31"/>
        <v>387.60100875557214</v>
      </c>
      <c r="O983" s="4">
        <v>46007</v>
      </c>
      <c r="P983" s="4">
        <v>46026</v>
      </c>
      <c r="Q983" t="s">
        <v>34</v>
      </c>
      <c r="R983">
        <f>Table2[[#This Row],[End_Date]]-Table2[[#This Row],[Start_Date]]</f>
        <v>19</v>
      </c>
      <c r="S983" t="str">
        <f>TEXT(Table2[[#This Row],[Start_Date]],"MMM")</f>
        <v>Dec</v>
      </c>
      <c r="T983">
        <f>YEAR(Table2[[#This Row],[Start_Date]])</f>
        <v>2025</v>
      </c>
      <c r="U983">
        <f>Table2[[#This Row],[Campaign_Cost (₹)]]/Table2[[#This Row],[Reach]]</f>
        <v>0.14086452043845199</v>
      </c>
      <c r="V983">
        <f>Table2[[#This Row],[Revenue_Generated (₹)]]/Table2[[#This Row],[Reach]]</f>
        <v>0.68685682263659098</v>
      </c>
    </row>
    <row r="984" spans="1:22" x14ac:dyDescent="0.3">
      <c r="A984" t="s">
        <v>1035</v>
      </c>
      <c r="B984" t="s">
        <v>36</v>
      </c>
      <c r="C984" t="s">
        <v>37</v>
      </c>
      <c r="D984" t="s">
        <v>51</v>
      </c>
      <c r="E984">
        <v>803649</v>
      </c>
      <c r="F984">
        <v>529270</v>
      </c>
      <c r="G984">
        <v>769797</v>
      </c>
      <c r="H984">
        <v>23419</v>
      </c>
      <c r="I984">
        <v>3329</v>
      </c>
      <c r="J984">
        <v>709</v>
      </c>
      <c r="K984">
        <f t="shared" si="30"/>
        <v>5.1877113760462521</v>
      </c>
      <c r="L984">
        <v>339913</v>
      </c>
      <c r="M984">
        <v>1095695</v>
      </c>
      <c r="N984">
        <f t="shared" si="31"/>
        <v>222.34571787486797</v>
      </c>
      <c r="O984" s="4">
        <v>45775</v>
      </c>
      <c r="P984" s="4">
        <v>45803</v>
      </c>
      <c r="Q984" t="s">
        <v>34</v>
      </c>
      <c r="R984">
        <f>Table2[[#This Row],[End_Date]]-Table2[[#This Row],[Start_Date]]</f>
        <v>28</v>
      </c>
      <c r="S984" t="str">
        <f>TEXT(Table2[[#This Row],[Start_Date]],"MMM")</f>
        <v>Apr</v>
      </c>
      <c r="T984">
        <f>YEAR(Table2[[#This Row],[Start_Date]])</f>
        <v>2025</v>
      </c>
      <c r="U984">
        <f>Table2[[#This Row],[Campaign_Cost (₹)]]/Table2[[#This Row],[Reach]]</f>
        <v>0.64222986377463298</v>
      </c>
      <c r="V984">
        <f>Table2[[#This Row],[Revenue_Generated (₹)]]/Table2[[#This Row],[Reach]]</f>
        <v>2.0702004647911272</v>
      </c>
    </row>
    <row r="985" spans="1:22" x14ac:dyDescent="0.3">
      <c r="A985" t="s">
        <v>1036</v>
      </c>
      <c r="B985" t="s">
        <v>80</v>
      </c>
      <c r="C985" t="s">
        <v>28</v>
      </c>
      <c r="D985" t="s">
        <v>24</v>
      </c>
      <c r="E985">
        <v>680837</v>
      </c>
      <c r="F985">
        <v>311208</v>
      </c>
      <c r="G985">
        <v>496224</v>
      </c>
      <c r="H985">
        <v>6954</v>
      </c>
      <c r="I985">
        <v>1022</v>
      </c>
      <c r="J985">
        <v>472</v>
      </c>
      <c r="K985">
        <f t="shared" si="30"/>
        <v>2.7145831726690832</v>
      </c>
      <c r="L985">
        <v>276650</v>
      </c>
      <c r="M985">
        <v>752372</v>
      </c>
      <c r="N985">
        <f t="shared" si="31"/>
        <v>171.95806976323874</v>
      </c>
      <c r="O985" s="4">
        <v>46025</v>
      </c>
      <c r="P985" s="4">
        <v>46036</v>
      </c>
      <c r="Q985" t="s">
        <v>78</v>
      </c>
      <c r="R985">
        <f>Table2[[#This Row],[End_Date]]-Table2[[#This Row],[Start_Date]]</f>
        <v>11</v>
      </c>
      <c r="S985" t="str">
        <f>TEXT(Table2[[#This Row],[Start_Date]],"MMM")</f>
        <v>Jan</v>
      </c>
      <c r="T985">
        <f>YEAR(Table2[[#This Row],[Start_Date]])</f>
        <v>2026</v>
      </c>
      <c r="U985">
        <f>Table2[[#This Row],[Campaign_Cost (₹)]]/Table2[[#This Row],[Reach]]</f>
        <v>0.88895529677900309</v>
      </c>
      <c r="V985">
        <f>Table2[[#This Row],[Revenue_Generated (₹)]]/Table2[[#This Row],[Reach]]</f>
        <v>2.4175856661782475</v>
      </c>
    </row>
    <row r="986" spans="1:22" x14ac:dyDescent="0.3">
      <c r="A986" t="s">
        <v>1037</v>
      </c>
      <c r="B986" t="s">
        <v>61</v>
      </c>
      <c r="C986" t="s">
        <v>43</v>
      </c>
      <c r="D986" t="s">
        <v>24</v>
      </c>
      <c r="E986">
        <v>733080</v>
      </c>
      <c r="F986">
        <v>503528</v>
      </c>
      <c r="G986">
        <v>969355</v>
      </c>
      <c r="H986">
        <v>54691</v>
      </c>
      <c r="I986">
        <v>2413</v>
      </c>
      <c r="J986">
        <v>4511</v>
      </c>
      <c r="K986">
        <f t="shared" si="30"/>
        <v>12.236658140163009</v>
      </c>
      <c r="L986">
        <v>195082</v>
      </c>
      <c r="M986">
        <v>694609</v>
      </c>
      <c r="N986">
        <f t="shared" si="31"/>
        <v>256.06001578823265</v>
      </c>
      <c r="O986" s="4">
        <v>45754</v>
      </c>
      <c r="P986" s="4">
        <v>45776</v>
      </c>
      <c r="Q986" t="s">
        <v>25</v>
      </c>
      <c r="R986">
        <f>Table2[[#This Row],[End_Date]]-Table2[[#This Row],[Start_Date]]</f>
        <v>22</v>
      </c>
      <c r="S986" t="str">
        <f>TEXT(Table2[[#This Row],[Start_Date]],"MMM")</f>
        <v>Apr</v>
      </c>
      <c r="T986">
        <f>YEAR(Table2[[#This Row],[Start_Date]])</f>
        <v>2025</v>
      </c>
      <c r="U986">
        <f>Table2[[#This Row],[Campaign_Cost (₹)]]/Table2[[#This Row],[Reach]]</f>
        <v>0.38743029186063138</v>
      </c>
      <c r="V986">
        <f>Table2[[#This Row],[Revenue_Generated (₹)]]/Table2[[#This Row],[Reach]]</f>
        <v>1.3794843583673599</v>
      </c>
    </row>
    <row r="987" spans="1:22" x14ac:dyDescent="0.3">
      <c r="A987" t="s">
        <v>1038</v>
      </c>
      <c r="B987" t="s">
        <v>32</v>
      </c>
      <c r="C987" t="s">
        <v>33</v>
      </c>
      <c r="D987" t="s">
        <v>40</v>
      </c>
      <c r="E987">
        <v>969157</v>
      </c>
      <c r="F987">
        <v>349315</v>
      </c>
      <c r="G987">
        <v>780745</v>
      </c>
      <c r="H987">
        <v>16334</v>
      </c>
      <c r="I987">
        <v>965</v>
      </c>
      <c r="J987">
        <v>379</v>
      </c>
      <c r="K987">
        <f t="shared" si="30"/>
        <v>5.0607617766199562</v>
      </c>
      <c r="L987">
        <v>396265</v>
      </c>
      <c r="M987">
        <v>859396</v>
      </c>
      <c r="N987">
        <f t="shared" si="31"/>
        <v>116.87406154972051</v>
      </c>
      <c r="O987" s="4">
        <v>45677</v>
      </c>
      <c r="P987" s="4">
        <v>45702</v>
      </c>
      <c r="Q987" t="s">
        <v>25</v>
      </c>
      <c r="R987">
        <f>Table2[[#This Row],[End_Date]]-Table2[[#This Row],[Start_Date]]</f>
        <v>25</v>
      </c>
      <c r="S987" t="str">
        <f>TEXT(Table2[[#This Row],[Start_Date]],"MMM")</f>
        <v>Jan</v>
      </c>
      <c r="T987">
        <f>YEAR(Table2[[#This Row],[Start_Date]])</f>
        <v>2025</v>
      </c>
      <c r="U987">
        <f>Table2[[#This Row],[Campaign_Cost (₹)]]/Table2[[#This Row],[Reach]]</f>
        <v>1.1344059087070408</v>
      </c>
      <c r="V987">
        <f>Table2[[#This Row],[Revenue_Generated (₹)]]/Table2[[#This Row],[Reach]]</f>
        <v>2.4602321686729742</v>
      </c>
    </row>
    <row r="988" spans="1:22" x14ac:dyDescent="0.3">
      <c r="A988" t="s">
        <v>1039</v>
      </c>
      <c r="B988" t="s">
        <v>36</v>
      </c>
      <c r="C988" t="s">
        <v>33</v>
      </c>
      <c r="D988" t="s">
        <v>51</v>
      </c>
      <c r="E988">
        <v>1068060</v>
      </c>
      <c r="F988">
        <v>346503</v>
      </c>
      <c r="G988">
        <v>547901</v>
      </c>
      <c r="H988">
        <v>41244</v>
      </c>
      <c r="I988">
        <v>4923</v>
      </c>
      <c r="J988">
        <v>3497</v>
      </c>
      <c r="K988">
        <f t="shared" si="30"/>
        <v>14.332920638493752</v>
      </c>
      <c r="L988">
        <v>305535</v>
      </c>
      <c r="M988">
        <v>954211</v>
      </c>
      <c r="N988">
        <f t="shared" si="31"/>
        <v>212.3082461911074</v>
      </c>
      <c r="O988" s="4">
        <v>46145</v>
      </c>
      <c r="P988" s="4">
        <v>46152</v>
      </c>
      <c r="Q988" t="s">
        <v>21</v>
      </c>
      <c r="R988">
        <f>Table2[[#This Row],[End_Date]]-Table2[[#This Row],[Start_Date]]</f>
        <v>7</v>
      </c>
      <c r="S988" t="str">
        <f>TEXT(Table2[[#This Row],[Start_Date]],"MMM")</f>
        <v>May</v>
      </c>
      <c r="T988">
        <f>YEAR(Table2[[#This Row],[Start_Date]])</f>
        <v>2026</v>
      </c>
      <c r="U988">
        <f>Table2[[#This Row],[Campaign_Cost (₹)]]/Table2[[#This Row],[Reach]]</f>
        <v>0.88176725742634265</v>
      </c>
      <c r="V988">
        <f>Table2[[#This Row],[Revenue_Generated (₹)]]/Table2[[#This Row],[Reach]]</f>
        <v>2.7538318571556379</v>
      </c>
    </row>
    <row r="989" spans="1:22" x14ac:dyDescent="0.3">
      <c r="A989" t="s">
        <v>1040</v>
      </c>
      <c r="B989" t="s">
        <v>32</v>
      </c>
      <c r="C989" t="s">
        <v>19</v>
      </c>
      <c r="D989" t="s">
        <v>51</v>
      </c>
      <c r="E989">
        <v>1020799</v>
      </c>
      <c r="F989">
        <v>801730</v>
      </c>
      <c r="G989">
        <v>1824337</v>
      </c>
      <c r="H989">
        <v>47185</v>
      </c>
      <c r="I989">
        <v>2243</v>
      </c>
      <c r="J989">
        <v>4033</v>
      </c>
      <c r="K989">
        <f t="shared" si="30"/>
        <v>6.6682050066730696</v>
      </c>
      <c r="L989">
        <v>264380</v>
      </c>
      <c r="M989">
        <v>1183962</v>
      </c>
      <c r="N989">
        <f t="shared" si="31"/>
        <v>347.82585672138589</v>
      </c>
      <c r="O989" s="4">
        <v>45721</v>
      </c>
      <c r="P989" s="4">
        <v>45728</v>
      </c>
      <c r="Q989" t="s">
        <v>78</v>
      </c>
      <c r="R989">
        <f>Table2[[#This Row],[End_Date]]-Table2[[#This Row],[Start_Date]]</f>
        <v>7</v>
      </c>
      <c r="S989" t="str">
        <f>TEXT(Table2[[#This Row],[Start_Date]],"MMM")</f>
        <v>Mar</v>
      </c>
      <c r="T989">
        <f>YEAR(Table2[[#This Row],[Start_Date]])</f>
        <v>2025</v>
      </c>
      <c r="U989">
        <f>Table2[[#This Row],[Campaign_Cost (₹)]]/Table2[[#This Row],[Reach]]</f>
        <v>0.32976188991306299</v>
      </c>
      <c r="V989">
        <f>Table2[[#This Row],[Revenue_Generated (₹)]]/Table2[[#This Row],[Reach]]</f>
        <v>1.4767590086438078</v>
      </c>
    </row>
    <row r="990" spans="1:22" x14ac:dyDescent="0.3">
      <c r="A990" t="s">
        <v>1041</v>
      </c>
      <c r="B990" t="s">
        <v>23</v>
      </c>
      <c r="C990" t="s">
        <v>19</v>
      </c>
      <c r="D990" t="s">
        <v>58</v>
      </c>
      <c r="E990">
        <v>1902665</v>
      </c>
      <c r="F990">
        <v>533389</v>
      </c>
      <c r="G990">
        <v>1035172</v>
      </c>
      <c r="H990">
        <v>74317</v>
      </c>
      <c r="I990">
        <v>2994</v>
      </c>
      <c r="J990">
        <v>5093</v>
      </c>
      <c r="K990">
        <f t="shared" si="30"/>
        <v>15.449137496273826</v>
      </c>
      <c r="L990">
        <v>140626</v>
      </c>
      <c r="M990">
        <v>667951</v>
      </c>
      <c r="N990">
        <f t="shared" si="31"/>
        <v>374.98400011377697</v>
      </c>
      <c r="O990" s="4">
        <v>45869</v>
      </c>
      <c r="P990" s="4">
        <v>45877</v>
      </c>
      <c r="Q990" t="s">
        <v>41</v>
      </c>
      <c r="R990">
        <f>Table2[[#This Row],[End_Date]]-Table2[[#This Row],[Start_Date]]</f>
        <v>8</v>
      </c>
      <c r="S990" t="str">
        <f>TEXT(Table2[[#This Row],[Start_Date]],"MMM")</f>
        <v>Jul</v>
      </c>
      <c r="T990">
        <f>YEAR(Table2[[#This Row],[Start_Date]])</f>
        <v>2025</v>
      </c>
      <c r="U990">
        <f>Table2[[#This Row],[Campaign_Cost (₹)]]/Table2[[#This Row],[Reach]]</f>
        <v>0.2636462319245429</v>
      </c>
      <c r="V990">
        <f>Table2[[#This Row],[Revenue_Generated (₹)]]/Table2[[#This Row],[Reach]]</f>
        <v>1.2522774185444394</v>
      </c>
    </row>
    <row r="991" spans="1:22" x14ac:dyDescent="0.3">
      <c r="A991" t="s">
        <v>1042</v>
      </c>
      <c r="B991" t="s">
        <v>23</v>
      </c>
      <c r="C991" t="s">
        <v>28</v>
      </c>
      <c r="D991" t="s">
        <v>40</v>
      </c>
      <c r="E991">
        <v>52559</v>
      </c>
      <c r="F991">
        <v>24608</v>
      </c>
      <c r="G991">
        <v>42590</v>
      </c>
      <c r="H991">
        <v>3125</v>
      </c>
      <c r="I991">
        <v>197</v>
      </c>
      <c r="J991">
        <v>201</v>
      </c>
      <c r="K991">
        <f t="shared" si="30"/>
        <v>14.316482444733419</v>
      </c>
      <c r="L991">
        <v>185098</v>
      </c>
      <c r="M991">
        <v>865754</v>
      </c>
      <c r="N991">
        <f t="shared" si="31"/>
        <v>367.7273660439335</v>
      </c>
      <c r="O991" s="4">
        <v>46139</v>
      </c>
      <c r="P991" s="4">
        <v>46163</v>
      </c>
      <c r="Q991" t="s">
        <v>25</v>
      </c>
      <c r="R991">
        <f>Table2[[#This Row],[End_Date]]-Table2[[#This Row],[Start_Date]]</f>
        <v>24</v>
      </c>
      <c r="S991" t="str">
        <f>TEXT(Table2[[#This Row],[Start_Date]],"MMM")</f>
        <v>Apr</v>
      </c>
      <c r="T991">
        <f>YEAR(Table2[[#This Row],[Start_Date]])</f>
        <v>2026</v>
      </c>
      <c r="U991">
        <f>Table2[[#This Row],[Campaign_Cost (₹)]]/Table2[[#This Row],[Reach]]</f>
        <v>7.5218628088426529</v>
      </c>
      <c r="V991">
        <f>Table2[[#This Row],[Revenue_Generated (₹)]]/Table2[[#This Row],[Reach]]</f>
        <v>35.181810793237972</v>
      </c>
    </row>
    <row r="992" spans="1:22" x14ac:dyDescent="0.3">
      <c r="A992" t="s">
        <v>1043</v>
      </c>
      <c r="B992" t="s">
        <v>103</v>
      </c>
      <c r="C992" t="s">
        <v>43</v>
      </c>
      <c r="D992" t="s">
        <v>46</v>
      </c>
      <c r="E992">
        <v>829560</v>
      </c>
      <c r="F992">
        <v>523023</v>
      </c>
      <c r="G992">
        <v>1400829</v>
      </c>
      <c r="H992">
        <v>61839</v>
      </c>
      <c r="I992">
        <v>3542</v>
      </c>
      <c r="J992">
        <v>3822</v>
      </c>
      <c r="K992">
        <f t="shared" si="30"/>
        <v>13.231349290566571</v>
      </c>
      <c r="L992">
        <v>153301</v>
      </c>
      <c r="M992">
        <v>653444</v>
      </c>
      <c r="N992">
        <f t="shared" si="31"/>
        <v>326.24901337890816</v>
      </c>
      <c r="O992" s="4">
        <v>45870</v>
      </c>
      <c r="P992" s="4">
        <v>45880</v>
      </c>
      <c r="Q992" t="s">
        <v>34</v>
      </c>
      <c r="R992">
        <f>Table2[[#This Row],[End_Date]]-Table2[[#This Row],[Start_Date]]</f>
        <v>10</v>
      </c>
      <c r="S992" t="str">
        <f>TEXT(Table2[[#This Row],[Start_Date]],"MMM")</f>
        <v>Aug</v>
      </c>
      <c r="T992">
        <f>YEAR(Table2[[#This Row],[Start_Date]])</f>
        <v>2025</v>
      </c>
      <c r="U992">
        <f>Table2[[#This Row],[Campaign_Cost (₹)]]/Table2[[#This Row],[Reach]]</f>
        <v>0.29310565692139734</v>
      </c>
      <c r="V992">
        <f>Table2[[#This Row],[Revenue_Generated (₹)]]/Table2[[#This Row],[Reach]]</f>
        <v>1.2493599707852237</v>
      </c>
    </row>
    <row r="993" spans="1:22" x14ac:dyDescent="0.3">
      <c r="A993" t="s">
        <v>1044</v>
      </c>
      <c r="B993" t="s">
        <v>27</v>
      </c>
      <c r="C993" t="s">
        <v>37</v>
      </c>
      <c r="D993" t="s">
        <v>29</v>
      </c>
      <c r="E993">
        <v>725719</v>
      </c>
      <c r="F993">
        <v>647380</v>
      </c>
      <c r="G993">
        <v>1881123</v>
      </c>
      <c r="H993">
        <v>82938</v>
      </c>
      <c r="I993">
        <v>9749</v>
      </c>
      <c r="J993">
        <v>6669</v>
      </c>
      <c r="K993">
        <f t="shared" si="30"/>
        <v>15.34740029040131</v>
      </c>
      <c r="L993">
        <v>45975</v>
      </c>
      <c r="M993">
        <v>175085</v>
      </c>
      <c r="N993">
        <f t="shared" si="31"/>
        <v>280.826536160957</v>
      </c>
      <c r="O993" s="4">
        <v>46123</v>
      </c>
      <c r="P993" s="4">
        <v>46142</v>
      </c>
      <c r="Q993" t="s">
        <v>54</v>
      </c>
      <c r="R993">
        <f>Table2[[#This Row],[End_Date]]-Table2[[#This Row],[Start_Date]]</f>
        <v>19</v>
      </c>
      <c r="S993" t="str">
        <f>TEXT(Table2[[#This Row],[Start_Date]],"MMM")</f>
        <v>Apr</v>
      </c>
      <c r="T993">
        <f>YEAR(Table2[[#This Row],[Start_Date]])</f>
        <v>2026</v>
      </c>
      <c r="U993">
        <f>Table2[[#This Row],[Campaign_Cost (₹)]]/Table2[[#This Row],[Reach]]</f>
        <v>7.1017022459760881E-2</v>
      </c>
      <c r="V993">
        <f>Table2[[#This Row],[Revenue_Generated (₹)]]/Table2[[#This Row],[Reach]]</f>
        <v>0.27045166671815624</v>
      </c>
    </row>
    <row r="994" spans="1:22" x14ac:dyDescent="0.3">
      <c r="A994" t="s">
        <v>1045</v>
      </c>
      <c r="B994" t="s">
        <v>23</v>
      </c>
      <c r="C994" t="s">
        <v>43</v>
      </c>
      <c r="D994" t="s">
        <v>46</v>
      </c>
      <c r="E994">
        <v>1268570</v>
      </c>
      <c r="F994">
        <v>412353</v>
      </c>
      <c r="G994">
        <v>927104</v>
      </c>
      <c r="H994">
        <v>55059</v>
      </c>
      <c r="I994">
        <v>5605</v>
      </c>
      <c r="J994">
        <v>5169</v>
      </c>
      <c r="K994">
        <f t="shared" si="30"/>
        <v>15.965204569870961</v>
      </c>
      <c r="L994">
        <v>333996</v>
      </c>
      <c r="M994">
        <v>939351</v>
      </c>
      <c r="N994">
        <f t="shared" si="31"/>
        <v>181.24618258901305</v>
      </c>
      <c r="O994" s="4">
        <v>45970</v>
      </c>
      <c r="P994" s="4">
        <v>45985</v>
      </c>
      <c r="Q994" t="s">
        <v>30</v>
      </c>
      <c r="R994">
        <f>Table2[[#This Row],[End_Date]]-Table2[[#This Row],[Start_Date]]</f>
        <v>15</v>
      </c>
      <c r="S994" t="str">
        <f>TEXT(Table2[[#This Row],[Start_Date]],"MMM")</f>
        <v>Nov</v>
      </c>
      <c r="T994">
        <f>YEAR(Table2[[#This Row],[Start_Date]])</f>
        <v>2025</v>
      </c>
      <c r="U994">
        <f>Table2[[#This Row],[Campaign_Cost (₹)]]/Table2[[#This Row],[Reach]]</f>
        <v>0.80997591869102448</v>
      </c>
      <c r="V994">
        <f>Table2[[#This Row],[Revenue_Generated (₹)]]/Table2[[#This Row],[Reach]]</f>
        <v>2.2780263512087946</v>
      </c>
    </row>
    <row r="995" spans="1:22" x14ac:dyDescent="0.3">
      <c r="A995" t="s">
        <v>1046</v>
      </c>
      <c r="B995" t="s">
        <v>61</v>
      </c>
      <c r="C995" t="s">
        <v>28</v>
      </c>
      <c r="D995" t="s">
        <v>46</v>
      </c>
      <c r="E995">
        <v>820327</v>
      </c>
      <c r="F995">
        <v>235374</v>
      </c>
      <c r="G995">
        <v>524315</v>
      </c>
      <c r="H995">
        <v>16642</v>
      </c>
      <c r="I995">
        <v>804</v>
      </c>
      <c r="J995">
        <v>1154</v>
      </c>
      <c r="K995">
        <f t="shared" si="30"/>
        <v>7.9023171633230511</v>
      </c>
      <c r="L995">
        <v>31930</v>
      </c>
      <c r="M995">
        <v>102708</v>
      </c>
      <c r="N995">
        <f t="shared" si="31"/>
        <v>221.6661446915127</v>
      </c>
      <c r="O995" s="4">
        <v>45959</v>
      </c>
      <c r="P995" s="4">
        <v>45985</v>
      </c>
      <c r="Q995" t="s">
        <v>30</v>
      </c>
      <c r="R995">
        <f>Table2[[#This Row],[End_Date]]-Table2[[#This Row],[Start_Date]]</f>
        <v>26</v>
      </c>
      <c r="S995" t="str">
        <f>TEXT(Table2[[#This Row],[Start_Date]],"MMM")</f>
        <v>Oct</v>
      </c>
      <c r="T995">
        <f>YEAR(Table2[[#This Row],[Start_Date]])</f>
        <v>2025</v>
      </c>
      <c r="U995">
        <f>Table2[[#This Row],[Campaign_Cost (₹)]]/Table2[[#This Row],[Reach]]</f>
        <v>0.13565644463704574</v>
      </c>
      <c r="V995">
        <f>Table2[[#This Row],[Revenue_Generated (₹)]]/Table2[[#This Row],[Reach]]</f>
        <v>0.43636085548956127</v>
      </c>
    </row>
    <row r="996" spans="1:22" x14ac:dyDescent="0.3">
      <c r="A996" t="s">
        <v>1047</v>
      </c>
      <c r="B996" t="s">
        <v>61</v>
      </c>
      <c r="C996" t="s">
        <v>28</v>
      </c>
      <c r="D996" t="s">
        <v>72</v>
      </c>
      <c r="E996">
        <v>402069</v>
      </c>
      <c r="F996">
        <v>297783</v>
      </c>
      <c r="G996">
        <v>434314</v>
      </c>
      <c r="H996">
        <v>8090</v>
      </c>
      <c r="I996">
        <v>613</v>
      </c>
      <c r="J996">
        <v>446</v>
      </c>
      <c r="K996">
        <f t="shared" si="30"/>
        <v>3.0723714919924912</v>
      </c>
      <c r="L996">
        <v>121753</v>
      </c>
      <c r="M996">
        <v>605980</v>
      </c>
      <c r="N996">
        <f t="shared" si="31"/>
        <v>397.71258203083295</v>
      </c>
      <c r="O996" s="4">
        <v>46070</v>
      </c>
      <c r="P996" s="4">
        <v>46078</v>
      </c>
      <c r="Q996" t="s">
        <v>41</v>
      </c>
      <c r="R996">
        <f>Table2[[#This Row],[End_Date]]-Table2[[#This Row],[Start_Date]]</f>
        <v>8</v>
      </c>
      <c r="S996" t="str">
        <f>TEXT(Table2[[#This Row],[Start_Date]],"MMM")</f>
        <v>Feb</v>
      </c>
      <c r="T996">
        <f>YEAR(Table2[[#This Row],[Start_Date]])</f>
        <v>2026</v>
      </c>
      <c r="U996">
        <f>Table2[[#This Row],[Campaign_Cost (₹)]]/Table2[[#This Row],[Reach]]</f>
        <v>0.40886484453444288</v>
      </c>
      <c r="V996">
        <f>Table2[[#This Row],[Revenue_Generated (₹)]]/Table2[[#This Row],[Reach]]</f>
        <v>2.0349717747487266</v>
      </c>
    </row>
    <row r="997" spans="1:22" x14ac:dyDescent="0.3">
      <c r="A997" t="s">
        <v>1048</v>
      </c>
      <c r="B997" t="s">
        <v>49</v>
      </c>
      <c r="C997" t="s">
        <v>33</v>
      </c>
      <c r="D997" t="s">
        <v>24</v>
      </c>
      <c r="E997">
        <v>1094009</v>
      </c>
      <c r="F997">
        <v>923496</v>
      </c>
      <c r="G997">
        <v>2464704</v>
      </c>
      <c r="H997">
        <v>130947</v>
      </c>
      <c r="I997">
        <v>9239</v>
      </c>
      <c r="J997">
        <v>11405</v>
      </c>
      <c r="K997">
        <f t="shared" si="30"/>
        <v>16.414905966024758</v>
      </c>
      <c r="L997">
        <v>410625</v>
      </c>
      <c r="M997">
        <v>1394561</v>
      </c>
      <c r="N997">
        <f t="shared" si="31"/>
        <v>239.61911719939116</v>
      </c>
      <c r="O997" s="4">
        <v>45861</v>
      </c>
      <c r="P997" s="4">
        <v>45885</v>
      </c>
      <c r="Q997" t="s">
        <v>30</v>
      </c>
      <c r="R997">
        <f>Table2[[#This Row],[End_Date]]-Table2[[#This Row],[Start_Date]]</f>
        <v>24</v>
      </c>
      <c r="S997" t="str">
        <f>TEXT(Table2[[#This Row],[Start_Date]],"MMM")</f>
        <v>Jul</v>
      </c>
      <c r="T997">
        <f>YEAR(Table2[[#This Row],[Start_Date]])</f>
        <v>2025</v>
      </c>
      <c r="U997">
        <f>Table2[[#This Row],[Campaign_Cost (₹)]]/Table2[[#This Row],[Reach]]</f>
        <v>0.44464188258530629</v>
      </c>
      <c r="V997">
        <f>Table2[[#This Row],[Revenue_Generated (₹)]]/Table2[[#This Row],[Reach]]</f>
        <v>1.5100888363349705</v>
      </c>
    </row>
    <row r="998" spans="1:22" x14ac:dyDescent="0.3">
      <c r="A998" t="s">
        <v>1049</v>
      </c>
      <c r="B998" t="s">
        <v>18</v>
      </c>
      <c r="C998" t="s">
        <v>37</v>
      </c>
      <c r="D998" t="s">
        <v>24</v>
      </c>
      <c r="E998">
        <v>940406</v>
      </c>
      <c r="F998">
        <v>348670</v>
      </c>
      <c r="G998">
        <v>778528</v>
      </c>
      <c r="H998">
        <v>36592</v>
      </c>
      <c r="I998">
        <v>2952</v>
      </c>
      <c r="J998">
        <v>886</v>
      </c>
      <c r="K998">
        <f t="shared" si="30"/>
        <v>11.595491438896378</v>
      </c>
      <c r="L998">
        <v>432568</v>
      </c>
      <c r="M998">
        <v>550223</v>
      </c>
      <c r="N998">
        <f t="shared" si="31"/>
        <v>27.199191803369644</v>
      </c>
      <c r="O998" s="4">
        <v>46046</v>
      </c>
      <c r="P998" s="4">
        <v>46062</v>
      </c>
      <c r="Q998" t="s">
        <v>78</v>
      </c>
      <c r="R998">
        <f>Table2[[#This Row],[End_Date]]-Table2[[#This Row],[Start_Date]]</f>
        <v>16</v>
      </c>
      <c r="S998" t="str">
        <f>TEXT(Table2[[#This Row],[Start_Date]],"MMM")</f>
        <v>Jan</v>
      </c>
      <c r="T998">
        <f>YEAR(Table2[[#This Row],[Start_Date]])</f>
        <v>2026</v>
      </c>
      <c r="U998">
        <f>Table2[[#This Row],[Campaign_Cost (₹)]]/Table2[[#This Row],[Reach]]</f>
        <v>1.2406229385952332</v>
      </c>
      <c r="V998">
        <f>Table2[[#This Row],[Revenue_Generated (₹)]]/Table2[[#This Row],[Reach]]</f>
        <v>1.5780623512203515</v>
      </c>
    </row>
    <row r="999" spans="1:22" x14ac:dyDescent="0.3">
      <c r="A999" t="s">
        <v>1050</v>
      </c>
      <c r="B999" t="s">
        <v>45</v>
      </c>
      <c r="C999" t="s">
        <v>28</v>
      </c>
      <c r="D999" t="s">
        <v>72</v>
      </c>
      <c r="E999">
        <v>534783</v>
      </c>
      <c r="F999">
        <v>140946</v>
      </c>
      <c r="G999">
        <v>315089</v>
      </c>
      <c r="H999">
        <v>5116</v>
      </c>
      <c r="I999">
        <v>275</v>
      </c>
      <c r="J999">
        <v>241</v>
      </c>
      <c r="K999">
        <f t="shared" si="30"/>
        <v>3.9958565691825236</v>
      </c>
      <c r="L999">
        <v>125556</v>
      </c>
      <c r="M999">
        <v>195196</v>
      </c>
      <c r="N999">
        <f t="shared" si="31"/>
        <v>55.465290388352606</v>
      </c>
      <c r="O999" s="4">
        <v>46142</v>
      </c>
      <c r="P999" s="4">
        <v>46168</v>
      </c>
      <c r="Q999" t="s">
        <v>47</v>
      </c>
      <c r="R999">
        <f>Table2[[#This Row],[End_Date]]-Table2[[#This Row],[Start_Date]]</f>
        <v>26</v>
      </c>
      <c r="S999" t="str">
        <f>TEXT(Table2[[#This Row],[Start_Date]],"MMM")</f>
        <v>Apr</v>
      </c>
      <c r="T999">
        <f>YEAR(Table2[[#This Row],[Start_Date]])</f>
        <v>2026</v>
      </c>
      <c r="U999">
        <f>Table2[[#This Row],[Campaign_Cost (₹)]]/Table2[[#This Row],[Reach]]</f>
        <v>0.89080924609424883</v>
      </c>
      <c r="V999">
        <f>Table2[[#This Row],[Revenue_Generated (₹)]]/Table2[[#This Row],[Reach]]</f>
        <v>1.3848991812467186</v>
      </c>
    </row>
    <row r="1000" spans="1:22" x14ac:dyDescent="0.3">
      <c r="A1000" t="s">
        <v>1051</v>
      </c>
      <c r="B1000" t="s">
        <v>75</v>
      </c>
      <c r="C1000" t="s">
        <v>43</v>
      </c>
      <c r="D1000" t="s">
        <v>29</v>
      </c>
      <c r="E1000">
        <v>790163</v>
      </c>
      <c r="F1000">
        <v>444867</v>
      </c>
      <c r="G1000">
        <v>539499</v>
      </c>
      <c r="H1000">
        <v>37302</v>
      </c>
      <c r="I1000">
        <v>4062</v>
      </c>
      <c r="J1000">
        <v>2854</v>
      </c>
      <c r="K1000">
        <f t="shared" si="30"/>
        <v>9.9395999253709544</v>
      </c>
      <c r="L1000">
        <v>94877</v>
      </c>
      <c r="M1000">
        <v>110387</v>
      </c>
      <c r="N1000">
        <f t="shared" si="31"/>
        <v>16.347481476016316</v>
      </c>
      <c r="O1000" s="4">
        <v>45995</v>
      </c>
      <c r="P1000" s="4">
        <v>46015</v>
      </c>
      <c r="Q1000" t="s">
        <v>25</v>
      </c>
      <c r="R1000">
        <f>Table2[[#This Row],[End_Date]]-Table2[[#This Row],[Start_Date]]</f>
        <v>20</v>
      </c>
      <c r="S1000" t="str">
        <f>TEXT(Table2[[#This Row],[Start_Date]],"MMM")</f>
        <v>Dec</v>
      </c>
      <c r="T1000">
        <f>YEAR(Table2[[#This Row],[Start_Date]])</f>
        <v>2025</v>
      </c>
      <c r="U1000">
        <f>Table2[[#This Row],[Campaign_Cost (₹)]]/Table2[[#This Row],[Reach]]</f>
        <v>0.2132704830882039</v>
      </c>
      <c r="V1000">
        <f>Table2[[#This Row],[Revenue_Generated (₹)]]/Table2[[#This Row],[Reach]]</f>
        <v>0.24813483580485854</v>
      </c>
    </row>
    <row r="1001" spans="1:22" x14ac:dyDescent="0.3">
      <c r="A1001" t="s">
        <v>1052</v>
      </c>
      <c r="B1001" t="s">
        <v>36</v>
      </c>
      <c r="C1001" t="s">
        <v>19</v>
      </c>
      <c r="D1001" t="s">
        <v>29</v>
      </c>
      <c r="E1001">
        <v>1814424</v>
      </c>
      <c r="F1001">
        <v>527331</v>
      </c>
      <c r="G1001">
        <v>817667</v>
      </c>
      <c r="H1001">
        <v>73960</v>
      </c>
      <c r="I1001">
        <v>10867</v>
      </c>
      <c r="J1001">
        <v>3095</v>
      </c>
      <c r="K1001">
        <f t="shared" si="30"/>
        <v>16.673019412854543</v>
      </c>
      <c r="L1001">
        <v>77962</v>
      </c>
      <c r="M1001">
        <v>317720</v>
      </c>
      <c r="N1001">
        <f t="shared" si="31"/>
        <v>307.53187450296298</v>
      </c>
      <c r="O1001" s="4">
        <v>45906</v>
      </c>
      <c r="P1001" s="4">
        <v>45915</v>
      </c>
      <c r="Q1001" t="s">
        <v>78</v>
      </c>
      <c r="R1001">
        <f>Table2[[#This Row],[End_Date]]-Table2[[#This Row],[Start_Date]]</f>
        <v>9</v>
      </c>
      <c r="S1001" t="str">
        <f>TEXT(Table2[[#This Row],[Start_Date]],"MMM")</f>
        <v>Sep</v>
      </c>
      <c r="T1001">
        <f>YEAR(Table2[[#This Row],[Start_Date]])</f>
        <v>2025</v>
      </c>
      <c r="U1001">
        <f>Table2[[#This Row],[Campaign_Cost (₹)]]/Table2[[#This Row],[Reach]]</f>
        <v>0.14784262635801801</v>
      </c>
      <c r="V1001">
        <f>Table2[[#This Row],[Revenue_Generated (₹)]]/Table2[[#This Row],[Reach]]</f>
        <v>0.60250582651124251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998A-A082-4A5D-A322-3EC9114C17A6}">
  <dimension ref="B4:I45"/>
  <sheetViews>
    <sheetView topLeftCell="A19" zoomScale="112" zoomScaleNormal="83" workbookViewId="0">
      <selection activeCell="H19" sqref="H19:I19"/>
    </sheetView>
  </sheetViews>
  <sheetFormatPr defaultRowHeight="14.4" x14ac:dyDescent="0.3"/>
  <cols>
    <col min="2" max="2" width="12.6640625" bestFit="1" customWidth="1"/>
    <col min="3" max="3" width="13.77734375" bestFit="1" customWidth="1"/>
    <col min="4" max="4" width="17.109375" bestFit="1" customWidth="1"/>
    <col min="5" max="5" width="12.6640625" bestFit="1" customWidth="1"/>
    <col min="6" max="6" width="26.77734375" bestFit="1" customWidth="1"/>
    <col min="8" max="8" width="12.77734375" bestFit="1" customWidth="1"/>
    <col min="9" max="9" width="28.5546875" bestFit="1" customWidth="1"/>
    <col min="13" max="13" width="12.5546875" bestFit="1" customWidth="1"/>
    <col min="14" max="14" width="26.44140625" bestFit="1" customWidth="1"/>
    <col min="24" max="24" width="13.109375" bestFit="1" customWidth="1"/>
    <col min="25" max="25" width="28.44140625" bestFit="1" customWidth="1"/>
  </cols>
  <sheetData>
    <row r="4" spans="2:9" x14ac:dyDescent="0.3">
      <c r="E4" s="29" t="s">
        <v>1065</v>
      </c>
      <c r="F4" s="30" t="s">
        <v>1069</v>
      </c>
      <c r="H4" s="29" t="s">
        <v>1065</v>
      </c>
      <c r="I4" s="30" t="s">
        <v>1067</v>
      </c>
    </row>
    <row r="5" spans="2:9" x14ac:dyDescent="0.3">
      <c r="B5" s="29" t="s">
        <v>1065</v>
      </c>
      <c r="C5" s="30" t="s">
        <v>1067</v>
      </c>
      <c r="E5" s="31" t="s">
        <v>25</v>
      </c>
      <c r="F5" s="32">
        <v>71356960</v>
      </c>
      <c r="H5" s="31" t="s">
        <v>1071</v>
      </c>
      <c r="I5" s="32">
        <v>84105822</v>
      </c>
    </row>
    <row r="6" spans="2:9" x14ac:dyDescent="0.3">
      <c r="B6" s="31" t="s">
        <v>33</v>
      </c>
      <c r="C6" s="32">
        <v>147162118</v>
      </c>
      <c r="E6" s="31" t="s">
        <v>41</v>
      </c>
      <c r="F6" s="32">
        <v>78435478</v>
      </c>
      <c r="H6" s="31" t="s">
        <v>1072</v>
      </c>
      <c r="I6" s="32">
        <v>100401244</v>
      </c>
    </row>
    <row r="7" spans="2:9" x14ac:dyDescent="0.3">
      <c r="B7" s="31" t="s">
        <v>43</v>
      </c>
      <c r="C7" s="32">
        <v>147803218</v>
      </c>
      <c r="E7" s="31" t="s">
        <v>47</v>
      </c>
      <c r="F7" s="32">
        <v>73903516</v>
      </c>
      <c r="H7" s="31" t="s">
        <v>1073</v>
      </c>
      <c r="I7" s="32">
        <v>86105584</v>
      </c>
    </row>
    <row r="8" spans="2:9" x14ac:dyDescent="0.3">
      <c r="B8" s="31" t="s">
        <v>19</v>
      </c>
      <c r="C8" s="32">
        <v>157787409</v>
      </c>
      <c r="E8" s="31" t="s">
        <v>30</v>
      </c>
      <c r="F8" s="32">
        <v>82890932</v>
      </c>
      <c r="H8" s="31" t="s">
        <v>1074</v>
      </c>
      <c r="I8" s="32">
        <v>99589498</v>
      </c>
    </row>
    <row r="9" spans="2:9" x14ac:dyDescent="0.3">
      <c r="B9" s="31" t="s">
        <v>37</v>
      </c>
      <c r="C9" s="32">
        <v>153652781</v>
      </c>
      <c r="E9" s="31" t="s">
        <v>54</v>
      </c>
      <c r="F9" s="32">
        <v>61234983</v>
      </c>
      <c r="H9" s="31" t="s">
        <v>1075</v>
      </c>
      <c r="I9" s="32">
        <v>79853044</v>
      </c>
    </row>
    <row r="10" spans="2:9" x14ac:dyDescent="0.3">
      <c r="B10" s="31" t="s">
        <v>28</v>
      </c>
      <c r="C10" s="32">
        <v>165417102</v>
      </c>
      <c r="E10" s="31" t="s">
        <v>34</v>
      </c>
      <c r="F10" s="32">
        <v>77736453</v>
      </c>
      <c r="H10" s="31" t="s">
        <v>1076</v>
      </c>
      <c r="I10" s="32">
        <v>43336403</v>
      </c>
    </row>
    <row r="11" spans="2:9" x14ac:dyDescent="0.3">
      <c r="B11" s="31" t="s">
        <v>1066</v>
      </c>
      <c r="C11" s="32">
        <v>771822628</v>
      </c>
      <c r="E11" s="31" t="s">
        <v>78</v>
      </c>
      <c r="F11" s="32">
        <v>72608840</v>
      </c>
      <c r="H11" s="31" t="s">
        <v>1077</v>
      </c>
      <c r="I11" s="32">
        <v>49448924</v>
      </c>
    </row>
    <row r="12" spans="2:9" x14ac:dyDescent="0.3">
      <c r="E12" s="31" t="s">
        <v>21</v>
      </c>
      <c r="F12" s="32">
        <v>72950664</v>
      </c>
      <c r="H12" s="31" t="s">
        <v>1078</v>
      </c>
      <c r="I12" s="32">
        <v>39324351</v>
      </c>
    </row>
    <row r="13" spans="2:9" x14ac:dyDescent="0.3">
      <c r="B13" s="5" t="s">
        <v>1085</v>
      </c>
      <c r="C13" s="5"/>
      <c r="E13" s="31" t="s">
        <v>1066</v>
      </c>
      <c r="F13" s="32">
        <v>591117826</v>
      </c>
      <c r="H13" s="31" t="s">
        <v>1079</v>
      </c>
      <c r="I13" s="32">
        <v>45225287</v>
      </c>
    </row>
    <row r="14" spans="2:9" x14ac:dyDescent="0.3">
      <c r="H14" s="31" t="s">
        <v>1080</v>
      </c>
      <c r="I14" s="32">
        <v>49584184</v>
      </c>
    </row>
    <row r="15" spans="2:9" x14ac:dyDescent="0.3">
      <c r="E15" s="5" t="s">
        <v>1089</v>
      </c>
      <c r="F15" s="5"/>
      <c r="H15" s="31" t="s">
        <v>1081</v>
      </c>
      <c r="I15" s="32">
        <v>44396754</v>
      </c>
    </row>
    <row r="16" spans="2:9" x14ac:dyDescent="0.3">
      <c r="H16" s="31" t="s">
        <v>1082</v>
      </c>
      <c r="I16" s="32">
        <v>50451533</v>
      </c>
    </row>
    <row r="17" spans="2:9" x14ac:dyDescent="0.3">
      <c r="H17" s="31" t="s">
        <v>1066</v>
      </c>
      <c r="I17" s="32">
        <v>771822628</v>
      </c>
    </row>
    <row r="19" spans="2:9" x14ac:dyDescent="0.3">
      <c r="H19" s="5" t="s">
        <v>1091</v>
      </c>
      <c r="I19" s="5"/>
    </row>
    <row r="20" spans="2:9" x14ac:dyDescent="0.3">
      <c r="B20" s="29" t="s">
        <v>2</v>
      </c>
      <c r="C20" s="30" t="s">
        <v>1087</v>
      </c>
    </row>
    <row r="22" spans="2:9" x14ac:dyDescent="0.3">
      <c r="B22" s="29" t="s">
        <v>1065</v>
      </c>
      <c r="C22" s="30" t="s">
        <v>1068</v>
      </c>
      <c r="E22" s="29" t="s">
        <v>1065</v>
      </c>
      <c r="F22" s="30" t="s">
        <v>1070</v>
      </c>
      <c r="H22" s="29" t="s">
        <v>1065</v>
      </c>
      <c r="I22" s="30" t="s">
        <v>1067</v>
      </c>
    </row>
    <row r="23" spans="2:9" x14ac:dyDescent="0.3">
      <c r="B23" s="31" t="s">
        <v>46</v>
      </c>
      <c r="C23" s="32">
        <v>27827.214581809429</v>
      </c>
      <c r="E23" s="31" t="s">
        <v>33</v>
      </c>
      <c r="F23" s="32">
        <v>1917.3215071914999</v>
      </c>
      <c r="H23" s="31" t="s">
        <v>57</v>
      </c>
      <c r="I23" s="32">
        <v>33377247</v>
      </c>
    </row>
    <row r="24" spans="2:9" x14ac:dyDescent="0.3">
      <c r="B24" s="31" t="s">
        <v>51</v>
      </c>
      <c r="C24" s="32">
        <v>24412.196618232334</v>
      </c>
      <c r="E24" s="31" t="s">
        <v>43</v>
      </c>
      <c r="F24" s="32">
        <v>1911.3868795766543</v>
      </c>
      <c r="H24" s="31" t="s">
        <v>103</v>
      </c>
      <c r="I24" s="32">
        <v>42732671</v>
      </c>
    </row>
    <row r="25" spans="2:9" x14ac:dyDescent="0.3">
      <c r="B25" s="31" t="s">
        <v>58</v>
      </c>
      <c r="C25" s="32">
        <v>28294.37705603318</v>
      </c>
      <c r="E25" s="31" t="s">
        <v>19</v>
      </c>
      <c r="F25" s="32">
        <v>2032.337642785845</v>
      </c>
      <c r="H25" s="31" t="s">
        <v>36</v>
      </c>
      <c r="I25" s="32">
        <v>64491257</v>
      </c>
    </row>
    <row r="26" spans="2:9" x14ac:dyDescent="0.3">
      <c r="B26" s="31" t="s">
        <v>40</v>
      </c>
      <c r="C26" s="32">
        <v>26016.173176067539</v>
      </c>
      <c r="E26" s="31" t="s">
        <v>37</v>
      </c>
      <c r="F26" s="32">
        <v>2003.759603465953</v>
      </c>
      <c r="H26" s="31" t="s">
        <v>23</v>
      </c>
      <c r="I26" s="32">
        <v>53084764</v>
      </c>
    </row>
    <row r="27" spans="2:9" x14ac:dyDescent="0.3">
      <c r="B27" s="31" t="s">
        <v>20</v>
      </c>
      <c r="C27" s="32">
        <v>25878.87437608869</v>
      </c>
      <c r="E27" s="31" t="s">
        <v>28</v>
      </c>
      <c r="F27" s="32">
        <v>1906.6985077792892</v>
      </c>
      <c r="H27" s="31" t="s">
        <v>27</v>
      </c>
      <c r="I27" s="32">
        <v>38138142</v>
      </c>
    </row>
    <row r="28" spans="2:9" x14ac:dyDescent="0.3">
      <c r="B28" s="31" t="s">
        <v>72</v>
      </c>
      <c r="C28" s="32">
        <v>22360.132599264041</v>
      </c>
      <c r="E28" s="31" t="s">
        <v>1066</v>
      </c>
      <c r="F28" s="32">
        <v>9771.5041407992412</v>
      </c>
      <c r="H28" s="31" t="s">
        <v>61</v>
      </c>
      <c r="I28" s="32">
        <v>45698665</v>
      </c>
    </row>
    <row r="29" spans="2:9" x14ac:dyDescent="0.3">
      <c r="B29" s="31" t="s">
        <v>24</v>
      </c>
      <c r="C29" s="32">
        <v>21124.795872820639</v>
      </c>
      <c r="H29" s="31" t="s">
        <v>75</v>
      </c>
      <c r="I29" s="32">
        <v>58827986</v>
      </c>
    </row>
    <row r="30" spans="2:9" x14ac:dyDescent="0.3">
      <c r="B30" s="31" t="s">
        <v>29</v>
      </c>
      <c r="C30" s="32">
        <v>28701.643825193292</v>
      </c>
      <c r="E30" s="5" t="s">
        <v>1090</v>
      </c>
      <c r="F30" s="5"/>
      <c r="H30" s="31" t="s">
        <v>45</v>
      </c>
      <c r="I30" s="32">
        <v>47557787</v>
      </c>
    </row>
    <row r="31" spans="2:9" x14ac:dyDescent="0.3">
      <c r="B31" s="31" t="s">
        <v>1066</v>
      </c>
      <c r="C31" s="32">
        <v>204615.40810550912</v>
      </c>
      <c r="H31" s="31" t="s">
        <v>53</v>
      </c>
      <c r="I31" s="32">
        <v>50824020</v>
      </c>
    </row>
    <row r="32" spans="2:9" x14ac:dyDescent="0.3">
      <c r="H32" s="31" t="s">
        <v>80</v>
      </c>
      <c r="I32" s="32">
        <v>61698972</v>
      </c>
    </row>
    <row r="33" spans="2:9" x14ac:dyDescent="0.3">
      <c r="B33" s="5" t="s">
        <v>1086</v>
      </c>
      <c r="C33" s="5"/>
      <c r="H33" s="31" t="s">
        <v>63</v>
      </c>
      <c r="I33" s="32">
        <v>55842453</v>
      </c>
    </row>
    <row r="34" spans="2:9" x14ac:dyDescent="0.3">
      <c r="H34" s="31" t="s">
        <v>32</v>
      </c>
      <c r="I34" s="32">
        <v>60483530</v>
      </c>
    </row>
    <row r="35" spans="2:9" x14ac:dyDescent="0.3">
      <c r="H35" s="31" t="s">
        <v>49</v>
      </c>
      <c r="I35" s="32">
        <v>61298567</v>
      </c>
    </row>
    <row r="36" spans="2:9" x14ac:dyDescent="0.3">
      <c r="H36" s="31" t="s">
        <v>39</v>
      </c>
      <c r="I36" s="32">
        <v>49917445</v>
      </c>
    </row>
    <row r="37" spans="2:9" ht="43.2" x14ac:dyDescent="0.3">
      <c r="B37" s="33" t="s">
        <v>1065</v>
      </c>
      <c r="C37" s="34" t="s">
        <v>1067</v>
      </c>
      <c r="D37" s="34" t="s">
        <v>1083</v>
      </c>
      <c r="H37" s="31" t="s">
        <v>18</v>
      </c>
      <c r="I37" s="32">
        <v>47849122</v>
      </c>
    </row>
    <row r="38" spans="2:9" x14ac:dyDescent="0.3">
      <c r="B38" s="35" t="s">
        <v>33</v>
      </c>
      <c r="C38" s="36">
        <v>147162118</v>
      </c>
      <c r="D38" s="36">
        <v>47923744</v>
      </c>
      <c r="H38" s="31" t="s">
        <v>1066</v>
      </c>
      <c r="I38" s="32">
        <v>771822628</v>
      </c>
    </row>
    <row r="39" spans="2:9" x14ac:dyDescent="0.3">
      <c r="B39" s="35" t="s">
        <v>43</v>
      </c>
      <c r="C39" s="36">
        <v>147803218</v>
      </c>
      <c r="D39" s="36">
        <v>48499375</v>
      </c>
    </row>
    <row r="40" spans="2:9" x14ac:dyDescent="0.3">
      <c r="B40" s="35" t="s">
        <v>19</v>
      </c>
      <c r="C40" s="36">
        <v>157787409</v>
      </c>
      <c r="D40" s="36">
        <v>54577171</v>
      </c>
      <c r="H40" s="5" t="s">
        <v>1092</v>
      </c>
      <c r="I40" s="5"/>
    </row>
    <row r="41" spans="2:9" x14ac:dyDescent="0.3">
      <c r="B41" s="35" t="s">
        <v>37</v>
      </c>
      <c r="C41" s="36">
        <v>153652781</v>
      </c>
      <c r="D41" s="36">
        <v>51982498</v>
      </c>
    </row>
    <row r="42" spans="2:9" x14ac:dyDescent="0.3">
      <c r="B42" s="35" t="s">
        <v>28</v>
      </c>
      <c r="C42" s="36">
        <v>165417102</v>
      </c>
      <c r="D42" s="36">
        <v>51729502</v>
      </c>
    </row>
    <row r="43" spans="2:9" x14ac:dyDescent="0.3">
      <c r="B43" s="35" t="s">
        <v>1066</v>
      </c>
      <c r="C43" s="36">
        <v>771822628</v>
      </c>
      <c r="D43" s="36">
        <v>254712290</v>
      </c>
    </row>
    <row r="45" spans="2:9" x14ac:dyDescent="0.3">
      <c r="B45" s="5" t="s">
        <v>1088</v>
      </c>
      <c r="C45" s="5"/>
      <c r="D45" s="5"/>
    </row>
  </sheetData>
  <mergeCells count="7">
    <mergeCell ref="B45:D45"/>
    <mergeCell ref="E15:F15"/>
    <mergeCell ref="H19:I19"/>
    <mergeCell ref="H40:I40"/>
    <mergeCell ref="B13:C13"/>
    <mergeCell ref="E30:F30"/>
    <mergeCell ref="B33:C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FF85-2CCB-49D1-B25B-52C644137E2C}">
  <dimension ref="A1:N60"/>
  <sheetViews>
    <sheetView tabSelected="1" topLeftCell="A2" zoomScale="59" zoomScaleNormal="70" workbookViewId="0">
      <selection activeCell="A8" sqref="A8:N60"/>
    </sheetView>
  </sheetViews>
  <sheetFormatPr defaultRowHeight="14.4" x14ac:dyDescent="0.3"/>
  <cols>
    <col min="2" max="2" width="26.21875" customWidth="1"/>
    <col min="3" max="3" width="20.5546875" customWidth="1"/>
    <col min="4" max="4" width="31.77734375" customWidth="1"/>
    <col min="5" max="5" width="9.33203125" customWidth="1"/>
    <col min="6" max="6" width="33.5546875" customWidth="1"/>
    <col min="8" max="8" width="29.109375" customWidth="1"/>
    <col min="9" max="9" width="7.77734375" customWidth="1"/>
    <col min="10" max="10" width="41.6640625" customWidth="1"/>
    <col min="11" max="11" width="8.33203125" customWidth="1"/>
    <col min="12" max="12" width="35" customWidth="1"/>
    <col min="13" max="13" width="9" customWidth="1"/>
    <col min="14" max="14" width="49" customWidth="1"/>
    <col min="16" max="16" width="28.44140625" customWidth="1"/>
  </cols>
  <sheetData>
    <row r="1" spans="1:14" ht="14.4" customHeight="1" x14ac:dyDescent="0.3">
      <c r="A1" s="7" t="s">
        <v>1084</v>
      </c>
      <c r="B1" s="8"/>
      <c r="C1" s="8"/>
      <c r="D1" s="8"/>
      <c r="E1" s="8"/>
      <c r="F1" s="8"/>
      <c r="G1" s="8"/>
      <c r="H1" s="8"/>
      <c r="I1" s="8"/>
      <c r="J1" s="8"/>
      <c r="K1" s="8"/>
      <c r="L1" s="8"/>
      <c r="M1" s="8"/>
      <c r="N1" s="9"/>
    </row>
    <row r="2" spans="1:14" ht="14.4" customHeight="1" x14ac:dyDescent="0.3">
      <c r="A2" s="10"/>
      <c r="B2" s="11"/>
      <c r="C2" s="11"/>
      <c r="D2" s="11"/>
      <c r="E2" s="11"/>
      <c r="F2" s="11"/>
      <c r="G2" s="11"/>
      <c r="H2" s="11"/>
      <c r="I2" s="11"/>
      <c r="J2" s="11"/>
      <c r="K2" s="11"/>
      <c r="L2" s="11"/>
      <c r="M2" s="11"/>
      <c r="N2" s="12"/>
    </row>
    <row r="3" spans="1:14" ht="25.2" customHeight="1" thickBot="1" x14ac:dyDescent="0.35">
      <c r="A3" s="13"/>
      <c r="B3" s="14"/>
      <c r="C3" s="14"/>
      <c r="D3" s="14"/>
      <c r="E3" s="14"/>
      <c r="F3" s="14"/>
      <c r="G3" s="14"/>
      <c r="H3" s="14"/>
      <c r="I3" s="14"/>
      <c r="J3" s="14"/>
      <c r="K3" s="14"/>
      <c r="L3" s="14"/>
      <c r="M3" s="14"/>
      <c r="N3" s="15"/>
    </row>
    <row r="4" spans="1:14" x14ac:dyDescent="0.3">
      <c r="A4" s="22">
        <f>COUNTA(Table2[Campaign_ID])</f>
        <v>1000</v>
      </c>
      <c r="B4" s="23"/>
      <c r="C4" s="22">
        <f>SUM(Clean_Data!F976:F1001)</f>
        <v>12193296</v>
      </c>
      <c r="D4" s="26"/>
      <c r="E4" s="22">
        <f>SUM(Clean_Data!G976:G1001)</f>
        <v>26588585</v>
      </c>
      <c r="F4" s="23"/>
      <c r="G4" s="22">
        <f>SUM(Clean_Data!L976:L1001)</f>
        <v>6143995</v>
      </c>
      <c r="H4" s="23"/>
      <c r="I4" s="22">
        <f>SUM(Table2[Revenue_Generated (₹)])</f>
        <v>771822628</v>
      </c>
      <c r="J4" s="23"/>
      <c r="K4" s="22">
        <f>AVERAGE(Clean_Data!N976:N1001)</f>
        <v>248.68367426148973</v>
      </c>
      <c r="L4" s="23"/>
      <c r="M4" s="22">
        <f>AVERAGE(Clean_Data!K976:K1001)</f>
        <v>10.36741533461219</v>
      </c>
      <c r="N4" s="23"/>
    </row>
    <row r="5" spans="1:14" ht="36" customHeight="1" thickBot="1" x14ac:dyDescent="0.35">
      <c r="A5" s="24"/>
      <c r="B5" s="25"/>
      <c r="C5" s="27"/>
      <c r="D5" s="28"/>
      <c r="E5" s="24"/>
      <c r="F5" s="25"/>
      <c r="G5" s="24"/>
      <c r="H5" s="25"/>
      <c r="I5" s="24"/>
      <c r="J5" s="25"/>
      <c r="K5" s="24"/>
      <c r="L5" s="25"/>
      <c r="M5" s="24"/>
      <c r="N5" s="25"/>
    </row>
    <row r="6" spans="1:14" ht="30.6" customHeight="1" x14ac:dyDescent="0.3">
      <c r="A6" s="16" t="s">
        <v>1058</v>
      </c>
      <c r="B6" s="17"/>
      <c r="C6" s="16" t="s">
        <v>1059</v>
      </c>
      <c r="D6" s="17"/>
      <c r="E6" s="16" t="s">
        <v>1060</v>
      </c>
      <c r="F6" s="17"/>
      <c r="G6" s="16" t="s">
        <v>1061</v>
      </c>
      <c r="H6" s="17"/>
      <c r="I6" s="16" t="s">
        <v>1064</v>
      </c>
      <c r="J6" s="17"/>
      <c r="K6" s="16" t="s">
        <v>1062</v>
      </c>
      <c r="L6" s="17"/>
      <c r="M6" s="20" t="s">
        <v>1063</v>
      </c>
      <c r="N6" s="20"/>
    </row>
    <row r="7" spans="1:14" ht="17.399999999999999" customHeight="1" thickBot="1" x14ac:dyDescent="0.35">
      <c r="A7" s="18"/>
      <c r="B7" s="19"/>
      <c r="C7" s="18"/>
      <c r="D7" s="19"/>
      <c r="E7" s="18"/>
      <c r="F7" s="19"/>
      <c r="G7" s="18"/>
      <c r="H7" s="19"/>
      <c r="I7" s="18"/>
      <c r="J7" s="19"/>
      <c r="K7" s="18"/>
      <c r="L7" s="19"/>
      <c r="M7" s="21"/>
      <c r="N7" s="21"/>
    </row>
    <row r="8" spans="1:14" x14ac:dyDescent="0.3">
      <c r="A8" s="6"/>
      <c r="B8" s="6"/>
      <c r="C8" s="6"/>
      <c r="D8" s="6"/>
      <c r="E8" s="6"/>
      <c r="F8" s="6"/>
      <c r="G8" s="6"/>
      <c r="H8" s="6"/>
      <c r="I8" s="6"/>
      <c r="J8" s="6"/>
      <c r="K8" s="6"/>
      <c r="L8" s="6"/>
      <c r="M8" s="6"/>
      <c r="N8" s="6"/>
    </row>
    <row r="9" spans="1:14" ht="31.8" customHeight="1" x14ac:dyDescent="0.3">
      <c r="A9" s="6"/>
      <c r="B9" s="6"/>
      <c r="C9" s="6"/>
      <c r="D9" s="6"/>
      <c r="E9" s="6"/>
      <c r="F9" s="6"/>
      <c r="G9" s="6"/>
      <c r="H9" s="6"/>
      <c r="I9" s="6"/>
      <c r="J9" s="6"/>
      <c r="K9" s="6"/>
      <c r="L9" s="6"/>
      <c r="M9" s="6"/>
      <c r="N9" s="6"/>
    </row>
    <row r="10" spans="1:14" ht="47.4" customHeight="1" x14ac:dyDescent="0.3">
      <c r="A10" s="6"/>
      <c r="B10" s="6"/>
      <c r="C10" s="6"/>
      <c r="D10" s="6"/>
      <c r="E10" s="6"/>
      <c r="F10" s="6"/>
      <c r="G10" s="6"/>
      <c r="H10" s="6"/>
      <c r="I10" s="6"/>
      <c r="J10" s="6"/>
      <c r="K10" s="6"/>
      <c r="L10" s="6"/>
      <c r="M10" s="6"/>
      <c r="N10" s="6"/>
    </row>
    <row r="11" spans="1:14" x14ac:dyDescent="0.3">
      <c r="A11" s="6"/>
      <c r="B11" s="6"/>
      <c r="C11" s="6"/>
      <c r="D11" s="6"/>
      <c r="E11" s="6"/>
      <c r="F11" s="6"/>
      <c r="G11" s="6"/>
      <c r="H11" s="6"/>
      <c r="I11" s="6"/>
      <c r="J11" s="6"/>
      <c r="K11" s="6"/>
      <c r="L11" s="6"/>
      <c r="M11" s="6"/>
      <c r="N11" s="6"/>
    </row>
    <row r="12" spans="1:14" x14ac:dyDescent="0.3">
      <c r="A12" s="6"/>
      <c r="B12" s="6"/>
      <c r="C12" s="6"/>
      <c r="D12" s="6"/>
      <c r="E12" s="6"/>
      <c r="F12" s="6"/>
      <c r="G12" s="6"/>
      <c r="H12" s="6"/>
      <c r="I12" s="6"/>
      <c r="J12" s="6"/>
      <c r="K12" s="6"/>
      <c r="L12" s="6"/>
      <c r="M12" s="6"/>
      <c r="N12" s="6"/>
    </row>
    <row r="13" spans="1:14" x14ac:dyDescent="0.3">
      <c r="A13" s="6"/>
      <c r="B13" s="6"/>
      <c r="C13" s="6"/>
      <c r="D13" s="6"/>
      <c r="E13" s="6"/>
      <c r="F13" s="6"/>
      <c r="G13" s="6"/>
      <c r="H13" s="6"/>
      <c r="I13" s="6"/>
      <c r="J13" s="6"/>
      <c r="K13" s="6"/>
      <c r="L13" s="6"/>
      <c r="M13" s="6"/>
      <c r="N13" s="6"/>
    </row>
    <row r="14" spans="1:14" x14ac:dyDescent="0.3">
      <c r="A14" s="6"/>
      <c r="B14" s="6"/>
      <c r="C14" s="6"/>
      <c r="D14" s="6"/>
      <c r="E14" s="6"/>
      <c r="F14" s="6"/>
      <c r="G14" s="6"/>
      <c r="H14" s="6"/>
      <c r="I14" s="6"/>
      <c r="J14" s="6"/>
      <c r="K14" s="6"/>
      <c r="L14" s="6"/>
      <c r="M14" s="6"/>
      <c r="N14" s="6"/>
    </row>
    <row r="15" spans="1:14" x14ac:dyDescent="0.3">
      <c r="A15" s="6"/>
      <c r="B15" s="6"/>
      <c r="C15" s="6"/>
      <c r="D15" s="6"/>
      <c r="E15" s="6"/>
      <c r="F15" s="6"/>
      <c r="G15" s="6"/>
      <c r="H15" s="6"/>
      <c r="I15" s="6"/>
      <c r="J15" s="6"/>
      <c r="K15" s="6"/>
      <c r="L15" s="6"/>
      <c r="M15" s="6"/>
      <c r="N15" s="6"/>
    </row>
    <row r="16" spans="1:14" x14ac:dyDescent="0.3">
      <c r="A16" s="6"/>
      <c r="B16" s="6"/>
      <c r="C16" s="6"/>
      <c r="D16" s="6"/>
      <c r="E16" s="6"/>
      <c r="F16" s="6"/>
      <c r="G16" s="6"/>
      <c r="H16" s="6"/>
      <c r="I16" s="6"/>
      <c r="J16" s="6"/>
      <c r="K16" s="6"/>
      <c r="L16" s="6"/>
      <c r="M16" s="6"/>
      <c r="N16" s="6"/>
    </row>
    <row r="17" spans="1:14" x14ac:dyDescent="0.3">
      <c r="A17" s="6"/>
      <c r="B17" s="6"/>
      <c r="C17" s="6"/>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row r="19" spans="1:14" x14ac:dyDescent="0.3">
      <c r="A19" s="6"/>
      <c r="B19" s="6"/>
      <c r="C19" s="6"/>
      <c r="D19" s="6"/>
      <c r="E19" s="6"/>
      <c r="F19" s="6"/>
      <c r="G19" s="6"/>
      <c r="H19" s="6"/>
      <c r="I19" s="6"/>
      <c r="J19" s="6"/>
      <c r="K19" s="6"/>
      <c r="L19" s="6"/>
      <c r="M19" s="6"/>
      <c r="N19" s="6"/>
    </row>
    <row r="20" spans="1:14" x14ac:dyDescent="0.3">
      <c r="A20" s="6"/>
      <c r="B20" s="6"/>
      <c r="C20" s="6"/>
      <c r="D20" s="6"/>
      <c r="E20" s="6"/>
      <c r="F20" s="6"/>
      <c r="G20" s="6"/>
      <c r="H20" s="6"/>
      <c r="I20" s="6"/>
      <c r="J20" s="6"/>
      <c r="K20" s="6"/>
      <c r="L20" s="6"/>
      <c r="M20" s="6"/>
      <c r="N20" s="6"/>
    </row>
    <row r="21" spans="1:14" x14ac:dyDescent="0.3">
      <c r="A21" s="6"/>
      <c r="B21" s="6"/>
      <c r="C21" s="6"/>
      <c r="D21" s="6"/>
      <c r="E21" s="6"/>
      <c r="F21" s="6"/>
      <c r="G21" s="6"/>
      <c r="H21" s="6"/>
      <c r="I21" s="6"/>
      <c r="J21" s="6"/>
      <c r="K21" s="6"/>
      <c r="L21" s="6"/>
      <c r="M21" s="6"/>
      <c r="N21" s="6"/>
    </row>
    <row r="22" spans="1:14" x14ac:dyDescent="0.3">
      <c r="A22" s="6"/>
      <c r="B22" s="6"/>
      <c r="C22" s="6"/>
      <c r="D22" s="6"/>
      <c r="E22" s="6"/>
      <c r="F22" s="6"/>
      <c r="G22" s="6"/>
      <c r="H22" s="6"/>
      <c r="I22" s="6"/>
      <c r="J22" s="6"/>
      <c r="K22" s="6"/>
      <c r="L22" s="6"/>
      <c r="M22" s="6"/>
      <c r="N22" s="6"/>
    </row>
    <row r="23" spans="1:14" x14ac:dyDescent="0.3">
      <c r="A23" s="6"/>
      <c r="B23" s="6"/>
      <c r="C23" s="6"/>
      <c r="D23" s="6"/>
      <c r="E23" s="6"/>
      <c r="F23" s="6"/>
      <c r="G23" s="6"/>
      <c r="H23" s="6"/>
      <c r="I23" s="6"/>
      <c r="J23" s="6"/>
      <c r="K23" s="6"/>
      <c r="L23" s="6"/>
      <c r="M23" s="6"/>
      <c r="N23" s="6"/>
    </row>
    <row r="24" spans="1:14" x14ac:dyDescent="0.3">
      <c r="A24" s="6"/>
      <c r="B24" s="6"/>
      <c r="C24" s="6"/>
      <c r="D24" s="6"/>
      <c r="E24" s="6"/>
      <c r="F24" s="6"/>
      <c r="G24" s="6"/>
      <c r="H24" s="6"/>
      <c r="I24" s="6"/>
      <c r="J24" s="6"/>
      <c r="K24" s="6"/>
      <c r="L24" s="6"/>
      <c r="M24" s="6"/>
      <c r="N24" s="6"/>
    </row>
    <row r="25" spans="1:14" x14ac:dyDescent="0.3">
      <c r="A25" s="6"/>
      <c r="B25" s="6"/>
      <c r="C25" s="6"/>
      <c r="D25" s="6"/>
      <c r="E25" s="6"/>
      <c r="F25" s="6"/>
      <c r="G25" s="6"/>
      <c r="H25" s="6"/>
      <c r="I25" s="6"/>
      <c r="J25" s="6"/>
      <c r="K25" s="6"/>
      <c r="L25" s="6"/>
      <c r="M25" s="6"/>
      <c r="N25" s="6"/>
    </row>
    <row r="26" spans="1:14" x14ac:dyDescent="0.3">
      <c r="A26" s="6"/>
      <c r="B26" s="6"/>
      <c r="C26" s="6"/>
      <c r="D26" s="6"/>
      <c r="E26" s="6"/>
      <c r="F26" s="6"/>
      <c r="G26" s="6"/>
      <c r="H26" s="6"/>
      <c r="I26" s="6"/>
      <c r="J26" s="6"/>
      <c r="K26" s="6"/>
      <c r="L26" s="6"/>
      <c r="M26" s="6"/>
      <c r="N26" s="6"/>
    </row>
    <row r="27" spans="1:14" x14ac:dyDescent="0.3">
      <c r="A27" s="6"/>
      <c r="B27" s="6"/>
      <c r="C27" s="6"/>
      <c r="D27" s="6"/>
      <c r="E27" s="6"/>
      <c r="F27" s="6"/>
      <c r="G27" s="6"/>
      <c r="H27" s="6"/>
      <c r="I27" s="6"/>
      <c r="J27" s="6"/>
      <c r="K27" s="6"/>
      <c r="L27" s="6"/>
      <c r="M27" s="6"/>
      <c r="N27" s="6"/>
    </row>
    <row r="28" spans="1:14" x14ac:dyDescent="0.3">
      <c r="A28" s="6"/>
      <c r="B28" s="6"/>
      <c r="C28" s="6"/>
      <c r="D28" s="6"/>
      <c r="E28" s="6"/>
      <c r="F28" s="6"/>
      <c r="G28" s="6"/>
      <c r="H28" s="6"/>
      <c r="I28" s="6"/>
      <c r="J28" s="6"/>
      <c r="K28" s="6"/>
      <c r="L28" s="6"/>
      <c r="M28" s="6"/>
      <c r="N28" s="6"/>
    </row>
    <row r="29" spans="1:14" x14ac:dyDescent="0.3">
      <c r="A29" s="6"/>
      <c r="B29" s="6"/>
      <c r="C29" s="6"/>
      <c r="D29" s="6"/>
      <c r="E29" s="6"/>
      <c r="F29" s="6"/>
      <c r="G29" s="6"/>
      <c r="H29" s="6"/>
      <c r="I29" s="6"/>
      <c r="J29" s="6"/>
      <c r="K29" s="6"/>
      <c r="L29" s="6"/>
      <c r="M29" s="6"/>
      <c r="N29" s="6"/>
    </row>
    <row r="30" spans="1:14" x14ac:dyDescent="0.3">
      <c r="A30" s="6"/>
      <c r="B30" s="6"/>
      <c r="C30" s="6"/>
      <c r="D30" s="6"/>
      <c r="E30" s="6"/>
      <c r="F30" s="6"/>
      <c r="G30" s="6"/>
      <c r="H30" s="6"/>
      <c r="I30" s="6"/>
      <c r="J30" s="6"/>
      <c r="K30" s="6"/>
      <c r="L30" s="6"/>
      <c r="M30" s="6"/>
      <c r="N30" s="6"/>
    </row>
    <row r="31" spans="1:14" x14ac:dyDescent="0.3">
      <c r="A31" s="6"/>
      <c r="B31" s="6"/>
      <c r="C31" s="6"/>
      <c r="D31" s="6"/>
      <c r="E31" s="6"/>
      <c r="F31" s="6"/>
      <c r="G31" s="6"/>
      <c r="H31" s="6"/>
      <c r="I31" s="6"/>
      <c r="J31" s="6"/>
      <c r="K31" s="6"/>
      <c r="L31" s="6"/>
      <c r="M31" s="6"/>
      <c r="N31" s="6"/>
    </row>
    <row r="32" spans="1:14" x14ac:dyDescent="0.3">
      <c r="A32" s="6"/>
      <c r="B32" s="6"/>
      <c r="C32" s="6"/>
      <c r="D32" s="6"/>
      <c r="E32" s="6"/>
      <c r="F32" s="6"/>
      <c r="G32" s="6"/>
      <c r="H32" s="6"/>
      <c r="I32" s="6"/>
      <c r="J32" s="6"/>
      <c r="K32" s="6"/>
      <c r="L32" s="6"/>
      <c r="M32" s="6"/>
      <c r="N32" s="6"/>
    </row>
    <row r="33" spans="1:14" x14ac:dyDescent="0.3">
      <c r="A33" s="6"/>
      <c r="B33" s="6"/>
      <c r="C33" s="6"/>
      <c r="D33" s="6"/>
      <c r="E33" s="6"/>
      <c r="F33" s="6"/>
      <c r="G33" s="6"/>
      <c r="H33" s="6"/>
      <c r="I33" s="6"/>
      <c r="J33" s="6"/>
      <c r="K33" s="6"/>
      <c r="L33" s="6"/>
      <c r="M33" s="6"/>
      <c r="N33" s="6"/>
    </row>
    <row r="34" spans="1:14" x14ac:dyDescent="0.3">
      <c r="A34" s="6"/>
      <c r="B34" s="6"/>
      <c r="C34" s="6"/>
      <c r="D34" s="6"/>
      <c r="E34" s="6"/>
      <c r="F34" s="6"/>
      <c r="G34" s="6"/>
      <c r="H34" s="6"/>
      <c r="I34" s="6"/>
      <c r="J34" s="6"/>
      <c r="K34" s="6"/>
      <c r="L34" s="6"/>
      <c r="M34" s="6"/>
      <c r="N34" s="6"/>
    </row>
    <row r="35" spans="1:14" x14ac:dyDescent="0.3">
      <c r="A35" s="6"/>
      <c r="B35" s="6"/>
      <c r="C35" s="6"/>
      <c r="D35" s="6"/>
      <c r="E35" s="6"/>
      <c r="F35" s="6"/>
      <c r="G35" s="6"/>
      <c r="H35" s="6"/>
      <c r="I35" s="6"/>
      <c r="J35" s="6"/>
      <c r="K35" s="6"/>
      <c r="L35" s="6"/>
      <c r="M35" s="6"/>
      <c r="N35" s="6"/>
    </row>
    <row r="36" spans="1:14" x14ac:dyDescent="0.3">
      <c r="A36" s="6"/>
      <c r="B36" s="6"/>
      <c r="C36" s="6"/>
      <c r="D36" s="6"/>
      <c r="E36" s="6"/>
      <c r="F36" s="6"/>
      <c r="G36" s="6"/>
      <c r="H36" s="6"/>
      <c r="I36" s="6"/>
      <c r="J36" s="6"/>
      <c r="K36" s="6"/>
      <c r="L36" s="6"/>
      <c r="M36" s="6"/>
      <c r="N36" s="6"/>
    </row>
    <row r="37" spans="1:14" x14ac:dyDescent="0.3">
      <c r="A37" s="6"/>
      <c r="B37" s="6"/>
      <c r="C37" s="6"/>
      <c r="D37" s="6"/>
      <c r="E37" s="6"/>
      <c r="F37" s="6"/>
      <c r="G37" s="6"/>
      <c r="H37" s="6"/>
      <c r="I37" s="6"/>
      <c r="J37" s="6"/>
      <c r="K37" s="6"/>
      <c r="L37" s="6"/>
      <c r="M37" s="6"/>
      <c r="N37" s="6"/>
    </row>
    <row r="38" spans="1:14" x14ac:dyDescent="0.3">
      <c r="A38" s="6"/>
      <c r="B38" s="6"/>
      <c r="C38" s="6"/>
      <c r="D38" s="6"/>
      <c r="E38" s="6"/>
      <c r="F38" s="6"/>
      <c r="G38" s="6"/>
      <c r="H38" s="6"/>
      <c r="I38" s="6"/>
      <c r="J38" s="6"/>
      <c r="K38" s="6"/>
      <c r="L38" s="6"/>
      <c r="M38" s="6"/>
      <c r="N38" s="6"/>
    </row>
    <row r="39" spans="1:14" x14ac:dyDescent="0.3">
      <c r="A39" s="6"/>
      <c r="B39" s="6"/>
      <c r="C39" s="6"/>
      <c r="D39" s="6"/>
      <c r="E39" s="6"/>
      <c r="F39" s="6"/>
      <c r="G39" s="6"/>
      <c r="H39" s="6"/>
      <c r="I39" s="6"/>
      <c r="J39" s="6"/>
      <c r="K39" s="6"/>
      <c r="L39" s="6"/>
      <c r="M39" s="6"/>
      <c r="N39" s="6"/>
    </row>
    <row r="40" spans="1:14" x14ac:dyDescent="0.3">
      <c r="A40" s="6"/>
      <c r="B40" s="6"/>
      <c r="C40" s="6"/>
      <c r="D40" s="6"/>
      <c r="E40" s="6"/>
      <c r="F40" s="6"/>
      <c r="G40" s="6"/>
      <c r="H40" s="6"/>
      <c r="I40" s="6"/>
      <c r="J40" s="6"/>
      <c r="K40" s="6"/>
      <c r="L40" s="6"/>
      <c r="M40" s="6"/>
      <c r="N40" s="6"/>
    </row>
    <row r="41" spans="1:14" x14ac:dyDescent="0.3">
      <c r="A41" s="6"/>
      <c r="B41" s="6"/>
      <c r="C41" s="6"/>
      <c r="D41" s="6"/>
      <c r="E41" s="6"/>
      <c r="F41" s="6"/>
      <c r="G41" s="6"/>
      <c r="H41" s="6"/>
      <c r="I41" s="6"/>
      <c r="J41" s="6"/>
      <c r="K41" s="6"/>
      <c r="L41" s="6"/>
      <c r="M41" s="6"/>
      <c r="N41" s="6"/>
    </row>
    <row r="42" spans="1:14" x14ac:dyDescent="0.3">
      <c r="A42" s="6"/>
      <c r="B42" s="6"/>
      <c r="C42" s="6"/>
      <c r="D42" s="6"/>
      <c r="E42" s="6"/>
      <c r="F42" s="6"/>
      <c r="G42" s="6"/>
      <c r="H42" s="6"/>
      <c r="I42" s="6"/>
      <c r="J42" s="6"/>
      <c r="K42" s="6"/>
      <c r="L42" s="6"/>
      <c r="M42" s="6"/>
      <c r="N42" s="6"/>
    </row>
    <row r="43" spans="1:14" x14ac:dyDescent="0.3">
      <c r="A43" s="6"/>
      <c r="B43" s="6"/>
      <c r="C43" s="6"/>
      <c r="D43" s="6"/>
      <c r="E43" s="6"/>
      <c r="F43" s="6"/>
      <c r="G43" s="6"/>
      <c r="H43" s="6"/>
      <c r="I43" s="6"/>
      <c r="J43" s="6"/>
      <c r="K43" s="6"/>
      <c r="L43" s="6"/>
      <c r="M43" s="6"/>
      <c r="N43" s="6"/>
    </row>
    <row r="44" spans="1:14" x14ac:dyDescent="0.3">
      <c r="A44" s="6"/>
      <c r="B44" s="6"/>
      <c r="C44" s="6"/>
      <c r="D44" s="6"/>
      <c r="E44" s="6"/>
      <c r="F44" s="6"/>
      <c r="G44" s="6"/>
      <c r="H44" s="6"/>
      <c r="I44" s="6"/>
      <c r="J44" s="6"/>
      <c r="K44" s="6"/>
      <c r="L44" s="6"/>
      <c r="M44" s="6"/>
      <c r="N44" s="6"/>
    </row>
    <row r="45" spans="1:14" x14ac:dyDescent="0.3">
      <c r="A45" s="6"/>
      <c r="B45" s="6"/>
      <c r="C45" s="6"/>
      <c r="D45" s="6"/>
      <c r="E45" s="6"/>
      <c r="F45" s="6"/>
      <c r="G45" s="6"/>
      <c r="H45" s="6"/>
      <c r="I45" s="6"/>
      <c r="J45" s="6"/>
      <c r="K45" s="6"/>
      <c r="L45" s="6"/>
      <c r="M45" s="6"/>
      <c r="N45" s="6"/>
    </row>
    <row r="46" spans="1:14" x14ac:dyDescent="0.3">
      <c r="A46" s="6"/>
      <c r="B46" s="6"/>
      <c r="C46" s="6"/>
      <c r="D46" s="6"/>
      <c r="E46" s="6"/>
      <c r="F46" s="6"/>
      <c r="G46" s="6"/>
      <c r="H46" s="6"/>
      <c r="I46" s="6"/>
      <c r="J46" s="6"/>
      <c r="K46" s="6"/>
      <c r="L46" s="6"/>
      <c r="M46" s="6"/>
      <c r="N46" s="6"/>
    </row>
    <row r="47" spans="1:14" x14ac:dyDescent="0.3">
      <c r="A47" s="6"/>
      <c r="B47" s="6"/>
      <c r="C47" s="6"/>
      <c r="D47" s="6"/>
      <c r="E47" s="6"/>
      <c r="F47" s="6"/>
      <c r="G47" s="6"/>
      <c r="H47" s="6"/>
      <c r="I47" s="6"/>
      <c r="J47" s="6"/>
      <c r="K47" s="6"/>
      <c r="L47" s="6"/>
      <c r="M47" s="6"/>
      <c r="N47" s="6"/>
    </row>
    <row r="48" spans="1:14" x14ac:dyDescent="0.3">
      <c r="A48" s="6"/>
      <c r="B48" s="6"/>
      <c r="C48" s="6"/>
      <c r="D48" s="6"/>
      <c r="E48" s="6"/>
      <c r="F48" s="6"/>
      <c r="G48" s="6"/>
      <c r="H48" s="6"/>
      <c r="I48" s="6"/>
      <c r="J48" s="6"/>
      <c r="K48" s="6"/>
      <c r="L48" s="6"/>
      <c r="M48" s="6"/>
      <c r="N48" s="6"/>
    </row>
    <row r="49" spans="1:14" x14ac:dyDescent="0.3">
      <c r="A49" s="6"/>
      <c r="B49" s="6"/>
      <c r="C49" s="6"/>
      <c r="D49" s="6"/>
      <c r="E49" s="6"/>
      <c r="F49" s="6"/>
      <c r="G49" s="6"/>
      <c r="H49" s="6"/>
      <c r="I49" s="6"/>
      <c r="J49" s="6"/>
      <c r="K49" s="6"/>
      <c r="L49" s="6"/>
      <c r="M49" s="6"/>
      <c r="N49" s="6"/>
    </row>
    <row r="50" spans="1:14" x14ac:dyDescent="0.3">
      <c r="A50" s="6"/>
      <c r="B50" s="6"/>
      <c r="C50" s="6"/>
      <c r="D50" s="6"/>
      <c r="E50" s="6"/>
      <c r="F50" s="6"/>
      <c r="G50" s="6"/>
      <c r="H50" s="6"/>
      <c r="I50" s="6"/>
      <c r="J50" s="6"/>
      <c r="K50" s="6"/>
      <c r="L50" s="6"/>
      <c r="M50" s="6"/>
      <c r="N50" s="6"/>
    </row>
    <row r="51" spans="1:14" x14ac:dyDescent="0.3">
      <c r="A51" s="6"/>
      <c r="B51" s="6"/>
      <c r="C51" s="6"/>
      <c r="D51" s="6"/>
      <c r="E51" s="6"/>
      <c r="F51" s="6"/>
      <c r="G51" s="6"/>
      <c r="H51" s="6"/>
      <c r="I51" s="6"/>
      <c r="J51" s="6"/>
      <c r="K51" s="6"/>
      <c r="L51" s="6"/>
      <c r="M51" s="6"/>
      <c r="N51" s="6"/>
    </row>
    <row r="52" spans="1:14" x14ac:dyDescent="0.3">
      <c r="A52" s="6"/>
      <c r="B52" s="6"/>
      <c r="C52" s="6"/>
      <c r="D52" s="6"/>
      <c r="E52" s="6"/>
      <c r="F52" s="6"/>
      <c r="G52" s="6"/>
      <c r="H52" s="6"/>
      <c r="I52" s="6"/>
      <c r="J52" s="6"/>
      <c r="K52" s="6"/>
      <c r="L52" s="6"/>
      <c r="M52" s="6"/>
      <c r="N52" s="6"/>
    </row>
    <row r="53" spans="1:14" x14ac:dyDescent="0.3">
      <c r="A53" s="6"/>
      <c r="B53" s="6"/>
      <c r="C53" s="6"/>
      <c r="D53" s="6"/>
      <c r="E53" s="6"/>
      <c r="F53" s="6"/>
      <c r="G53" s="6"/>
      <c r="H53" s="6"/>
      <c r="I53" s="6"/>
      <c r="J53" s="6"/>
      <c r="K53" s="6"/>
      <c r="L53" s="6"/>
      <c r="M53" s="6"/>
      <c r="N53" s="6"/>
    </row>
    <row r="54" spans="1:14" x14ac:dyDescent="0.3">
      <c r="A54" s="6"/>
      <c r="B54" s="6"/>
      <c r="C54" s="6"/>
      <c r="D54" s="6"/>
      <c r="E54" s="6"/>
      <c r="F54" s="6"/>
      <c r="G54" s="6"/>
      <c r="H54" s="6"/>
      <c r="I54" s="6"/>
      <c r="J54" s="6"/>
      <c r="K54" s="6"/>
      <c r="L54" s="6"/>
      <c r="M54" s="6"/>
      <c r="N54" s="6"/>
    </row>
    <row r="55" spans="1:14" x14ac:dyDescent="0.3">
      <c r="A55" s="6"/>
      <c r="B55" s="6"/>
      <c r="C55" s="6"/>
      <c r="D55" s="6"/>
      <c r="E55" s="6"/>
      <c r="F55" s="6"/>
      <c r="G55" s="6"/>
      <c r="H55" s="6"/>
      <c r="I55" s="6"/>
      <c r="J55" s="6"/>
      <c r="K55" s="6"/>
      <c r="L55" s="6"/>
      <c r="M55" s="6"/>
      <c r="N55" s="6"/>
    </row>
    <row r="56" spans="1:14" x14ac:dyDescent="0.3">
      <c r="A56" s="6"/>
      <c r="B56" s="6"/>
      <c r="C56" s="6"/>
      <c r="D56" s="6"/>
      <c r="E56" s="6"/>
      <c r="F56" s="6"/>
      <c r="G56" s="6"/>
      <c r="H56" s="6"/>
      <c r="I56" s="6"/>
      <c r="J56" s="6"/>
      <c r="K56" s="6"/>
      <c r="L56" s="6"/>
      <c r="M56" s="6"/>
      <c r="N56" s="6"/>
    </row>
    <row r="57" spans="1:14" x14ac:dyDescent="0.3">
      <c r="A57" s="6"/>
      <c r="B57" s="6"/>
      <c r="C57" s="6"/>
      <c r="D57" s="6"/>
      <c r="E57" s="6"/>
      <c r="F57" s="6"/>
      <c r="G57" s="6"/>
      <c r="H57" s="6"/>
      <c r="I57" s="6"/>
      <c r="J57" s="6"/>
      <c r="K57" s="6"/>
      <c r="L57" s="6"/>
      <c r="M57" s="6"/>
      <c r="N57" s="6"/>
    </row>
    <row r="58" spans="1:14" x14ac:dyDescent="0.3">
      <c r="A58" s="6"/>
      <c r="B58" s="6"/>
      <c r="C58" s="6"/>
      <c r="D58" s="6"/>
      <c r="E58" s="6"/>
      <c r="F58" s="6"/>
      <c r="G58" s="6"/>
      <c r="H58" s="6"/>
      <c r="I58" s="6"/>
      <c r="J58" s="6"/>
      <c r="K58" s="6"/>
      <c r="L58" s="6"/>
      <c r="M58" s="6"/>
      <c r="N58" s="6"/>
    </row>
    <row r="59" spans="1:14" x14ac:dyDescent="0.3">
      <c r="A59" s="6"/>
      <c r="B59" s="6"/>
      <c r="C59" s="6"/>
      <c r="D59" s="6"/>
      <c r="E59" s="6"/>
      <c r="F59" s="6"/>
      <c r="G59" s="6"/>
      <c r="H59" s="6"/>
      <c r="I59" s="6"/>
      <c r="J59" s="6"/>
      <c r="K59" s="6"/>
      <c r="L59" s="6"/>
      <c r="M59" s="6"/>
      <c r="N59" s="6"/>
    </row>
    <row r="60" spans="1:14" x14ac:dyDescent="0.3">
      <c r="A60" s="6"/>
      <c r="B60" s="6"/>
      <c r="C60" s="6"/>
      <c r="D60" s="6"/>
      <c r="E60" s="6"/>
      <c r="F60" s="6"/>
      <c r="G60" s="6"/>
      <c r="H60" s="6"/>
      <c r="I60" s="6"/>
      <c r="J60" s="6"/>
      <c r="K60" s="6"/>
      <c r="L60" s="6"/>
      <c r="M60" s="6"/>
      <c r="N60" s="6"/>
    </row>
  </sheetData>
  <mergeCells count="16">
    <mergeCell ref="A8:N60"/>
    <mergeCell ref="A1:N3"/>
    <mergeCell ref="A6:B7"/>
    <mergeCell ref="C6:D7"/>
    <mergeCell ref="E6:F7"/>
    <mergeCell ref="G6:H7"/>
    <mergeCell ref="I6:J7"/>
    <mergeCell ref="K6:L7"/>
    <mergeCell ref="M6:N7"/>
    <mergeCell ref="A4:B5"/>
    <mergeCell ref="C4:D5"/>
    <mergeCell ref="E4:F5"/>
    <mergeCell ref="G4:H5"/>
    <mergeCell ref="I4:J5"/>
    <mergeCell ref="K4:L5"/>
    <mergeCell ref="M4:N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sakpal</dc:creator>
  <cp:lastModifiedBy>Ashish sakpal</cp:lastModifiedBy>
  <dcterms:created xsi:type="dcterms:W3CDTF">2026-06-17T17:45:20Z</dcterms:created>
  <dcterms:modified xsi:type="dcterms:W3CDTF">2026-06-25T16:12:35Z</dcterms:modified>
</cp:coreProperties>
</file>